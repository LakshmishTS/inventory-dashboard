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7f187aac3535d88a/Desktop/Data analytics projects/Completed Projects/Inventory Dashboard Resources/Inventory Dashboard Resources/"/>
    </mc:Choice>
  </mc:AlternateContent>
  <xr:revisionPtr revIDLastSave="76" documentId="11_FFC65FC092696AE89676D741CDACAF224A11019A" xr6:coauthVersionLast="47" xr6:coauthVersionMax="47" xr10:uidLastSave="{2AFDDCDF-2E2C-475C-AB55-1E4C4B544BCF}"/>
  <bookViews>
    <workbookView xWindow="-108" yWindow="-108" windowWidth="23256" windowHeight="12456" activeTab="1" xr2:uid="{00000000-000D-0000-FFFF-FFFF00000000}"/>
  </bookViews>
  <sheets>
    <sheet name="Questions" sheetId="2" r:id="rId1"/>
    <sheet name="Dashboard" sheetId="3" r:id="rId2"/>
    <sheet name="Dataset" sheetId="1" r:id="rId3"/>
  </sheets>
  <definedNames>
    <definedName name="Slicer_Category">#N/A</definedName>
    <definedName name="Slicer_Suppli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23" i="2" l="1"/>
  <c r="BA24" i="2"/>
  <c r="BA25" i="2"/>
  <c r="BA26" i="2"/>
  <c r="BA27" i="2"/>
  <c r="BA22" i="2"/>
  <c r="AZ22" i="2" a="1"/>
  <c r="AZ22" i="2" s="1"/>
  <c r="Z17" i="2"/>
  <c r="Z18" i="2" s="1"/>
  <c r="N6"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AN14" i="2"/>
  <c r="AN15" i="2"/>
  <c r="H15" i="2"/>
  <c r="H14" i="2"/>
  <c r="K9" i="2"/>
  <c r="AN16" i="2" l="1"/>
  <c r="AM20" i="2" s="1"/>
  <c r="H16" i="2"/>
  <c r="G19"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<sst xmlns="http://schemas.openxmlformats.org/spreadsheetml/2006/main" count="12116" uniqueCount="83">
  <si>
    <t>ProductID</t>
  </si>
  <si>
    <t>ProductName</t>
  </si>
  <si>
    <t>Category</t>
  </si>
  <si>
    <t>CurrentStock</t>
  </si>
  <si>
    <t>ReorderLevel</t>
  </si>
  <si>
    <t>UnitPrice</t>
  </si>
  <si>
    <t>Supplier</t>
  </si>
  <si>
    <t>LastRestockDate</t>
  </si>
  <si>
    <t>NextRestockDate</t>
  </si>
  <si>
    <t>WarehouseLocation</t>
  </si>
  <si>
    <t>Ceiling Board</t>
  </si>
  <si>
    <t>Wallpaper Roll</t>
  </si>
  <si>
    <t>Concrete Block</t>
  </si>
  <si>
    <t>Switch Box</t>
  </si>
  <si>
    <t>Paint Bucket</t>
  </si>
  <si>
    <t>Bulb Pack</t>
  </si>
  <si>
    <t>Shower Set</t>
  </si>
  <si>
    <t>Toilet Seat</t>
  </si>
  <si>
    <t>Cement Bag</t>
  </si>
  <si>
    <t>Roofing Sheet</t>
  </si>
  <si>
    <t>Electrical Cable</t>
  </si>
  <si>
    <t>Water Heater</t>
  </si>
  <si>
    <t>Floor Tiles</t>
  </si>
  <si>
    <t>Window Glass</t>
  </si>
  <si>
    <t>PVC Pipe</t>
  </si>
  <si>
    <t>Kitchen Sink</t>
  </si>
  <si>
    <t>Door Frame</t>
  </si>
  <si>
    <t>Interior</t>
  </si>
  <si>
    <t>Building Materials</t>
  </si>
  <si>
    <t>Electrical</t>
  </si>
  <si>
    <t>Hardware</t>
  </si>
  <si>
    <t>Plumbing</t>
  </si>
  <si>
    <t>Konga Wholesale</t>
  </si>
  <si>
    <t>MegaBuild Ltd</t>
  </si>
  <si>
    <t>FixRight Depot</t>
  </si>
  <si>
    <t>Jumia Supplies</t>
  </si>
  <si>
    <t>Alpha Materials</t>
  </si>
  <si>
    <t>Warehouse A</t>
  </si>
  <si>
    <t>Warehouse C</t>
  </si>
  <si>
    <t>Warehouse B</t>
  </si>
  <si>
    <t xml:space="preserve">Total Products </t>
  </si>
  <si>
    <t>Count of ProductName</t>
  </si>
  <si>
    <t>Items below reorder level</t>
  </si>
  <si>
    <t>Is reorder?</t>
  </si>
  <si>
    <t>Row Labels</t>
  </si>
  <si>
    <t>Grand Total</t>
  </si>
  <si>
    <t>FALSE</t>
  </si>
  <si>
    <t>TRUE</t>
  </si>
  <si>
    <t>Metrix</t>
  </si>
  <si>
    <t>Values</t>
  </si>
  <si>
    <t>Others</t>
  </si>
  <si>
    <t>Need Reorder</t>
  </si>
  <si>
    <t>pct Need reorder</t>
  </si>
  <si>
    <t>Total Stock Value</t>
  </si>
  <si>
    <t>Stock value</t>
  </si>
  <si>
    <t>Sum of Stock value</t>
  </si>
  <si>
    <t>Number of categories</t>
  </si>
  <si>
    <t>cccc</t>
  </si>
  <si>
    <t>Average Reorder level</t>
  </si>
  <si>
    <t>Average of ReorderLevel</t>
  </si>
  <si>
    <t>Which products are below their order level</t>
  </si>
  <si>
    <t>Shortage</t>
  </si>
  <si>
    <t>Max of Shortage</t>
  </si>
  <si>
    <t>Total products</t>
  </si>
  <si>
    <t>Which category has the most low-stock product?</t>
  </si>
  <si>
    <t>Which supplier deliver the most product?</t>
  </si>
  <si>
    <t>Are we overstacking any products?</t>
  </si>
  <si>
    <t>Overstocked</t>
  </si>
  <si>
    <t>Okay</t>
  </si>
  <si>
    <t>Over Stock</t>
  </si>
  <si>
    <t xml:space="preserve">Metrix </t>
  </si>
  <si>
    <t>Total Products</t>
  </si>
  <si>
    <t>OverStack</t>
  </si>
  <si>
    <t>Pct</t>
  </si>
  <si>
    <t>Which warehouse location has the most goods?</t>
  </si>
  <si>
    <t>Count of CurrentStock</t>
  </si>
  <si>
    <t>5 Product with highest stock value that need reorder?</t>
  </si>
  <si>
    <t>Reorder</t>
  </si>
  <si>
    <t>Reorder Products</t>
  </si>
  <si>
    <t>What is our stock value by category?</t>
  </si>
  <si>
    <t>Sum of CurrentStock</t>
  </si>
  <si>
    <t>Button</t>
  </si>
  <si>
    <t>Total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</si>
</sst>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yyyy\-mm\-dd\ hh:mm:ss"/>
    <numFmt numFmtId="165" formatCode="0.0%"/>
    <numFmt numFmtId="166" formatCode="_ * #,##0_ ;_ * \-#,##0_ ;_ * &quot;-&quot;??_ ;_ @_ "/>
    <numFmt numFmtId="167" formatCode="_ [$₹-4009]\ * #,##0_ ;_ [$₹-4009]\ * \-#,##0_ ;_ [$₹-4009]\ * &quot;-&quot;??_ ;_ @_ "/>
    <numFmt numFmtId="168" formatCode="#,##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1C1C1C"/>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6">
    <xf numFmtId="0" fontId="0" fillId="0" borderId="0" xfId="0"/>
    <xf numFmtId="164" fontId="0" fillId="0" borderId="0" xfId="0" applyNumberFormat="1"/>
    <xf numFmtId="0" fontId="1" fillId="0" borderId="1" xfId="0" applyFont="1" applyBorder="1" applyAlignment="1">
      <alignment horizontal="center" vertical="top"/>
    </xf>
    <xf numFmtId="0" fontId="1" fillId="0" borderId="0" xfId="0" applyFont="1"/>
    <xf numFmtId="3" fontId="0" fillId="0" borderId="0" xfId="0" applyNumberFormat="1"/>
    <xf numFmtId="0" fontId="0" fillId="0" borderId="0" xfId="0" pivotButton="1"/>
    <xf numFmtId="0" fontId="0" fillId="0" borderId="0" xfId="0" applyAlignment="1">
      <alignment horizontal="left"/>
    </xf>
    <xf numFmtId="165" fontId="1" fillId="0" borderId="0" xfId="0" applyNumberFormat="1" applyFont="1"/>
    <xf numFmtId="166" fontId="1" fillId="0" borderId="1" xfId="1" applyNumberFormat="1" applyFont="1" applyBorder="1" applyAlignment="1">
      <alignment horizontal="center" vertical="top"/>
    </xf>
    <xf numFmtId="166" fontId="0" fillId="0" borderId="0" xfId="1" applyNumberFormat="1" applyFont="1"/>
    <xf numFmtId="167" fontId="0" fillId="0" borderId="0" xfId="0" applyNumberFormat="1"/>
    <xf numFmtId="168" fontId="0" fillId="0" borderId="0" xfId="0" applyNumberFormat="1"/>
    <xf numFmtId="37" fontId="0" fillId="0" borderId="0" xfId="0" applyNumberFormat="1"/>
    <xf numFmtId="9" fontId="0" fillId="0" borderId="0" xfId="0" applyNumberFormat="1"/>
    <xf numFmtId="166" fontId="0" fillId="0" borderId="0" xfId="0" applyNumberFormat="1"/>
    <xf numFmtId="0" fontId="0" fillId="2" borderId="0" xfId="0" applyFill="1"/>
  </cellXfs>
  <cellStyles count="2">
    <cellStyle name="Comma" xfId="1" builtinId="3"/>
    <cellStyle name="Normal" xfId="0" builtinId="0"/>
  </cellStyles>
  <dxfs count="25">
    <dxf>
      <numFmt numFmtId="0" formatCode="General"/>
    </dxf>
    <dxf>
      <numFmt numFmtId="0" formatCode="General"/>
    </dxf>
    <dxf>
      <numFmt numFmtId="0" formatCode="General"/>
    </dxf>
    <dxf>
      <numFmt numFmtId="166" formatCode="_ * #,##0_ ;_ * \-#,##0_ ;_ * &quot;-&quot;??_ ;_ @_ "/>
    </dxf>
    <dxf>
      <numFmt numFmtId="0" formatCode="General"/>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5" formatCode="#,##0;\-#,##0"/>
    </dxf>
    <dxf>
      <numFmt numFmtId="5" formatCode="#,##0;\-#,##0"/>
    </dxf>
    <dxf>
      <numFmt numFmtId="5" formatCode="#,##0;\-#,##0"/>
    </dxf>
    <dxf>
      <numFmt numFmtId="3" formatCode="#,##0"/>
    </dxf>
    <dxf>
      <numFmt numFmtId="167" formatCode="_ [$₹-4009]\ * #,##0_ ;_ [$₹-4009]\ * \-#,##0_ ;_ [$₹-4009]\ * &quot;-&quot;??_ ;_ @_ "/>
    </dxf>
    <dxf>
      <numFmt numFmtId="5" formatCode="#,##0;\-#,##0"/>
    </dxf>
    <dxf>
      <numFmt numFmtId="5" formatCode="#,##0;\-#,##0"/>
    </dxf>
    <dxf>
      <numFmt numFmtId="167" formatCode="_ [$₹-4009]\ * #,##0_ ;_ [$₹-4009]\ * \-#,##0_ ;_ [$₹-4009]\ * &quot;-&quot;??_ ;_ @_ "/>
    </dxf>
    <dxf>
      <numFmt numFmtId="3" formatCode="#,##0"/>
    </dxf>
    <dxf>
      <numFmt numFmtId="3" formatCode="#,##0"/>
    </dxf>
    <dxf>
      <numFmt numFmtId="168" formatCode="#,##0.0;\-#,##0.0"/>
    </dxf>
    <dxf>
      <numFmt numFmtId="5" formatCode="#,##0;\-#,##0"/>
    </dxf>
    <dxf>
      <font>
        <color theme="0" tint="-0.14996795556505021"/>
      </font>
      <fill>
        <patternFill>
          <bgColor rgb="FF474747"/>
        </patternFill>
      </fill>
      <border>
        <left/>
        <right/>
        <top/>
        <bottom style="thin">
          <color theme="4"/>
        </bottom>
        <vertical/>
        <horizontal/>
      </border>
    </dxf>
    <dxf>
      <font>
        <sz val="10"/>
        <color theme="0"/>
      </font>
      <fill>
        <patternFill>
          <bgColor rgb="FF474747"/>
        </patternFill>
      </fill>
      <border diagonalUp="0" diagonalDown="0">
        <left/>
        <right/>
        <top/>
        <bottom/>
        <vertical/>
        <horizontal/>
      </border>
    </dxf>
    <dxf>
      <font>
        <sz val="8"/>
      </font>
    </dxf>
  </dxfs>
  <tableStyles count="2" defaultTableStyle="TableStyleMedium9" defaultPivotStyle="PivotStyleLight16">
    <tableStyle name="Slicer Style 1" pivot="0" table="0" count="1" xr9:uid="{B287C2BD-934E-4E9B-B250-FC9707213B66}">
      <tableStyleElement type="wholeTable" dxfId="24"/>
    </tableStyle>
    <tableStyle name="SlicerStyleLight1 2" pivot="0" table="0" count="10" xr9:uid="{2D0C54D8-03C2-47A1-8482-70453A5B32A4}">
      <tableStyleElement type="wholeTable" dxfId="23"/>
      <tableStyleElement type="headerRow" dxfId="22"/>
    </tableStyle>
  </tableStyles>
  <colors>
    <mruColors>
      <color rgb="FF4B48D1"/>
      <color rgb="FF4340CF"/>
      <color rgb="FF4542D5"/>
      <color rgb="FF454282"/>
      <color rgb="FF474747"/>
      <color rgb="FF7F7F7F"/>
      <color rgb="FFC0504D"/>
      <color rgb="FF171748"/>
      <color rgb="FF1C1C1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4B48D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tint="-4.9989318521683403E-2"/>
          </font>
          <fill>
            <patternFill patternType="solid">
              <fgColor indexed="64"/>
              <bgColor rgb="FF4542D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Questions!$H$13</c:f>
              <c:strCache>
                <c:ptCount val="1"/>
                <c:pt idx="0">
                  <c:v>Values</c:v>
                </c:pt>
              </c:strCache>
            </c:strRef>
          </c:tx>
          <c:spPr>
            <a:ln>
              <a:noFill/>
            </a:ln>
          </c:spPr>
          <c:dPt>
            <c:idx val="0"/>
            <c:bubble3D val="0"/>
            <c:spPr>
              <a:solidFill>
                <a:srgbClr val="7F7F7F">
                  <a:alpha val="50000"/>
                </a:srgbClr>
              </a:solidFill>
              <a:ln w="19050">
                <a:noFill/>
              </a:ln>
              <a:effectLst/>
            </c:spPr>
            <c:extLst>
              <c:ext xmlns:c16="http://schemas.microsoft.com/office/drawing/2014/chart" uri="{C3380CC4-5D6E-409C-BE32-E72D297353CC}">
                <c16:uniqueId val="{00000001-23CD-4345-9543-F1EC6969E2D3}"/>
              </c:ext>
            </c:extLst>
          </c:dPt>
          <c:dPt>
            <c:idx val="1"/>
            <c:bubble3D val="0"/>
            <c:explosion val="20"/>
            <c:spPr>
              <a:solidFill>
                <a:schemeClr val="accent2"/>
              </a:solidFill>
              <a:ln w="19050">
                <a:noFill/>
              </a:ln>
              <a:effectLst/>
            </c:spPr>
            <c:extLst>
              <c:ext xmlns:c16="http://schemas.microsoft.com/office/drawing/2014/chart" uri="{C3380CC4-5D6E-409C-BE32-E72D297353CC}">
                <c16:uniqueId val="{00000003-23CD-4345-9543-F1EC6969E2D3}"/>
              </c:ext>
            </c:extLst>
          </c:dPt>
          <c:cat>
            <c:strRef>
              <c:f>Questions!$G$14:$G$15</c:f>
              <c:strCache>
                <c:ptCount val="2"/>
                <c:pt idx="0">
                  <c:v>Others</c:v>
                </c:pt>
                <c:pt idx="1">
                  <c:v>Need Reorder</c:v>
                </c:pt>
              </c:strCache>
            </c:strRef>
          </c:cat>
          <c:val>
            <c:numRef>
              <c:f>Questions!$H$14:$H$15</c:f>
              <c:numCache>
                <c:formatCode>General</c:formatCode>
                <c:ptCount val="2"/>
                <c:pt idx="0">
                  <c:v>2571</c:v>
                </c:pt>
                <c:pt idx="1">
                  <c:v>429</c:v>
                </c:pt>
              </c:numCache>
            </c:numRef>
          </c:val>
          <c:extLst>
            <c:ext xmlns:c16="http://schemas.microsoft.com/office/drawing/2014/chart" uri="{C3380CC4-5D6E-409C-BE32-E72D297353CC}">
              <c16:uniqueId val="{00000004-23CD-4345-9543-F1EC6969E2D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Questions!$AN$13</c:f>
              <c:strCache>
                <c:ptCount val="1"/>
                <c:pt idx="0">
                  <c:v>Values</c:v>
                </c:pt>
              </c:strCache>
            </c:strRef>
          </c:tx>
          <c:spPr>
            <a:ln>
              <a:noFill/>
            </a:ln>
          </c:spPr>
          <c:explosion val="10"/>
          <c:dPt>
            <c:idx val="0"/>
            <c:bubble3D val="0"/>
            <c:spPr>
              <a:solidFill>
                <a:srgbClr val="7F7F7F">
                  <a:alpha val="75000"/>
                </a:srgbClr>
              </a:solidFill>
              <a:ln w="19050">
                <a:noFill/>
              </a:ln>
              <a:effectLst/>
            </c:spPr>
            <c:extLst>
              <c:ext xmlns:c16="http://schemas.microsoft.com/office/drawing/2014/chart" uri="{C3380CC4-5D6E-409C-BE32-E72D297353CC}">
                <c16:uniqueId val="{00000001-2286-499E-88C3-64A512E93953}"/>
              </c:ext>
            </c:extLst>
          </c:dPt>
          <c:dPt>
            <c:idx val="1"/>
            <c:bubble3D val="0"/>
            <c:spPr>
              <a:solidFill>
                <a:schemeClr val="accent2"/>
              </a:solidFill>
              <a:ln w="19050">
                <a:noFill/>
              </a:ln>
              <a:effectLst/>
            </c:spPr>
            <c:extLst>
              <c:ext xmlns:c16="http://schemas.microsoft.com/office/drawing/2014/chart" uri="{C3380CC4-5D6E-409C-BE32-E72D297353CC}">
                <c16:uniqueId val="{00000003-2286-499E-88C3-64A512E93953}"/>
              </c:ext>
            </c:extLst>
          </c:dPt>
          <c:cat>
            <c:strRef>
              <c:f>Questions!$AM$14:$AM$15</c:f>
              <c:strCache>
                <c:ptCount val="2"/>
                <c:pt idx="0">
                  <c:v>Total Products</c:v>
                </c:pt>
                <c:pt idx="1">
                  <c:v>OverStack</c:v>
                </c:pt>
              </c:strCache>
            </c:strRef>
          </c:cat>
          <c:val>
            <c:numRef>
              <c:f>Questions!$AN$14:$AN$15</c:f>
              <c:numCache>
                <c:formatCode>General</c:formatCode>
                <c:ptCount val="2"/>
                <c:pt idx="0">
                  <c:v>3000</c:v>
                </c:pt>
                <c:pt idx="1">
                  <c:v>1791</c:v>
                </c:pt>
              </c:numCache>
            </c:numRef>
          </c:val>
          <c:extLst>
            <c:ext xmlns:c16="http://schemas.microsoft.com/office/drawing/2014/chart" uri="{C3380CC4-5D6E-409C-BE32-E72D297353CC}">
              <c16:uniqueId val="{00000004-2286-499E-88C3-64A512E9395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632993888862303"/>
          <c:y val="5.7929187063172669E-2"/>
          <c:w val="0.63367006111137703"/>
          <c:h val="0.88414162587365464"/>
        </c:manualLayout>
      </c:layout>
      <c:barChart>
        <c:barDir val="bar"/>
        <c:grouping val="clustered"/>
        <c:varyColors val="0"/>
        <c:ser>
          <c:idx val="0"/>
          <c:order val="0"/>
          <c:tx>
            <c:strRef>
              <c:f>Questions!$BA$22</c:f>
              <c:strCache>
                <c:ptCount val="1"/>
                <c:pt idx="0">
                  <c:v>Total Products</c:v>
                </c:pt>
              </c:strCache>
            </c:strRef>
          </c:tx>
          <c:spPr>
            <a:solidFill>
              <a:schemeClr val="bg1">
                <a:lumMod val="8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843568711088705"/>
                      <c:h val="0.13149925463340195"/>
                    </c:manualLayout>
                  </c15:layout>
                </c:ext>
                <c:ext xmlns:c16="http://schemas.microsoft.com/office/drawing/2014/chart" uri="{C3380CC4-5D6E-409C-BE32-E72D297353CC}">
                  <c16:uniqueId val="{00000008-2271-49F4-B1AC-67779ECE4BD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590883996429548"/>
                      <c:h val="0.13149925463340195"/>
                    </c:manualLayout>
                  </c15:layout>
                </c:ext>
                <c:ext xmlns:c16="http://schemas.microsoft.com/office/drawing/2014/chart" uri="{C3380CC4-5D6E-409C-BE32-E72D297353CC}">
                  <c16:uniqueId val="{00000007-2271-49F4-B1AC-67779ECE4BD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459829835975915"/>
                      <c:h val="0.13149925463340195"/>
                    </c:manualLayout>
                  </c15:layout>
                </c:ext>
                <c:ext xmlns:c16="http://schemas.microsoft.com/office/drawing/2014/chart" uri="{C3380CC4-5D6E-409C-BE32-E72D297353CC}">
                  <c16:uniqueId val="{00000006-2271-49F4-B1AC-67779ECE4BDC}"/>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8241862001000965"/>
                      <c:h val="0.13149925463340195"/>
                    </c:manualLayout>
                  </c15:layout>
                </c:ext>
                <c:ext xmlns:c16="http://schemas.microsoft.com/office/drawing/2014/chart" uri="{C3380CC4-5D6E-409C-BE32-E72D297353CC}">
                  <c16:uniqueId val="{00000005-2271-49F4-B1AC-67779ECE4BDC}"/>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4532263915198904"/>
                      <c:h val="0.13149925463340195"/>
                    </c:manualLayout>
                  </c15:layout>
                </c:ext>
                <c:ext xmlns:c16="http://schemas.microsoft.com/office/drawing/2014/chart" uri="{C3380CC4-5D6E-409C-BE32-E72D297353CC}">
                  <c16:uniqueId val="{00000004-2271-49F4-B1AC-67779ECE4B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Questions!$AZ$23:$AZ$27</c:f>
              <c:strCache>
                <c:ptCount val="5"/>
                <c:pt idx="0">
                  <c:v>Floor Tiles</c:v>
                </c:pt>
                <c:pt idx="1">
                  <c:v>Door Frame</c:v>
                </c:pt>
                <c:pt idx="2">
                  <c:v>Roofing Sheet</c:v>
                </c:pt>
                <c:pt idx="3">
                  <c:v>Kitchen Sink</c:v>
                </c:pt>
                <c:pt idx="4">
                  <c:v>Bulb Pack</c:v>
                </c:pt>
              </c:strCache>
            </c:strRef>
          </c:cat>
          <c:val>
            <c:numRef>
              <c:f>Questions!$BA$23:$BA$27</c:f>
              <c:numCache>
                <c:formatCode>General</c:formatCode>
                <c:ptCount val="5"/>
                <c:pt idx="0">
                  <c:v>20</c:v>
                </c:pt>
                <c:pt idx="1">
                  <c:v>25</c:v>
                </c:pt>
                <c:pt idx="2">
                  <c:v>30</c:v>
                </c:pt>
                <c:pt idx="3">
                  <c:v>36</c:v>
                </c:pt>
                <c:pt idx="4">
                  <c:v>42</c:v>
                </c:pt>
              </c:numCache>
            </c:numRef>
          </c:val>
          <c:extLst>
            <c:ext xmlns:c16="http://schemas.microsoft.com/office/drawing/2014/chart" uri="{C3380CC4-5D6E-409C-BE32-E72D297353CC}">
              <c16:uniqueId val="{00000000-2271-49F4-B1AC-67779ECE4BDC}"/>
            </c:ext>
          </c:extLst>
        </c:ser>
        <c:dLbls>
          <c:dLblPos val="outEnd"/>
          <c:showLegendKey val="0"/>
          <c:showVal val="1"/>
          <c:showCatName val="0"/>
          <c:showSerName val="0"/>
          <c:showPercent val="0"/>
          <c:showBubbleSize val="0"/>
        </c:dLbls>
        <c:gapWidth val="86"/>
        <c:axId val="298406016"/>
        <c:axId val="298412256"/>
      </c:barChart>
      <c:catAx>
        <c:axId val="29840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98412256"/>
        <c:crosses val="autoZero"/>
        <c:auto val="1"/>
        <c:lblAlgn val="ctr"/>
        <c:lblOffset val="100"/>
        <c:noMultiLvlLbl val="0"/>
      </c:catAx>
      <c:valAx>
        <c:axId val="298412256"/>
        <c:scaling>
          <c:orientation val="minMax"/>
        </c:scaling>
        <c:delete val="1"/>
        <c:axPos val="b"/>
        <c:numFmt formatCode="General" sourceLinked="1"/>
        <c:majorTickMark val="none"/>
        <c:minorTickMark val="none"/>
        <c:tickLblPos val="nextTo"/>
        <c:crossAx val="29840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[inventory_dataset.xlsx]Questions!PivotTable6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Questions!$U$6</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Questions!$T$7:$T$23</c:f>
              <c:strCache>
                <c:ptCount val="17"/>
                <c:pt idx="0">
                  <c:v>Water Heater</c:v>
                </c:pt>
                <c:pt idx="1">
                  <c:v>Switch Box</c:v>
                </c:pt>
                <c:pt idx="2">
                  <c:v>Door Frame</c:v>
                </c:pt>
                <c:pt idx="3">
                  <c:v>Paint Bucket</c:v>
                </c:pt>
                <c:pt idx="4">
                  <c:v>Concrete Block</c:v>
                </c:pt>
                <c:pt idx="5">
                  <c:v>Kitchen Sink</c:v>
                </c:pt>
                <c:pt idx="6">
                  <c:v>Window Glass</c:v>
                </c:pt>
                <c:pt idx="7">
                  <c:v>Toilet Seat</c:v>
                </c:pt>
                <c:pt idx="8">
                  <c:v>PVC Pipe</c:v>
                </c:pt>
                <c:pt idx="9">
                  <c:v>Cement Bag</c:v>
                </c:pt>
                <c:pt idx="10">
                  <c:v>Wallpaper Roll</c:v>
                </c:pt>
                <c:pt idx="11">
                  <c:v>Electrical Cable</c:v>
                </c:pt>
                <c:pt idx="12">
                  <c:v>Roofing Sheet</c:v>
                </c:pt>
                <c:pt idx="13">
                  <c:v>Shower Set</c:v>
                </c:pt>
                <c:pt idx="14">
                  <c:v>Bulb Pack</c:v>
                </c:pt>
                <c:pt idx="15">
                  <c:v>Ceiling Board</c:v>
                </c:pt>
                <c:pt idx="16">
                  <c:v>Floor Tiles</c:v>
                </c:pt>
              </c:strCache>
            </c:strRef>
          </c:cat>
          <c:val>
            <c:numRef>
              <c:f>Questions!$U$7:$U$23</c:f>
              <c:numCache>
                <c:formatCode>#,##0_);\(#,##0\)</c:formatCode>
                <c:ptCount val="17"/>
                <c:pt idx="0">
                  <c:v>150</c:v>
                </c:pt>
                <c:pt idx="1">
                  <c:v>150</c:v>
                </c:pt>
                <c:pt idx="2">
                  <c:v>149</c:v>
                </c:pt>
                <c:pt idx="3">
                  <c:v>149</c:v>
                </c:pt>
                <c:pt idx="4">
                  <c:v>148</c:v>
                </c:pt>
                <c:pt idx="5">
                  <c:v>148</c:v>
                </c:pt>
                <c:pt idx="6">
                  <c:v>144</c:v>
                </c:pt>
                <c:pt idx="7">
                  <c:v>142</c:v>
                </c:pt>
                <c:pt idx="8">
                  <c:v>137</c:v>
                </c:pt>
                <c:pt idx="9">
                  <c:v>136</c:v>
                </c:pt>
                <c:pt idx="10">
                  <c:v>135</c:v>
                </c:pt>
                <c:pt idx="11">
                  <c:v>134</c:v>
                </c:pt>
                <c:pt idx="12">
                  <c:v>134</c:v>
                </c:pt>
                <c:pt idx="13">
                  <c:v>121</c:v>
                </c:pt>
                <c:pt idx="14">
                  <c:v>119</c:v>
                </c:pt>
                <c:pt idx="15">
                  <c:v>119</c:v>
                </c:pt>
                <c:pt idx="16">
                  <c:v>98</c:v>
                </c:pt>
              </c:numCache>
            </c:numRef>
          </c:val>
          <c:extLst>
            <c:ext xmlns:c16="http://schemas.microsoft.com/office/drawing/2014/chart" uri="{C3380CC4-5D6E-409C-BE32-E72D297353CC}">
              <c16:uniqueId val="{00000000-D527-4EA2-95C0-4B55DF14BE2D}"/>
            </c:ext>
          </c:extLst>
        </c:ser>
        <c:dLbls>
          <c:dLblPos val="outEnd"/>
          <c:showLegendKey val="0"/>
          <c:showVal val="1"/>
          <c:showCatName val="0"/>
          <c:showSerName val="0"/>
          <c:showPercent val="0"/>
          <c:showBubbleSize val="0"/>
        </c:dLbls>
        <c:gapWidth val="38"/>
        <c:axId val="21779120"/>
        <c:axId val="21773840"/>
      </c:barChart>
      <c:catAx>
        <c:axId val="2177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1773840"/>
        <c:crosses val="autoZero"/>
        <c:auto val="1"/>
        <c:lblAlgn val="ctr"/>
        <c:lblOffset val="100"/>
        <c:noMultiLvlLbl val="0"/>
      </c:catAx>
      <c:valAx>
        <c:axId val="21773840"/>
        <c:scaling>
          <c:orientation val="minMax"/>
        </c:scaling>
        <c:delete val="1"/>
        <c:axPos val="b"/>
        <c:numFmt formatCode="#,##0_);\(#,##0\)" sourceLinked="1"/>
        <c:majorTickMark val="none"/>
        <c:minorTickMark val="none"/>
        <c:tickLblPos val="nextTo"/>
        <c:crossAx val="217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[inventory_dataset.xlsx]Questions!PivotTable8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Questions!$AH$7</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Questions!$AG$8:$AG$12</c:f>
              <c:strCache>
                <c:ptCount val="5"/>
                <c:pt idx="0">
                  <c:v>Alpha Materials</c:v>
                </c:pt>
                <c:pt idx="1">
                  <c:v>FixRight Depot</c:v>
                </c:pt>
                <c:pt idx="2">
                  <c:v>Jumia Supplies</c:v>
                </c:pt>
                <c:pt idx="3">
                  <c:v>Konga Wholesale</c:v>
                </c:pt>
                <c:pt idx="4">
                  <c:v>MegaBuild Ltd</c:v>
                </c:pt>
              </c:strCache>
            </c:strRef>
          </c:cat>
          <c:val>
            <c:numRef>
              <c:f>Questions!$AH$8:$AH$12</c:f>
              <c:numCache>
                <c:formatCode>#,##0_);\(#,##0\)</c:formatCode>
                <c:ptCount val="5"/>
                <c:pt idx="0">
                  <c:v>563</c:v>
                </c:pt>
                <c:pt idx="1">
                  <c:v>611</c:v>
                </c:pt>
                <c:pt idx="2">
                  <c:v>613</c:v>
                </c:pt>
                <c:pt idx="3">
                  <c:v>585</c:v>
                </c:pt>
                <c:pt idx="4">
                  <c:v>628</c:v>
                </c:pt>
              </c:numCache>
            </c:numRef>
          </c:val>
          <c:extLst>
            <c:ext xmlns:c16="http://schemas.microsoft.com/office/drawing/2014/chart" uri="{C3380CC4-5D6E-409C-BE32-E72D297353CC}">
              <c16:uniqueId val="{00000000-23A0-4727-8CAB-3A1BFCBAB0CB}"/>
            </c:ext>
          </c:extLst>
        </c:ser>
        <c:dLbls>
          <c:dLblPos val="outEnd"/>
          <c:showLegendKey val="0"/>
          <c:showVal val="1"/>
          <c:showCatName val="0"/>
          <c:showSerName val="0"/>
          <c:showPercent val="0"/>
          <c:showBubbleSize val="0"/>
        </c:dLbls>
        <c:gapWidth val="219"/>
        <c:overlap val="-27"/>
        <c:axId val="253691040"/>
        <c:axId val="253691520"/>
      </c:barChart>
      <c:catAx>
        <c:axId val="2536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53691520"/>
        <c:crosses val="autoZero"/>
        <c:auto val="1"/>
        <c:lblAlgn val="ctr"/>
        <c:lblOffset val="100"/>
        <c:noMultiLvlLbl val="0"/>
      </c:catAx>
      <c:valAx>
        <c:axId val="253691520"/>
        <c:scaling>
          <c:orientation val="minMax"/>
        </c:scaling>
        <c:delete val="1"/>
        <c:axPos val="l"/>
        <c:numFmt formatCode="#,##0_);\(#,##0\)" sourceLinked="1"/>
        <c:majorTickMark val="none"/>
        <c:minorTickMark val="none"/>
        <c:tickLblPos val="nextTo"/>
        <c:crossAx val="25369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[inventory_dataset.xlsx]Questions!PivotTable12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73886237925182"/>
                  <c:h val="0.16645851560221639"/>
                </c:manualLayout>
              </c15:layout>
            </c:ext>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60094760892601"/>
                  <c:h val="0.16645851560221639"/>
                </c:manualLayout>
              </c15:layout>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38507715019019"/>
                  <c:h val="0.16645851560221639"/>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35971467599372"/>
                  <c:h val="0.16645851560221639"/>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08388513534209"/>
                  <c:h val="0.16645851560221639"/>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08388513534209"/>
                  <c:h val="0.16645851560221639"/>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73886237925182"/>
                  <c:h val="0.16645851560221639"/>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60094760892601"/>
                  <c:h val="0.16645851560221639"/>
                </c:manualLayout>
              </c15:layout>
            </c:ext>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38507715019019"/>
                  <c:h val="0.16645851560221639"/>
                </c:manualLayout>
              </c15:layout>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35971467599372"/>
                  <c:h val="0.16645851560221639"/>
                </c:manualLayout>
              </c15:layout>
            </c:ext>
          </c:extLst>
        </c:dLbl>
      </c:pivotFmt>
      <c:pivotFmt>
        <c:idx val="1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08388513534209"/>
                  <c:h val="0.16645851560221639"/>
                </c:manualLayout>
              </c15:layout>
            </c:ext>
          </c:extLst>
        </c:dLbl>
      </c:pivotFmt>
      <c:pivotFmt>
        <c:idx val="14"/>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273886237925182"/>
                  <c:h val="0.16645851560221639"/>
                </c:manualLayout>
              </c15:layout>
            </c:ext>
          </c:extLst>
        </c:dLbl>
      </c:pivotFmt>
      <c:pivotFmt>
        <c:idx val="15"/>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60094760892601"/>
                  <c:h val="0.16645851560221639"/>
                </c:manualLayout>
              </c15:layout>
            </c:ext>
          </c:extLst>
        </c:dLbl>
      </c:pivotFmt>
      <c:pivotFmt>
        <c:idx val="16"/>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38507715019019"/>
                  <c:h val="0.16645851560221639"/>
                </c:manualLayout>
              </c15:layout>
            </c:ext>
          </c:extLst>
        </c:dLbl>
      </c:pivotFmt>
      <c:pivotFmt>
        <c:idx val="17"/>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135971467599372"/>
                  <c:h val="0.16645851560221639"/>
                </c:manualLayout>
              </c15:layout>
            </c:ext>
          </c:extLst>
        </c:dLbl>
      </c:pivotFmt>
    </c:pivotFmts>
    <c:plotArea>
      <c:layout>
        <c:manualLayout>
          <c:layoutTarget val="inner"/>
          <c:xMode val="edge"/>
          <c:yMode val="edge"/>
          <c:x val="0.39382660655546914"/>
          <c:y val="5.0925925925925923E-2"/>
          <c:w val="0.34848287627179897"/>
          <c:h val="0.89814814814814814"/>
        </c:manualLayout>
      </c:layout>
      <c:barChart>
        <c:barDir val="bar"/>
        <c:grouping val="clustered"/>
        <c:varyColors val="0"/>
        <c:ser>
          <c:idx val="0"/>
          <c:order val="0"/>
          <c:tx>
            <c:strRef>
              <c:f>Questions!$BH$8</c:f>
              <c:strCache>
                <c:ptCount val="1"/>
                <c:pt idx="0">
                  <c:v>Total</c:v>
                </c:pt>
              </c:strCache>
            </c:strRef>
          </c:tx>
          <c:spPr>
            <a:solidFill>
              <a:schemeClr val="bg1">
                <a:lumMod val="8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0-F6D9-4C6A-A6E8-EF6E4F3BAB53}"/>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1-F6D9-4C6A-A6E8-EF6E4F3BAB53}"/>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2-F6D9-4C6A-A6E8-EF6E4F3BAB53}"/>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3-F6D9-4C6A-A6E8-EF6E4F3BAB53}"/>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4-F6D9-4C6A-A6E8-EF6E4F3BAB5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108388513534209"/>
                      <c:h val="0.16645851560221639"/>
                    </c:manualLayout>
                  </c15:layout>
                </c:ext>
                <c:ext xmlns:c16="http://schemas.microsoft.com/office/drawing/2014/chart" uri="{C3380CC4-5D6E-409C-BE32-E72D297353CC}">
                  <c16:uniqueId val="{00000000-F6D9-4C6A-A6E8-EF6E4F3BAB5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273886237925182"/>
                      <c:h val="0.16645851560221639"/>
                    </c:manualLayout>
                  </c15:layout>
                </c:ext>
                <c:ext xmlns:c16="http://schemas.microsoft.com/office/drawing/2014/chart" uri="{C3380CC4-5D6E-409C-BE32-E72D297353CC}">
                  <c16:uniqueId val="{00000001-F6D9-4C6A-A6E8-EF6E4F3BAB5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760094760892601"/>
                      <c:h val="0.16645851560221639"/>
                    </c:manualLayout>
                  </c15:layout>
                </c:ext>
                <c:ext xmlns:c16="http://schemas.microsoft.com/office/drawing/2014/chart" uri="{C3380CC4-5D6E-409C-BE32-E72D297353CC}">
                  <c16:uniqueId val="{00000002-F6D9-4C6A-A6E8-EF6E4F3BAB5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9538507715019019"/>
                      <c:h val="0.16645851560221639"/>
                    </c:manualLayout>
                  </c15:layout>
                </c:ext>
                <c:ext xmlns:c16="http://schemas.microsoft.com/office/drawing/2014/chart" uri="{C3380CC4-5D6E-409C-BE32-E72D297353CC}">
                  <c16:uniqueId val="{00000003-F6D9-4C6A-A6E8-EF6E4F3BAB53}"/>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32135971467599372"/>
                      <c:h val="0.16645851560221639"/>
                    </c:manualLayout>
                  </c15:layout>
                </c:ext>
                <c:ext xmlns:c16="http://schemas.microsoft.com/office/drawing/2014/chart" uri="{C3380CC4-5D6E-409C-BE32-E72D297353CC}">
                  <c16:uniqueId val="{00000004-F6D9-4C6A-A6E8-EF6E4F3BAB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Questions!$BG$9:$BG$14</c:f>
              <c:strCache>
                <c:ptCount val="5"/>
                <c:pt idx="0">
                  <c:v>Building Materials</c:v>
                </c:pt>
                <c:pt idx="1">
                  <c:v>Electrical</c:v>
                </c:pt>
                <c:pt idx="2">
                  <c:v>Hardware</c:v>
                </c:pt>
                <c:pt idx="3">
                  <c:v>Interior</c:v>
                </c:pt>
                <c:pt idx="4">
                  <c:v>Plumbing</c:v>
                </c:pt>
              </c:strCache>
            </c:strRef>
          </c:cat>
          <c:val>
            <c:numRef>
              <c:f>Questions!$BH$9:$BH$14</c:f>
              <c:numCache>
                <c:formatCode>_ * #,##0_ ;_ * \-#,##0_ ;_ * "-"??_ ;_ @_ </c:formatCode>
                <c:ptCount val="5"/>
                <c:pt idx="0">
                  <c:v>37472928.670000032</c:v>
                </c:pt>
                <c:pt idx="1">
                  <c:v>36951937.289999984</c:v>
                </c:pt>
                <c:pt idx="2">
                  <c:v>38950744.630000055</c:v>
                </c:pt>
                <c:pt idx="3">
                  <c:v>38499755.269999944</c:v>
                </c:pt>
                <c:pt idx="4">
                  <c:v>35542863.31000001</c:v>
                </c:pt>
              </c:numCache>
            </c:numRef>
          </c:val>
          <c:extLst>
            <c:ext xmlns:c16="http://schemas.microsoft.com/office/drawing/2014/chart" uri="{C3380CC4-5D6E-409C-BE32-E72D297353CC}">
              <c16:uniqueId val="{00000005-F6D9-4C6A-A6E8-EF6E4F3BAB53}"/>
            </c:ext>
          </c:extLst>
        </c:ser>
        <c:dLbls>
          <c:dLblPos val="outEnd"/>
          <c:showLegendKey val="0"/>
          <c:showVal val="1"/>
          <c:showCatName val="0"/>
          <c:showSerName val="0"/>
          <c:showPercent val="0"/>
          <c:showBubbleSize val="0"/>
        </c:dLbls>
        <c:gapWidth val="86"/>
        <c:axId val="456183440"/>
        <c:axId val="456177680"/>
      </c:barChart>
      <c:catAx>
        <c:axId val="45618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456177680"/>
        <c:crosses val="autoZero"/>
        <c:auto val="1"/>
        <c:lblAlgn val="ctr"/>
        <c:lblOffset val="100"/>
        <c:noMultiLvlLbl val="0"/>
      </c:catAx>
      <c:valAx>
        <c:axId val="456177680"/>
        <c:scaling>
          <c:orientation val="minMax"/>
        </c:scaling>
        <c:delete val="1"/>
        <c:axPos val="b"/>
        <c:numFmt formatCode="_ * #,##0_ ;_ * \-#,##0_ ;_ * &quot;-&quot;??_ ;_ @_ " sourceLinked="1"/>
        <c:majorTickMark val="none"/>
        <c:minorTickMark val="none"/>
        <c:tickLblPos val="nextTo"/>
        <c:crossAx val="45618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[inventory_dataset.xlsx]Questions!PivotTable7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Questions!$AA$10</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Questions!$Z$11:$Z$15</c:f>
              <c:strCache>
                <c:ptCount val="5"/>
                <c:pt idx="0">
                  <c:v>Electrical</c:v>
                </c:pt>
                <c:pt idx="1">
                  <c:v>Hardware</c:v>
                </c:pt>
                <c:pt idx="2">
                  <c:v>Building Materials</c:v>
                </c:pt>
                <c:pt idx="3">
                  <c:v>Interior</c:v>
                </c:pt>
                <c:pt idx="4">
                  <c:v>Plumbing</c:v>
                </c:pt>
              </c:strCache>
            </c:strRef>
          </c:cat>
          <c:val>
            <c:numRef>
              <c:f>Questions!$AA$11:$AA$15</c:f>
              <c:numCache>
                <c:formatCode>#,##0_);\(#,##0\)</c:formatCode>
                <c:ptCount val="5"/>
                <c:pt idx="0">
                  <c:v>95</c:v>
                </c:pt>
                <c:pt idx="1">
                  <c:v>95</c:v>
                </c:pt>
                <c:pt idx="2">
                  <c:v>86</c:v>
                </c:pt>
                <c:pt idx="3">
                  <c:v>78</c:v>
                </c:pt>
                <c:pt idx="4">
                  <c:v>75</c:v>
                </c:pt>
              </c:numCache>
            </c:numRef>
          </c:val>
          <c:extLst>
            <c:ext xmlns:c16="http://schemas.microsoft.com/office/drawing/2014/chart" uri="{C3380CC4-5D6E-409C-BE32-E72D297353CC}">
              <c16:uniqueId val="{00000000-6C5C-458A-9884-B7B13A633B8B}"/>
            </c:ext>
          </c:extLst>
        </c:ser>
        <c:dLbls>
          <c:dLblPos val="outEnd"/>
          <c:showLegendKey val="0"/>
          <c:showVal val="1"/>
          <c:showCatName val="0"/>
          <c:showSerName val="0"/>
          <c:showPercent val="0"/>
          <c:showBubbleSize val="0"/>
        </c:dLbls>
        <c:gapWidth val="35"/>
        <c:axId val="20080912"/>
        <c:axId val="20081392"/>
      </c:barChart>
      <c:catAx>
        <c:axId val="2008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0081392"/>
        <c:crosses val="autoZero"/>
        <c:auto val="1"/>
        <c:lblAlgn val="ctr"/>
        <c:lblOffset val="100"/>
        <c:noMultiLvlLbl val="0"/>
      </c:catAx>
      <c:valAx>
        <c:axId val="20081392"/>
        <c:scaling>
          <c:orientation val="minMax"/>
        </c:scaling>
        <c:delete val="1"/>
        <c:axPos val="b"/>
        <c:numFmt formatCode="#,##0_);\(#,##0\)" sourceLinked="1"/>
        <c:majorTickMark val="none"/>
        <c:minorTickMark val="none"/>
        <c:tickLblPos val="nextTo"/>
        <c:crossAx val="200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Questions!$BA$18"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106350</xdr:colOff>
      <xdr:row>2</xdr:row>
      <xdr:rowOff>127552</xdr:rowOff>
    </xdr:from>
    <xdr:to>
      <xdr:col>6</xdr:col>
      <xdr:colOff>430696</xdr:colOff>
      <xdr:row>13</xdr:row>
      <xdr:rowOff>115957</xdr:rowOff>
    </xdr:to>
    <xdr:sp macro="" textlink="">
      <xdr:nvSpPr>
        <xdr:cNvPr id="2" name="Rectangle: Rounded Corners 1">
          <a:extLst>
            <a:ext uri="{FF2B5EF4-FFF2-40B4-BE49-F238E27FC236}">
              <a16:creationId xmlns:a16="http://schemas.microsoft.com/office/drawing/2014/main" id="{D592FA7F-CAFB-5502-429E-B558B5083E7E}"/>
            </a:ext>
          </a:extLst>
        </xdr:cNvPr>
        <xdr:cNvSpPr/>
      </xdr:nvSpPr>
      <xdr:spPr>
        <a:xfrm>
          <a:off x="106350" y="498613"/>
          <a:ext cx="3981946" cy="2029240"/>
        </a:xfrm>
        <a:prstGeom prst="roundRect">
          <a:avLst>
            <a:gd name="adj" fmla="val 3114"/>
          </a:avLst>
        </a:prstGeom>
        <a:gradFill flip="none" rotWithShape="1">
          <a:gsLst>
            <a:gs pos="0">
              <a:srgbClr val="4542D5"/>
            </a:gs>
            <a:gs pos="100000">
              <a:srgbClr val="171748"/>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122251</xdr:colOff>
      <xdr:row>3</xdr:row>
      <xdr:rowOff>52677</xdr:rowOff>
    </xdr:from>
    <xdr:to>
      <xdr:col>3</xdr:col>
      <xdr:colOff>381331</xdr:colOff>
      <xdr:row>4</xdr:row>
      <xdr:rowOff>119269</xdr:rowOff>
    </xdr:to>
    <xdr:sp macro="" textlink="">
      <xdr:nvSpPr>
        <xdr:cNvPr id="3" name="TextBox 2">
          <a:extLst>
            <a:ext uri="{FF2B5EF4-FFF2-40B4-BE49-F238E27FC236}">
              <a16:creationId xmlns:a16="http://schemas.microsoft.com/office/drawing/2014/main" id="{1E596AA1-4C39-7DFA-53D0-40B14B00FB6B}"/>
            </a:ext>
          </a:extLst>
        </xdr:cNvPr>
        <xdr:cNvSpPr txBox="1"/>
      </xdr:nvSpPr>
      <xdr:spPr>
        <a:xfrm>
          <a:off x="122251" y="609268"/>
          <a:ext cx="2087880"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Total Stock</a:t>
          </a:r>
          <a:r>
            <a:rPr lang="en-IN" sz="1800" baseline="0">
              <a:solidFill>
                <a:schemeClr val="bg1"/>
              </a:solidFill>
            </a:rPr>
            <a:t> Value</a:t>
          </a:r>
          <a:endParaRPr lang="en-IN" sz="1800">
            <a:solidFill>
              <a:schemeClr val="bg1"/>
            </a:solidFill>
          </a:endParaRPr>
        </a:p>
      </xdr:txBody>
    </xdr:sp>
    <xdr:clientData/>
  </xdr:twoCellAnchor>
  <xdr:twoCellAnchor>
    <xdr:from>
      <xdr:col>0</xdr:col>
      <xdr:colOff>124239</xdr:colOff>
      <xdr:row>4</xdr:row>
      <xdr:rowOff>176916</xdr:rowOff>
    </xdr:from>
    <xdr:to>
      <xdr:col>4</xdr:col>
      <xdr:colOff>444279</xdr:colOff>
      <xdr:row>7</xdr:row>
      <xdr:rowOff>47376</xdr:rowOff>
    </xdr:to>
    <xdr:sp macro="" textlink="Questions!K9">
      <xdr:nvSpPr>
        <xdr:cNvPr id="4" name="TextBox 3">
          <a:extLst>
            <a:ext uri="{FF2B5EF4-FFF2-40B4-BE49-F238E27FC236}">
              <a16:creationId xmlns:a16="http://schemas.microsoft.com/office/drawing/2014/main" id="{19C76BB6-B154-4EA8-9EE3-E92C0E38E722}"/>
            </a:ext>
          </a:extLst>
        </xdr:cNvPr>
        <xdr:cNvSpPr txBox="1"/>
      </xdr:nvSpPr>
      <xdr:spPr>
        <a:xfrm>
          <a:off x="124239" y="919038"/>
          <a:ext cx="2758440" cy="427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92C8D2-9645-4E1C-8B0C-9FB778CAC639}" type="TxLink">
            <a:rPr lang="en-US" sz="3200" b="1" i="0" u="none" strike="noStrike">
              <a:solidFill>
                <a:schemeClr val="bg1"/>
              </a:solidFill>
              <a:latin typeface="Calibri"/>
              <a:ea typeface="Calibri"/>
              <a:cs typeface="Calibri"/>
            </a:rPr>
            <a:pPr algn="ctr"/>
            <a:t> ₹ 18,74,18,229 </a:t>
          </a:fld>
          <a:endParaRPr lang="en-US" sz="3200" b="1">
            <a:solidFill>
              <a:schemeClr val="bg1"/>
            </a:solidFill>
          </a:endParaRPr>
        </a:p>
      </xdr:txBody>
    </xdr:sp>
    <xdr:clientData/>
  </xdr:twoCellAnchor>
  <xdr:twoCellAnchor>
    <xdr:from>
      <xdr:col>0</xdr:col>
      <xdr:colOff>192488</xdr:colOff>
      <xdr:row>9</xdr:row>
      <xdr:rowOff>36442</xdr:rowOff>
    </xdr:from>
    <xdr:to>
      <xdr:col>2</xdr:col>
      <xdr:colOff>112643</xdr:colOff>
      <xdr:row>13</xdr:row>
      <xdr:rowOff>16565</xdr:rowOff>
    </xdr:to>
    <xdr:sp macro="" textlink="">
      <xdr:nvSpPr>
        <xdr:cNvPr id="5" name="Rectangle: Rounded Corners 4">
          <a:extLst>
            <a:ext uri="{FF2B5EF4-FFF2-40B4-BE49-F238E27FC236}">
              <a16:creationId xmlns:a16="http://schemas.microsoft.com/office/drawing/2014/main" id="{26892D75-FF05-4820-A8FB-997C34306722}"/>
            </a:ext>
          </a:extLst>
        </xdr:cNvPr>
        <xdr:cNvSpPr/>
      </xdr:nvSpPr>
      <xdr:spPr>
        <a:xfrm>
          <a:off x="192488" y="1706216"/>
          <a:ext cx="1139355" cy="722245"/>
        </a:xfrm>
        <a:prstGeom prst="roundRect">
          <a:avLst>
            <a:gd name="adj" fmla="val 4949"/>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297583</xdr:colOff>
      <xdr:row>9</xdr:row>
      <xdr:rowOff>36442</xdr:rowOff>
    </xdr:from>
    <xdr:to>
      <xdr:col>4</xdr:col>
      <xdr:colOff>219583</xdr:colOff>
      <xdr:row>13</xdr:row>
      <xdr:rowOff>16565</xdr:rowOff>
    </xdr:to>
    <xdr:sp macro="" textlink="">
      <xdr:nvSpPr>
        <xdr:cNvPr id="6" name="Rectangle: Rounded Corners 5">
          <a:extLst>
            <a:ext uri="{FF2B5EF4-FFF2-40B4-BE49-F238E27FC236}">
              <a16:creationId xmlns:a16="http://schemas.microsoft.com/office/drawing/2014/main" id="{ACC58DFC-EE91-4ACD-9380-9491D2A68599}"/>
            </a:ext>
          </a:extLst>
        </xdr:cNvPr>
        <xdr:cNvSpPr/>
      </xdr:nvSpPr>
      <xdr:spPr>
        <a:xfrm>
          <a:off x="1516783" y="1706216"/>
          <a:ext cx="1141200" cy="722245"/>
        </a:xfrm>
        <a:prstGeom prst="roundRect">
          <a:avLst>
            <a:gd name="adj" fmla="val 5866"/>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404524</xdr:colOff>
      <xdr:row>9</xdr:row>
      <xdr:rowOff>36442</xdr:rowOff>
    </xdr:from>
    <xdr:to>
      <xdr:col>6</xdr:col>
      <xdr:colOff>326524</xdr:colOff>
      <xdr:row>13</xdr:row>
      <xdr:rowOff>16565</xdr:rowOff>
    </xdr:to>
    <xdr:sp macro="" textlink="">
      <xdr:nvSpPr>
        <xdr:cNvPr id="7" name="Rectangle: Rounded Corners 6">
          <a:extLst>
            <a:ext uri="{FF2B5EF4-FFF2-40B4-BE49-F238E27FC236}">
              <a16:creationId xmlns:a16="http://schemas.microsoft.com/office/drawing/2014/main" id="{016C9FB0-43B3-46D8-9F5B-96FBB3C3613E}"/>
            </a:ext>
          </a:extLst>
        </xdr:cNvPr>
        <xdr:cNvSpPr/>
      </xdr:nvSpPr>
      <xdr:spPr>
        <a:xfrm>
          <a:off x="2842924" y="1706216"/>
          <a:ext cx="1141200" cy="722245"/>
        </a:xfrm>
        <a:prstGeom prst="roundRect">
          <a:avLst>
            <a:gd name="adj" fmla="val 4949"/>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165654</xdr:colOff>
      <xdr:row>11</xdr:row>
      <xdr:rowOff>118938</xdr:rowOff>
    </xdr:from>
    <xdr:to>
      <xdr:col>2</xdr:col>
      <xdr:colOff>132524</xdr:colOff>
      <xdr:row>12</xdr:row>
      <xdr:rowOff>172279</xdr:rowOff>
    </xdr:to>
    <xdr:sp macro="" textlink="">
      <xdr:nvSpPr>
        <xdr:cNvPr id="8" name="TextBox 7">
          <a:extLst>
            <a:ext uri="{FF2B5EF4-FFF2-40B4-BE49-F238E27FC236}">
              <a16:creationId xmlns:a16="http://schemas.microsoft.com/office/drawing/2014/main" id="{A57F110C-6312-4DC7-BAC9-59E655D28028}"/>
            </a:ext>
          </a:extLst>
        </xdr:cNvPr>
        <xdr:cNvSpPr txBox="1"/>
      </xdr:nvSpPr>
      <xdr:spPr>
        <a:xfrm>
          <a:off x="165654" y="2159773"/>
          <a:ext cx="1186070" cy="23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TOTAL</a:t>
          </a:r>
          <a:r>
            <a:rPr lang="en-IN" sz="1000" baseline="0">
              <a:solidFill>
                <a:schemeClr val="bg1"/>
              </a:solidFill>
            </a:rPr>
            <a:t> PRODUCTS</a:t>
          </a:r>
          <a:endParaRPr lang="en-IN" sz="1000">
            <a:solidFill>
              <a:schemeClr val="bg1"/>
            </a:solidFill>
          </a:endParaRPr>
        </a:p>
      </xdr:txBody>
    </xdr:sp>
    <xdr:clientData/>
  </xdr:twoCellAnchor>
  <xdr:twoCellAnchor>
    <xdr:from>
      <xdr:col>2</xdr:col>
      <xdr:colOff>205410</xdr:colOff>
      <xdr:row>11</xdr:row>
      <xdr:rowOff>118938</xdr:rowOff>
    </xdr:from>
    <xdr:to>
      <xdr:col>4</xdr:col>
      <xdr:colOff>311426</xdr:colOff>
      <xdr:row>12</xdr:row>
      <xdr:rowOff>172279</xdr:rowOff>
    </xdr:to>
    <xdr:sp macro="" textlink="">
      <xdr:nvSpPr>
        <xdr:cNvPr id="9" name="TextBox 8">
          <a:extLst>
            <a:ext uri="{FF2B5EF4-FFF2-40B4-BE49-F238E27FC236}">
              <a16:creationId xmlns:a16="http://schemas.microsoft.com/office/drawing/2014/main" id="{267FE28A-9569-4B6E-A41D-86E2DBD92802}"/>
            </a:ext>
          </a:extLst>
        </xdr:cNvPr>
        <xdr:cNvSpPr txBox="1"/>
      </xdr:nvSpPr>
      <xdr:spPr>
        <a:xfrm>
          <a:off x="1424610" y="2159773"/>
          <a:ext cx="1325216" cy="23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TOTAL</a:t>
          </a:r>
          <a:r>
            <a:rPr lang="en-IN" sz="1000" baseline="0">
              <a:solidFill>
                <a:schemeClr val="bg1"/>
              </a:solidFill>
            </a:rPr>
            <a:t> CATEGORIES</a:t>
          </a:r>
          <a:endParaRPr lang="en-IN" sz="1000">
            <a:solidFill>
              <a:schemeClr val="bg1"/>
            </a:solidFill>
          </a:endParaRPr>
        </a:p>
      </xdr:txBody>
    </xdr:sp>
    <xdr:clientData/>
  </xdr:twoCellAnchor>
  <xdr:twoCellAnchor>
    <xdr:from>
      <xdr:col>4</xdr:col>
      <xdr:colOff>417444</xdr:colOff>
      <xdr:row>11</xdr:row>
      <xdr:rowOff>118938</xdr:rowOff>
    </xdr:from>
    <xdr:to>
      <xdr:col>6</xdr:col>
      <xdr:colOff>291547</xdr:colOff>
      <xdr:row>12</xdr:row>
      <xdr:rowOff>172279</xdr:rowOff>
    </xdr:to>
    <xdr:sp macro="" textlink="">
      <xdr:nvSpPr>
        <xdr:cNvPr id="10" name="TextBox 9">
          <a:extLst>
            <a:ext uri="{FF2B5EF4-FFF2-40B4-BE49-F238E27FC236}">
              <a16:creationId xmlns:a16="http://schemas.microsoft.com/office/drawing/2014/main" id="{A249C7F3-9A65-4CBD-BF0E-20F78EBB2474}"/>
            </a:ext>
          </a:extLst>
        </xdr:cNvPr>
        <xdr:cNvSpPr txBox="1"/>
      </xdr:nvSpPr>
      <xdr:spPr>
        <a:xfrm>
          <a:off x="2855844" y="2159773"/>
          <a:ext cx="1093303" cy="23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solidFill>
                <a:schemeClr val="bg1"/>
              </a:solidFill>
            </a:rPr>
            <a:t>CURRENT STOCK</a:t>
          </a:r>
          <a:endParaRPr lang="en-IN" sz="1000">
            <a:solidFill>
              <a:schemeClr val="bg1"/>
            </a:solidFill>
          </a:endParaRPr>
        </a:p>
      </xdr:txBody>
    </xdr:sp>
    <xdr:clientData/>
  </xdr:twoCellAnchor>
  <xdr:twoCellAnchor>
    <xdr:from>
      <xdr:col>5</xdr:col>
      <xdr:colOff>318053</xdr:colOff>
      <xdr:row>3</xdr:row>
      <xdr:rowOff>99392</xdr:rowOff>
    </xdr:from>
    <xdr:to>
      <xdr:col>5</xdr:col>
      <xdr:colOff>397566</xdr:colOff>
      <xdr:row>3</xdr:row>
      <xdr:rowOff>178905</xdr:rowOff>
    </xdr:to>
    <xdr:sp macro="" textlink="">
      <xdr:nvSpPr>
        <xdr:cNvPr id="11" name="Oval 10">
          <a:extLst>
            <a:ext uri="{FF2B5EF4-FFF2-40B4-BE49-F238E27FC236}">
              <a16:creationId xmlns:a16="http://schemas.microsoft.com/office/drawing/2014/main" id="{B859EC05-BB53-0BEE-5C6C-86C7EAFD232C}"/>
            </a:ext>
          </a:extLst>
        </xdr:cNvPr>
        <xdr:cNvSpPr/>
      </xdr:nvSpPr>
      <xdr:spPr>
        <a:xfrm>
          <a:off x="3366053" y="655983"/>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470453</xdr:colOff>
      <xdr:row>4</xdr:row>
      <xdr:rowOff>66261</xdr:rowOff>
    </xdr:from>
    <xdr:to>
      <xdr:col>5</xdr:col>
      <xdr:colOff>549966</xdr:colOff>
      <xdr:row>4</xdr:row>
      <xdr:rowOff>145774</xdr:rowOff>
    </xdr:to>
    <xdr:sp macro="" textlink="">
      <xdr:nvSpPr>
        <xdr:cNvPr id="12" name="Oval 11">
          <a:extLst>
            <a:ext uri="{FF2B5EF4-FFF2-40B4-BE49-F238E27FC236}">
              <a16:creationId xmlns:a16="http://schemas.microsoft.com/office/drawing/2014/main" id="{1867A4C6-80E0-4412-A60E-E783C8F71AD7}"/>
            </a:ext>
          </a:extLst>
        </xdr:cNvPr>
        <xdr:cNvSpPr/>
      </xdr:nvSpPr>
      <xdr:spPr>
        <a:xfrm>
          <a:off x="3518453" y="808383"/>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33132</xdr:colOff>
      <xdr:row>5</xdr:row>
      <xdr:rowOff>13253</xdr:rowOff>
    </xdr:from>
    <xdr:to>
      <xdr:col>6</xdr:col>
      <xdr:colOff>112645</xdr:colOff>
      <xdr:row>5</xdr:row>
      <xdr:rowOff>92766</xdr:rowOff>
    </xdr:to>
    <xdr:sp macro="" textlink="">
      <xdr:nvSpPr>
        <xdr:cNvPr id="13" name="Oval 12">
          <a:extLst>
            <a:ext uri="{FF2B5EF4-FFF2-40B4-BE49-F238E27FC236}">
              <a16:creationId xmlns:a16="http://schemas.microsoft.com/office/drawing/2014/main" id="{6E30A0A0-C887-4487-919A-013F485CCB41}"/>
            </a:ext>
          </a:extLst>
        </xdr:cNvPr>
        <xdr:cNvSpPr/>
      </xdr:nvSpPr>
      <xdr:spPr>
        <a:xfrm>
          <a:off x="3690732" y="940905"/>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165653</xdr:colOff>
      <xdr:row>6</xdr:row>
      <xdr:rowOff>0</xdr:rowOff>
    </xdr:from>
    <xdr:to>
      <xdr:col>6</xdr:col>
      <xdr:colOff>245166</xdr:colOff>
      <xdr:row>6</xdr:row>
      <xdr:rowOff>79513</xdr:rowOff>
    </xdr:to>
    <xdr:sp macro="" textlink="">
      <xdr:nvSpPr>
        <xdr:cNvPr id="14" name="Oval 13">
          <a:extLst>
            <a:ext uri="{FF2B5EF4-FFF2-40B4-BE49-F238E27FC236}">
              <a16:creationId xmlns:a16="http://schemas.microsoft.com/office/drawing/2014/main" id="{3E112F24-E6F6-4E5C-8F95-F479FAC4BD7F}"/>
            </a:ext>
          </a:extLst>
        </xdr:cNvPr>
        <xdr:cNvSpPr/>
      </xdr:nvSpPr>
      <xdr:spPr>
        <a:xfrm>
          <a:off x="3823253" y="1113183"/>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318053</xdr:colOff>
      <xdr:row>6</xdr:row>
      <xdr:rowOff>152400</xdr:rowOff>
    </xdr:from>
    <xdr:to>
      <xdr:col>6</xdr:col>
      <xdr:colOff>397566</xdr:colOff>
      <xdr:row>7</xdr:row>
      <xdr:rowOff>46383</xdr:rowOff>
    </xdr:to>
    <xdr:sp macro="" textlink="">
      <xdr:nvSpPr>
        <xdr:cNvPr id="15" name="Oval 14">
          <a:extLst>
            <a:ext uri="{FF2B5EF4-FFF2-40B4-BE49-F238E27FC236}">
              <a16:creationId xmlns:a16="http://schemas.microsoft.com/office/drawing/2014/main" id="{591492DA-4C57-4329-AAB5-185E63527011}"/>
            </a:ext>
          </a:extLst>
        </xdr:cNvPr>
        <xdr:cNvSpPr/>
      </xdr:nvSpPr>
      <xdr:spPr>
        <a:xfrm>
          <a:off x="3975653" y="1265583"/>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563219</xdr:colOff>
      <xdr:row>2</xdr:row>
      <xdr:rowOff>172278</xdr:rowOff>
    </xdr:from>
    <xdr:to>
      <xdr:col>6</xdr:col>
      <xdr:colOff>33132</xdr:colOff>
      <xdr:row>3</xdr:row>
      <xdr:rowOff>66261</xdr:rowOff>
    </xdr:to>
    <xdr:sp macro="" textlink="">
      <xdr:nvSpPr>
        <xdr:cNvPr id="16" name="Oval 15">
          <a:extLst>
            <a:ext uri="{FF2B5EF4-FFF2-40B4-BE49-F238E27FC236}">
              <a16:creationId xmlns:a16="http://schemas.microsoft.com/office/drawing/2014/main" id="{D9F5DEF6-28E5-4FAE-B15C-F1F4063F3B3E}"/>
            </a:ext>
          </a:extLst>
        </xdr:cNvPr>
        <xdr:cNvSpPr/>
      </xdr:nvSpPr>
      <xdr:spPr>
        <a:xfrm>
          <a:off x="3611219" y="543339"/>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106019</xdr:colOff>
      <xdr:row>3</xdr:row>
      <xdr:rowOff>139148</xdr:rowOff>
    </xdr:from>
    <xdr:to>
      <xdr:col>6</xdr:col>
      <xdr:colOff>185532</xdr:colOff>
      <xdr:row>4</xdr:row>
      <xdr:rowOff>33130</xdr:rowOff>
    </xdr:to>
    <xdr:sp macro="" textlink="">
      <xdr:nvSpPr>
        <xdr:cNvPr id="17" name="Oval 16">
          <a:extLst>
            <a:ext uri="{FF2B5EF4-FFF2-40B4-BE49-F238E27FC236}">
              <a16:creationId xmlns:a16="http://schemas.microsoft.com/office/drawing/2014/main" id="{131BBB7B-A710-426B-81BF-1654A1348FF1}"/>
            </a:ext>
          </a:extLst>
        </xdr:cNvPr>
        <xdr:cNvSpPr/>
      </xdr:nvSpPr>
      <xdr:spPr>
        <a:xfrm>
          <a:off x="3763619" y="695739"/>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258419</xdr:colOff>
      <xdr:row>4</xdr:row>
      <xdr:rowOff>106017</xdr:rowOff>
    </xdr:from>
    <xdr:to>
      <xdr:col>6</xdr:col>
      <xdr:colOff>337932</xdr:colOff>
      <xdr:row>5</xdr:row>
      <xdr:rowOff>0</xdr:rowOff>
    </xdr:to>
    <xdr:sp macro="" textlink="">
      <xdr:nvSpPr>
        <xdr:cNvPr id="18" name="Oval 17">
          <a:extLst>
            <a:ext uri="{FF2B5EF4-FFF2-40B4-BE49-F238E27FC236}">
              <a16:creationId xmlns:a16="http://schemas.microsoft.com/office/drawing/2014/main" id="{C36ED0A2-FDF2-49C3-AFC7-FDD10DAF5A6A}"/>
            </a:ext>
          </a:extLst>
        </xdr:cNvPr>
        <xdr:cNvSpPr/>
      </xdr:nvSpPr>
      <xdr:spPr>
        <a:xfrm>
          <a:off x="3916019" y="848139"/>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271671</xdr:colOff>
      <xdr:row>2</xdr:row>
      <xdr:rowOff>178904</xdr:rowOff>
    </xdr:from>
    <xdr:to>
      <xdr:col>6</xdr:col>
      <xdr:colOff>351184</xdr:colOff>
      <xdr:row>3</xdr:row>
      <xdr:rowOff>72887</xdr:rowOff>
    </xdr:to>
    <xdr:sp macro="" textlink="">
      <xdr:nvSpPr>
        <xdr:cNvPr id="19" name="Oval 18">
          <a:extLst>
            <a:ext uri="{FF2B5EF4-FFF2-40B4-BE49-F238E27FC236}">
              <a16:creationId xmlns:a16="http://schemas.microsoft.com/office/drawing/2014/main" id="{679E815D-92E1-417B-97CF-2ED701233761}"/>
            </a:ext>
          </a:extLst>
        </xdr:cNvPr>
        <xdr:cNvSpPr/>
      </xdr:nvSpPr>
      <xdr:spPr>
        <a:xfrm>
          <a:off x="3929271" y="549965"/>
          <a:ext cx="79513" cy="79513"/>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278629</xdr:colOff>
      <xdr:row>4</xdr:row>
      <xdr:rowOff>18222</xdr:rowOff>
    </xdr:from>
    <xdr:to>
      <xdr:col>5</xdr:col>
      <xdr:colOff>390940</xdr:colOff>
      <xdr:row>4</xdr:row>
      <xdr:rowOff>145774</xdr:rowOff>
    </xdr:to>
    <xdr:sp macro="" textlink="">
      <xdr:nvSpPr>
        <xdr:cNvPr id="21" name="Oval 20">
          <a:extLst>
            <a:ext uri="{FF2B5EF4-FFF2-40B4-BE49-F238E27FC236}">
              <a16:creationId xmlns:a16="http://schemas.microsoft.com/office/drawing/2014/main" id="{2E7D1502-9DC5-4331-8733-6486776A8B9E}"/>
            </a:ext>
          </a:extLst>
        </xdr:cNvPr>
        <xdr:cNvSpPr/>
      </xdr:nvSpPr>
      <xdr:spPr>
        <a:xfrm>
          <a:off x="3326629" y="760344"/>
          <a:ext cx="112311" cy="127552"/>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218994</xdr:colOff>
      <xdr:row>5</xdr:row>
      <xdr:rowOff>150743</xdr:rowOff>
    </xdr:from>
    <xdr:to>
      <xdr:col>5</xdr:col>
      <xdr:colOff>331305</xdr:colOff>
      <xdr:row>6</xdr:row>
      <xdr:rowOff>92764</xdr:rowOff>
    </xdr:to>
    <xdr:sp macro="" textlink="">
      <xdr:nvSpPr>
        <xdr:cNvPr id="22" name="Oval 21">
          <a:extLst>
            <a:ext uri="{FF2B5EF4-FFF2-40B4-BE49-F238E27FC236}">
              <a16:creationId xmlns:a16="http://schemas.microsoft.com/office/drawing/2014/main" id="{FFE40794-1151-4263-9866-8539B6A4598D}"/>
            </a:ext>
          </a:extLst>
        </xdr:cNvPr>
        <xdr:cNvSpPr/>
      </xdr:nvSpPr>
      <xdr:spPr>
        <a:xfrm>
          <a:off x="3266994" y="1078395"/>
          <a:ext cx="112311" cy="127552"/>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464159</xdr:colOff>
      <xdr:row>5</xdr:row>
      <xdr:rowOff>117614</xdr:rowOff>
    </xdr:from>
    <xdr:to>
      <xdr:col>5</xdr:col>
      <xdr:colOff>576470</xdr:colOff>
      <xdr:row>6</xdr:row>
      <xdr:rowOff>59635</xdr:rowOff>
    </xdr:to>
    <xdr:sp macro="" textlink="">
      <xdr:nvSpPr>
        <xdr:cNvPr id="23" name="Oval 22">
          <a:extLst>
            <a:ext uri="{FF2B5EF4-FFF2-40B4-BE49-F238E27FC236}">
              <a16:creationId xmlns:a16="http://schemas.microsoft.com/office/drawing/2014/main" id="{A33E09A3-7AFC-4FBC-B655-B200678D9656}"/>
            </a:ext>
          </a:extLst>
        </xdr:cNvPr>
        <xdr:cNvSpPr/>
      </xdr:nvSpPr>
      <xdr:spPr>
        <a:xfrm>
          <a:off x="3512159" y="1045266"/>
          <a:ext cx="112311" cy="127552"/>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291880</xdr:colOff>
      <xdr:row>5</xdr:row>
      <xdr:rowOff>44726</xdr:rowOff>
    </xdr:from>
    <xdr:to>
      <xdr:col>6</xdr:col>
      <xdr:colOff>404191</xdr:colOff>
      <xdr:row>5</xdr:row>
      <xdr:rowOff>172278</xdr:rowOff>
    </xdr:to>
    <xdr:sp macro="" textlink="">
      <xdr:nvSpPr>
        <xdr:cNvPr id="24" name="Oval 23">
          <a:extLst>
            <a:ext uri="{FF2B5EF4-FFF2-40B4-BE49-F238E27FC236}">
              <a16:creationId xmlns:a16="http://schemas.microsoft.com/office/drawing/2014/main" id="{FA0B77F3-41D8-44AB-B563-5585BCD33A64}"/>
            </a:ext>
          </a:extLst>
        </xdr:cNvPr>
        <xdr:cNvSpPr/>
      </xdr:nvSpPr>
      <xdr:spPr>
        <a:xfrm>
          <a:off x="3949480" y="972378"/>
          <a:ext cx="112311" cy="127552"/>
        </a:xfrm>
        <a:prstGeom prst="ellipse">
          <a:avLst/>
        </a:prstGeom>
        <a:solidFill>
          <a:schemeClr val="tx2">
            <a:lumMod val="20000"/>
            <a:lumOff val="80000"/>
            <a:alpha val="2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271670</xdr:colOff>
      <xdr:row>10</xdr:row>
      <xdr:rowOff>49696</xdr:rowOff>
    </xdr:from>
    <xdr:to>
      <xdr:col>0</xdr:col>
      <xdr:colOff>424070</xdr:colOff>
      <xdr:row>11</xdr:row>
      <xdr:rowOff>23191</xdr:rowOff>
    </xdr:to>
    <xdr:sp macro="" textlink="">
      <xdr:nvSpPr>
        <xdr:cNvPr id="25" name="Oval 24">
          <a:extLst>
            <a:ext uri="{FF2B5EF4-FFF2-40B4-BE49-F238E27FC236}">
              <a16:creationId xmlns:a16="http://schemas.microsoft.com/office/drawing/2014/main" id="{B0E5E435-314C-DB03-9163-978AB799A957}"/>
            </a:ext>
          </a:extLst>
        </xdr:cNvPr>
        <xdr:cNvSpPr/>
      </xdr:nvSpPr>
      <xdr:spPr>
        <a:xfrm>
          <a:off x="271670" y="1905000"/>
          <a:ext cx="152400" cy="159026"/>
        </a:xfrm>
        <a:prstGeom prst="ellipse">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371061</xdr:colOff>
      <xdr:row>10</xdr:row>
      <xdr:rowOff>49696</xdr:rowOff>
    </xdr:from>
    <xdr:to>
      <xdr:col>2</xdr:col>
      <xdr:colOff>523461</xdr:colOff>
      <xdr:row>11</xdr:row>
      <xdr:rowOff>23191</xdr:rowOff>
    </xdr:to>
    <xdr:sp macro="" textlink="">
      <xdr:nvSpPr>
        <xdr:cNvPr id="26" name="Oval 25">
          <a:extLst>
            <a:ext uri="{FF2B5EF4-FFF2-40B4-BE49-F238E27FC236}">
              <a16:creationId xmlns:a16="http://schemas.microsoft.com/office/drawing/2014/main" id="{8CCD2348-1356-43C2-9740-959E4D627529}"/>
            </a:ext>
          </a:extLst>
        </xdr:cNvPr>
        <xdr:cNvSpPr/>
      </xdr:nvSpPr>
      <xdr:spPr>
        <a:xfrm>
          <a:off x="1590261" y="1905000"/>
          <a:ext cx="152400" cy="159026"/>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483705</xdr:colOff>
      <xdr:row>10</xdr:row>
      <xdr:rowOff>49696</xdr:rowOff>
    </xdr:from>
    <xdr:to>
      <xdr:col>5</xdr:col>
      <xdr:colOff>26505</xdr:colOff>
      <xdr:row>11</xdr:row>
      <xdr:rowOff>23191</xdr:rowOff>
    </xdr:to>
    <xdr:sp macro="" textlink="">
      <xdr:nvSpPr>
        <xdr:cNvPr id="27" name="Oval 26">
          <a:extLst>
            <a:ext uri="{FF2B5EF4-FFF2-40B4-BE49-F238E27FC236}">
              <a16:creationId xmlns:a16="http://schemas.microsoft.com/office/drawing/2014/main" id="{A1C70C71-F9F1-4AEB-97CE-9858794842B4}"/>
            </a:ext>
          </a:extLst>
        </xdr:cNvPr>
        <xdr:cNvSpPr/>
      </xdr:nvSpPr>
      <xdr:spPr>
        <a:xfrm>
          <a:off x="2922105" y="1905000"/>
          <a:ext cx="152400" cy="159026"/>
        </a:xfrm>
        <a:prstGeom prst="ellipse">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443950</xdr:colOff>
      <xdr:row>10</xdr:row>
      <xdr:rowOff>12919</xdr:rowOff>
    </xdr:from>
    <xdr:to>
      <xdr:col>1</xdr:col>
      <xdr:colOff>563217</xdr:colOff>
      <xdr:row>11</xdr:row>
      <xdr:rowOff>66259</xdr:rowOff>
    </xdr:to>
    <xdr:sp macro="" textlink="Questions!D7">
      <xdr:nvSpPr>
        <xdr:cNvPr id="28" name="TextBox 27">
          <a:extLst>
            <a:ext uri="{FF2B5EF4-FFF2-40B4-BE49-F238E27FC236}">
              <a16:creationId xmlns:a16="http://schemas.microsoft.com/office/drawing/2014/main" id="{5656D42B-C3E2-4CB9-A92E-7A3EFB15CE40}"/>
            </a:ext>
          </a:extLst>
        </xdr:cNvPr>
        <xdr:cNvSpPr txBox="1"/>
      </xdr:nvSpPr>
      <xdr:spPr>
        <a:xfrm>
          <a:off x="443950" y="1868223"/>
          <a:ext cx="728867" cy="23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325498-9A75-4213-BDF8-04CF6A5E7AD8}" type="TxLink">
            <a:rPr lang="en-US" sz="1600" b="0" i="0" u="none" strike="noStrike">
              <a:solidFill>
                <a:schemeClr val="bg1"/>
              </a:solidFill>
              <a:latin typeface="Calibri"/>
              <a:ea typeface="Calibri"/>
              <a:cs typeface="Calibri"/>
            </a:rPr>
            <a:pPr marL="0" indent="0" algn="ctr"/>
            <a:t>3,000</a:t>
          </a:fld>
          <a:endParaRPr lang="en-IN" sz="1600" b="0" i="0" u="none" strike="noStrike">
            <a:solidFill>
              <a:schemeClr val="bg1"/>
            </a:solidFill>
            <a:latin typeface="Calibri"/>
            <a:ea typeface="Calibri"/>
            <a:cs typeface="Calibri"/>
          </a:endParaRPr>
        </a:p>
      </xdr:txBody>
    </xdr:sp>
    <xdr:clientData/>
  </xdr:twoCellAnchor>
  <xdr:twoCellAnchor>
    <xdr:from>
      <xdr:col>2</xdr:col>
      <xdr:colOff>318054</xdr:colOff>
      <xdr:row>9</xdr:row>
      <xdr:rowOff>185197</xdr:rowOff>
    </xdr:from>
    <xdr:to>
      <xdr:col>3</xdr:col>
      <xdr:colOff>437321</xdr:colOff>
      <xdr:row>11</xdr:row>
      <xdr:rowOff>53007</xdr:rowOff>
    </xdr:to>
    <xdr:sp macro="" textlink="Questions!N6">
      <xdr:nvSpPr>
        <xdr:cNvPr id="29" name="TextBox 28">
          <a:extLst>
            <a:ext uri="{FF2B5EF4-FFF2-40B4-BE49-F238E27FC236}">
              <a16:creationId xmlns:a16="http://schemas.microsoft.com/office/drawing/2014/main" id="{7F4DCDEC-5A30-4E09-8209-FF774F6C25F7}"/>
            </a:ext>
          </a:extLst>
        </xdr:cNvPr>
        <xdr:cNvSpPr txBox="1"/>
      </xdr:nvSpPr>
      <xdr:spPr>
        <a:xfrm>
          <a:off x="1537254" y="1854971"/>
          <a:ext cx="728867" cy="23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0AC067-006D-4705-AAB0-4F6EA1DC5969}" type="TxLink">
            <a:rPr lang="en-US" sz="1600" b="0" i="0" u="none" strike="noStrike">
              <a:solidFill>
                <a:schemeClr val="bg1"/>
              </a:solidFill>
              <a:latin typeface="Calibri"/>
              <a:ea typeface="Calibri"/>
              <a:cs typeface="Calibri"/>
            </a:rPr>
            <a:pPr marL="0" indent="0" algn="ctr"/>
            <a:t>5</a:t>
          </a:fld>
          <a:endParaRPr lang="en-US" sz="1600" b="0" i="0" u="none" strike="noStrike">
            <a:solidFill>
              <a:schemeClr val="bg1"/>
            </a:solidFill>
            <a:latin typeface="Calibri"/>
            <a:ea typeface="Calibri"/>
            <a:cs typeface="Calibri"/>
          </a:endParaRPr>
        </a:p>
      </xdr:txBody>
    </xdr:sp>
    <xdr:clientData/>
  </xdr:twoCellAnchor>
  <xdr:twoCellAnchor>
    <xdr:from>
      <xdr:col>4</xdr:col>
      <xdr:colOff>583099</xdr:colOff>
      <xdr:row>10</xdr:row>
      <xdr:rowOff>6293</xdr:rowOff>
    </xdr:from>
    <xdr:to>
      <xdr:col>6</xdr:col>
      <xdr:colOff>357809</xdr:colOff>
      <xdr:row>11</xdr:row>
      <xdr:rowOff>59633</xdr:rowOff>
    </xdr:to>
    <xdr:sp macro="" textlink="Questions!D26">
      <xdr:nvSpPr>
        <xdr:cNvPr id="30" name="TextBox 29">
          <a:extLst>
            <a:ext uri="{FF2B5EF4-FFF2-40B4-BE49-F238E27FC236}">
              <a16:creationId xmlns:a16="http://schemas.microsoft.com/office/drawing/2014/main" id="{896DFBF7-BEA6-412E-A7AF-AE33E9DA8A92}"/>
            </a:ext>
          </a:extLst>
        </xdr:cNvPr>
        <xdr:cNvSpPr txBox="1"/>
      </xdr:nvSpPr>
      <xdr:spPr>
        <a:xfrm>
          <a:off x="3021499" y="1861597"/>
          <a:ext cx="993910" cy="23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E46BFE-3C59-461D-9229-A57BABC4407F}" type="TxLink">
            <a:rPr lang="en-US" sz="1600" b="0" i="0" u="none" strike="noStrike">
              <a:solidFill>
                <a:schemeClr val="bg1"/>
              </a:solidFill>
              <a:latin typeface="Calibri"/>
              <a:ea typeface="Calibri"/>
              <a:cs typeface="Calibri"/>
            </a:rPr>
            <a:pPr marL="0" indent="0" algn="ctr"/>
            <a:t>7,52,421</a:t>
          </a:fld>
          <a:endParaRPr lang="en-US" sz="1600" b="0" i="0" u="none" strike="noStrike">
            <a:solidFill>
              <a:schemeClr val="bg1"/>
            </a:solidFill>
            <a:latin typeface="Calibri"/>
            <a:ea typeface="Calibri"/>
            <a:cs typeface="Calibri"/>
          </a:endParaRPr>
        </a:p>
      </xdr:txBody>
    </xdr:sp>
    <xdr:clientData/>
  </xdr:twoCellAnchor>
  <xdr:twoCellAnchor>
    <xdr:from>
      <xdr:col>6</xdr:col>
      <xdr:colOff>543672</xdr:colOff>
      <xdr:row>2</xdr:row>
      <xdr:rowOff>127552</xdr:rowOff>
    </xdr:from>
    <xdr:to>
      <xdr:col>11</xdr:col>
      <xdr:colOff>165652</xdr:colOff>
      <xdr:row>13</xdr:row>
      <xdr:rowOff>115957</xdr:rowOff>
    </xdr:to>
    <xdr:sp macro="" textlink="">
      <xdr:nvSpPr>
        <xdr:cNvPr id="31" name="Rectangle: Rounded Corners 30">
          <a:extLst>
            <a:ext uri="{FF2B5EF4-FFF2-40B4-BE49-F238E27FC236}">
              <a16:creationId xmlns:a16="http://schemas.microsoft.com/office/drawing/2014/main" id="{00FD8C9C-0506-4CA1-AC94-22B23836D79B}"/>
            </a:ext>
          </a:extLst>
        </xdr:cNvPr>
        <xdr:cNvSpPr/>
      </xdr:nvSpPr>
      <xdr:spPr>
        <a:xfrm>
          <a:off x="4201272" y="498613"/>
          <a:ext cx="2669980" cy="2029240"/>
        </a:xfrm>
        <a:prstGeom prst="roundRect">
          <a:avLst>
            <a:gd name="adj" fmla="val 311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258750</xdr:colOff>
      <xdr:row>2</xdr:row>
      <xdr:rowOff>127552</xdr:rowOff>
    </xdr:from>
    <xdr:to>
      <xdr:col>20</xdr:col>
      <xdr:colOff>258418</xdr:colOff>
      <xdr:row>13</xdr:row>
      <xdr:rowOff>115957</xdr:rowOff>
    </xdr:to>
    <xdr:sp macro="" textlink="">
      <xdr:nvSpPr>
        <xdr:cNvPr id="32" name="Rectangle: Rounded Corners 31">
          <a:extLst>
            <a:ext uri="{FF2B5EF4-FFF2-40B4-BE49-F238E27FC236}">
              <a16:creationId xmlns:a16="http://schemas.microsoft.com/office/drawing/2014/main" id="{6FAA57B8-0283-4AF1-961F-7D96A7A2CBDB}"/>
            </a:ext>
          </a:extLst>
        </xdr:cNvPr>
        <xdr:cNvSpPr/>
      </xdr:nvSpPr>
      <xdr:spPr>
        <a:xfrm>
          <a:off x="6964350" y="498613"/>
          <a:ext cx="5486068" cy="2029240"/>
        </a:xfrm>
        <a:prstGeom prst="roundRect">
          <a:avLst>
            <a:gd name="adj" fmla="val 311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539694</xdr:colOff>
      <xdr:row>2</xdr:row>
      <xdr:rowOff>165320</xdr:rowOff>
    </xdr:from>
    <xdr:to>
      <xdr:col>10</xdr:col>
      <xdr:colOff>106018</xdr:colOff>
      <xdr:row>4</xdr:row>
      <xdr:rowOff>46382</xdr:rowOff>
    </xdr:to>
    <xdr:sp macro="" textlink="">
      <xdr:nvSpPr>
        <xdr:cNvPr id="33" name="TextBox 32">
          <a:extLst>
            <a:ext uri="{FF2B5EF4-FFF2-40B4-BE49-F238E27FC236}">
              <a16:creationId xmlns:a16="http://schemas.microsoft.com/office/drawing/2014/main" id="{E51803BA-CC19-476E-B881-02722A287E1B}"/>
            </a:ext>
          </a:extLst>
        </xdr:cNvPr>
        <xdr:cNvSpPr txBox="1"/>
      </xdr:nvSpPr>
      <xdr:spPr>
        <a:xfrm>
          <a:off x="4197294" y="536381"/>
          <a:ext cx="2004724"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Items</a:t>
          </a:r>
          <a:r>
            <a:rPr lang="en-IN" sz="1200" baseline="0">
              <a:solidFill>
                <a:schemeClr val="bg1"/>
              </a:solidFill>
            </a:rPr>
            <a:t> Below Order Level</a:t>
          </a:r>
          <a:endParaRPr lang="en-IN" sz="1200">
            <a:solidFill>
              <a:schemeClr val="bg1"/>
            </a:solidFill>
          </a:endParaRPr>
        </a:p>
      </xdr:txBody>
    </xdr:sp>
    <xdr:clientData/>
  </xdr:twoCellAnchor>
  <xdr:twoCellAnchor>
    <xdr:from>
      <xdr:col>6</xdr:col>
      <xdr:colOff>556591</xdr:colOff>
      <xdr:row>4</xdr:row>
      <xdr:rowOff>92765</xdr:rowOff>
    </xdr:from>
    <xdr:to>
      <xdr:col>9</xdr:col>
      <xdr:colOff>245165</xdr:colOff>
      <xdr:row>12</xdr:row>
      <xdr:rowOff>92765</xdr:rowOff>
    </xdr:to>
    <xdr:graphicFrame macro="">
      <xdr:nvGraphicFramePr>
        <xdr:cNvPr id="34" name="Chart 33">
          <a:extLst>
            <a:ext uri="{FF2B5EF4-FFF2-40B4-BE49-F238E27FC236}">
              <a16:creationId xmlns:a16="http://schemas.microsoft.com/office/drawing/2014/main" id="{240BE9D9-C553-411C-9D9A-AE838D23E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231913</xdr:colOff>
      <xdr:row>5</xdr:row>
      <xdr:rowOff>109330</xdr:rowOff>
    </xdr:from>
    <xdr:to>
      <xdr:col>9</xdr:col>
      <xdr:colOff>364434</xdr:colOff>
      <xdr:row>6</xdr:row>
      <xdr:rowOff>66260</xdr:rowOff>
    </xdr:to>
    <xdr:sp macro="" textlink="">
      <xdr:nvSpPr>
        <xdr:cNvPr id="35" name="Oval 34">
          <a:extLst>
            <a:ext uri="{FF2B5EF4-FFF2-40B4-BE49-F238E27FC236}">
              <a16:creationId xmlns:a16="http://schemas.microsoft.com/office/drawing/2014/main" id="{339A002C-5DA9-4B0A-BC4B-68BA4AD4C9F1}"/>
            </a:ext>
          </a:extLst>
        </xdr:cNvPr>
        <xdr:cNvSpPr/>
      </xdr:nvSpPr>
      <xdr:spPr>
        <a:xfrm>
          <a:off x="5718313" y="1036982"/>
          <a:ext cx="132521" cy="142461"/>
        </a:xfrm>
        <a:prstGeom prst="ellipse">
          <a:avLst/>
        </a:prstGeom>
        <a:solidFill>
          <a:srgbClr val="C050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318052</xdr:colOff>
      <xdr:row>5</xdr:row>
      <xdr:rowOff>39424</xdr:rowOff>
    </xdr:from>
    <xdr:to>
      <xdr:col>11</xdr:col>
      <xdr:colOff>26506</xdr:colOff>
      <xdr:row>6</xdr:row>
      <xdr:rowOff>106016</xdr:rowOff>
    </xdr:to>
    <xdr:sp macro="" textlink="">
      <xdr:nvSpPr>
        <xdr:cNvPr id="36" name="TextBox 35">
          <a:extLst>
            <a:ext uri="{FF2B5EF4-FFF2-40B4-BE49-F238E27FC236}">
              <a16:creationId xmlns:a16="http://schemas.microsoft.com/office/drawing/2014/main" id="{3C4C611E-9A0D-4377-8F67-7684EE54772F}"/>
            </a:ext>
          </a:extLst>
        </xdr:cNvPr>
        <xdr:cNvSpPr txBox="1"/>
      </xdr:nvSpPr>
      <xdr:spPr>
        <a:xfrm>
          <a:off x="5804452" y="967076"/>
          <a:ext cx="927654"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Need</a:t>
          </a:r>
          <a:r>
            <a:rPr lang="en-IN" sz="1000" baseline="0">
              <a:solidFill>
                <a:schemeClr val="bg1"/>
              </a:solidFill>
            </a:rPr>
            <a:t> Reorder</a:t>
          </a:r>
          <a:endParaRPr lang="en-IN" sz="1000">
            <a:solidFill>
              <a:schemeClr val="bg1"/>
            </a:solidFill>
          </a:endParaRPr>
        </a:p>
      </xdr:txBody>
    </xdr:sp>
    <xdr:clientData/>
  </xdr:twoCellAnchor>
  <xdr:twoCellAnchor>
    <xdr:from>
      <xdr:col>9</xdr:col>
      <xdr:colOff>327661</xdr:colOff>
      <xdr:row>6</xdr:row>
      <xdr:rowOff>99391</xdr:rowOff>
    </xdr:from>
    <xdr:to>
      <xdr:col>10</xdr:col>
      <xdr:colOff>165652</xdr:colOff>
      <xdr:row>7</xdr:row>
      <xdr:rowOff>92764</xdr:rowOff>
    </xdr:to>
    <xdr:sp macro="" textlink="Questions!H15">
      <xdr:nvSpPr>
        <xdr:cNvPr id="37" name="TextBox 36">
          <a:extLst>
            <a:ext uri="{FF2B5EF4-FFF2-40B4-BE49-F238E27FC236}">
              <a16:creationId xmlns:a16="http://schemas.microsoft.com/office/drawing/2014/main" id="{22B04FCD-E58B-47C8-9F7D-82C27EAFDC3E}"/>
            </a:ext>
          </a:extLst>
        </xdr:cNvPr>
        <xdr:cNvSpPr txBox="1"/>
      </xdr:nvSpPr>
      <xdr:spPr>
        <a:xfrm>
          <a:off x="5814061" y="1212574"/>
          <a:ext cx="447591" cy="178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23AA19-368D-4117-A9BB-B1B51B9204B8}" type="TxLink">
            <a:rPr lang="en-US" sz="1200">
              <a:solidFill>
                <a:schemeClr val="bg1"/>
              </a:solidFill>
              <a:latin typeface="+mn-lt"/>
              <a:ea typeface="+mn-ea"/>
              <a:cs typeface="+mn-cs"/>
            </a:rPr>
            <a:pPr marL="0" indent="0" algn="ctr"/>
            <a:t>429</a:t>
          </a:fld>
          <a:endParaRPr lang="en-IN" sz="1200">
            <a:solidFill>
              <a:schemeClr val="bg1"/>
            </a:solidFill>
            <a:latin typeface="+mn-lt"/>
            <a:ea typeface="+mn-ea"/>
            <a:cs typeface="+mn-cs"/>
          </a:endParaRPr>
        </a:p>
      </xdr:txBody>
    </xdr:sp>
    <xdr:clientData/>
  </xdr:twoCellAnchor>
  <xdr:twoCellAnchor>
    <xdr:from>
      <xdr:col>9</xdr:col>
      <xdr:colOff>231913</xdr:colOff>
      <xdr:row>9</xdr:row>
      <xdr:rowOff>23191</xdr:rowOff>
    </xdr:from>
    <xdr:to>
      <xdr:col>9</xdr:col>
      <xdr:colOff>364434</xdr:colOff>
      <xdr:row>9</xdr:row>
      <xdr:rowOff>165652</xdr:rowOff>
    </xdr:to>
    <xdr:sp macro="" textlink="">
      <xdr:nvSpPr>
        <xdr:cNvPr id="38" name="Oval 37">
          <a:extLst>
            <a:ext uri="{FF2B5EF4-FFF2-40B4-BE49-F238E27FC236}">
              <a16:creationId xmlns:a16="http://schemas.microsoft.com/office/drawing/2014/main" id="{BEE334FD-58BE-41BA-A168-24E615362B49}"/>
            </a:ext>
          </a:extLst>
        </xdr:cNvPr>
        <xdr:cNvSpPr/>
      </xdr:nvSpPr>
      <xdr:spPr>
        <a:xfrm>
          <a:off x="5718313" y="1692965"/>
          <a:ext cx="132521" cy="142461"/>
        </a:xfrm>
        <a:prstGeom prst="ellipse">
          <a:avLst/>
        </a:prstGeom>
        <a:solidFill>
          <a:srgbClr val="7F7F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301158</xdr:colOff>
      <xdr:row>8</xdr:row>
      <xdr:rowOff>172279</xdr:rowOff>
    </xdr:from>
    <xdr:to>
      <xdr:col>10</xdr:col>
      <xdr:colOff>304802</xdr:colOff>
      <xdr:row>9</xdr:row>
      <xdr:rowOff>185529</xdr:rowOff>
    </xdr:to>
    <xdr:sp macro="" textlink="">
      <xdr:nvSpPr>
        <xdr:cNvPr id="39" name="TextBox 38">
          <a:extLst>
            <a:ext uri="{FF2B5EF4-FFF2-40B4-BE49-F238E27FC236}">
              <a16:creationId xmlns:a16="http://schemas.microsoft.com/office/drawing/2014/main" id="{95246426-EF00-4A09-9E4E-7B2170E955D6}"/>
            </a:ext>
          </a:extLst>
        </xdr:cNvPr>
        <xdr:cNvSpPr txBox="1"/>
      </xdr:nvSpPr>
      <xdr:spPr>
        <a:xfrm>
          <a:off x="5787558" y="1656522"/>
          <a:ext cx="613244" cy="19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00">
              <a:solidFill>
                <a:schemeClr val="bg1"/>
              </a:solidFill>
              <a:latin typeface="+mn-lt"/>
              <a:ea typeface="+mn-ea"/>
              <a:cs typeface="+mn-cs"/>
            </a:rPr>
            <a:t>Others</a:t>
          </a:r>
        </a:p>
      </xdr:txBody>
    </xdr:sp>
    <xdr:clientData/>
  </xdr:twoCellAnchor>
  <xdr:twoCellAnchor>
    <xdr:from>
      <xdr:col>9</xdr:col>
      <xdr:colOff>340913</xdr:colOff>
      <xdr:row>10</xdr:row>
      <xdr:rowOff>26505</xdr:rowOff>
    </xdr:from>
    <xdr:to>
      <xdr:col>10</xdr:col>
      <xdr:colOff>238539</xdr:colOff>
      <xdr:row>10</xdr:row>
      <xdr:rowOff>178905</xdr:rowOff>
    </xdr:to>
    <xdr:sp macro="" textlink="Questions!H14">
      <xdr:nvSpPr>
        <xdr:cNvPr id="40" name="TextBox 39">
          <a:extLst>
            <a:ext uri="{FF2B5EF4-FFF2-40B4-BE49-F238E27FC236}">
              <a16:creationId xmlns:a16="http://schemas.microsoft.com/office/drawing/2014/main" id="{5B6D9902-D48F-4CCB-9B14-52C7475A4E58}"/>
            </a:ext>
          </a:extLst>
        </xdr:cNvPr>
        <xdr:cNvSpPr txBox="1"/>
      </xdr:nvSpPr>
      <xdr:spPr>
        <a:xfrm>
          <a:off x="5827313" y="1881809"/>
          <a:ext cx="507226"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840672-68C6-463F-B254-A8F03A052CEF}" type="TxLink">
            <a:rPr lang="en-US" sz="1200">
              <a:solidFill>
                <a:schemeClr val="bg1"/>
              </a:solidFill>
              <a:latin typeface="+mn-lt"/>
              <a:ea typeface="+mn-ea"/>
              <a:cs typeface="+mn-cs"/>
            </a:rPr>
            <a:pPr marL="0" indent="0" algn="ctr"/>
            <a:t>2571</a:t>
          </a:fld>
          <a:endParaRPr lang="en-IN" sz="1200">
            <a:solidFill>
              <a:schemeClr val="bg1"/>
            </a:solidFill>
            <a:latin typeface="+mn-lt"/>
            <a:ea typeface="+mn-ea"/>
            <a:cs typeface="+mn-cs"/>
          </a:endParaRPr>
        </a:p>
      </xdr:txBody>
    </xdr:sp>
    <xdr:clientData/>
  </xdr:twoCellAnchor>
  <xdr:twoCellAnchor>
    <xdr:from>
      <xdr:col>7</xdr:col>
      <xdr:colOff>274652</xdr:colOff>
      <xdr:row>12</xdr:row>
      <xdr:rowOff>26173</xdr:rowOff>
    </xdr:from>
    <xdr:to>
      <xdr:col>10</xdr:col>
      <xdr:colOff>357810</xdr:colOff>
      <xdr:row>13</xdr:row>
      <xdr:rowOff>92765</xdr:rowOff>
    </xdr:to>
    <xdr:sp macro="" textlink="Questions!G19">
      <xdr:nvSpPr>
        <xdr:cNvPr id="41" name="TextBox 40">
          <a:extLst>
            <a:ext uri="{FF2B5EF4-FFF2-40B4-BE49-F238E27FC236}">
              <a16:creationId xmlns:a16="http://schemas.microsoft.com/office/drawing/2014/main" id="{D1623CC9-18D9-475A-BD2F-7B3AD21E4646}"/>
            </a:ext>
          </a:extLst>
        </xdr:cNvPr>
        <xdr:cNvSpPr txBox="1"/>
      </xdr:nvSpPr>
      <xdr:spPr>
        <a:xfrm>
          <a:off x="4541852" y="2252538"/>
          <a:ext cx="1911958"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21F184-37A6-4D35-95DD-F280EADC0749}" type="TxLink">
            <a:rPr lang="en-US" sz="900" b="0" i="0" u="none" strike="noStrike">
              <a:solidFill>
                <a:schemeClr val="bg1">
                  <a:lumMod val="65000"/>
                </a:schemeClr>
              </a:solidFill>
              <a:latin typeface="Calibri"/>
              <a:ea typeface="Calibri"/>
              <a:cs typeface="Calibri"/>
            </a:rPr>
            <a:pPr marL="0" indent="0" algn="ctr"/>
            <a:t>14.3% are Below Reorder Level</a:t>
          </a:fld>
          <a:endParaRPr lang="en-IN" sz="900" b="0" i="0" u="none" strike="noStrike">
            <a:solidFill>
              <a:schemeClr val="bg1">
                <a:lumMod val="65000"/>
              </a:schemeClr>
            </a:solidFill>
            <a:latin typeface="Calibri"/>
            <a:ea typeface="Calibri"/>
            <a:cs typeface="Calibri"/>
          </a:endParaRPr>
        </a:p>
      </xdr:txBody>
    </xdr:sp>
    <xdr:clientData/>
  </xdr:twoCellAnchor>
  <xdr:twoCellAnchor>
    <xdr:from>
      <xdr:col>11</xdr:col>
      <xdr:colOff>215016</xdr:colOff>
      <xdr:row>2</xdr:row>
      <xdr:rowOff>171946</xdr:rowOff>
    </xdr:from>
    <xdr:to>
      <xdr:col>16</xdr:col>
      <xdr:colOff>536715</xdr:colOff>
      <xdr:row>4</xdr:row>
      <xdr:rowOff>53008</xdr:rowOff>
    </xdr:to>
    <xdr:sp macro="" textlink="">
      <xdr:nvSpPr>
        <xdr:cNvPr id="42" name="TextBox 41">
          <a:extLst>
            <a:ext uri="{FF2B5EF4-FFF2-40B4-BE49-F238E27FC236}">
              <a16:creationId xmlns:a16="http://schemas.microsoft.com/office/drawing/2014/main" id="{E13446E5-E90D-4DCF-A628-CEC2194873AC}"/>
            </a:ext>
          </a:extLst>
        </xdr:cNvPr>
        <xdr:cNvSpPr txBox="1"/>
      </xdr:nvSpPr>
      <xdr:spPr>
        <a:xfrm>
          <a:off x="6920616" y="543007"/>
          <a:ext cx="3369699"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Which</a:t>
          </a:r>
          <a:r>
            <a:rPr lang="en-IN" sz="1200" baseline="0">
              <a:solidFill>
                <a:schemeClr val="bg1"/>
              </a:solidFill>
            </a:rPr>
            <a:t> Supplier Deliver the Most Products?</a:t>
          </a:r>
          <a:endParaRPr lang="en-IN" sz="1200">
            <a:solidFill>
              <a:schemeClr val="bg1"/>
            </a:solidFill>
          </a:endParaRPr>
        </a:p>
      </xdr:txBody>
    </xdr:sp>
    <xdr:clientData/>
  </xdr:twoCellAnchor>
  <xdr:twoCellAnchor>
    <xdr:from>
      <xdr:col>0</xdr:col>
      <xdr:colOff>106351</xdr:colOff>
      <xdr:row>14</xdr:row>
      <xdr:rowOff>34786</xdr:rowOff>
    </xdr:from>
    <xdr:to>
      <xdr:col>4</xdr:col>
      <xdr:colOff>92765</xdr:colOff>
      <xdr:row>22</xdr:row>
      <xdr:rowOff>139147</xdr:rowOff>
    </xdr:to>
    <xdr:sp macro="" textlink="">
      <xdr:nvSpPr>
        <xdr:cNvPr id="44" name="Rectangle: Rounded Corners 43">
          <a:extLst>
            <a:ext uri="{FF2B5EF4-FFF2-40B4-BE49-F238E27FC236}">
              <a16:creationId xmlns:a16="http://schemas.microsoft.com/office/drawing/2014/main" id="{60546618-F6F8-4238-9072-484CD79D7E80}"/>
            </a:ext>
          </a:extLst>
        </xdr:cNvPr>
        <xdr:cNvSpPr/>
      </xdr:nvSpPr>
      <xdr:spPr>
        <a:xfrm>
          <a:off x="106351" y="2632212"/>
          <a:ext cx="2424814" cy="1588605"/>
        </a:xfrm>
        <a:prstGeom prst="roundRect">
          <a:avLst>
            <a:gd name="adj" fmla="val 311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106351</xdr:colOff>
      <xdr:row>23</xdr:row>
      <xdr:rowOff>61290</xdr:rowOff>
    </xdr:from>
    <xdr:to>
      <xdr:col>4</xdr:col>
      <xdr:colOff>92765</xdr:colOff>
      <xdr:row>31</xdr:row>
      <xdr:rowOff>165652</xdr:rowOff>
    </xdr:to>
    <xdr:sp macro="" textlink="">
      <xdr:nvSpPr>
        <xdr:cNvPr id="45" name="Rectangle: Rounded Corners 44">
          <a:extLst>
            <a:ext uri="{FF2B5EF4-FFF2-40B4-BE49-F238E27FC236}">
              <a16:creationId xmlns:a16="http://schemas.microsoft.com/office/drawing/2014/main" id="{AA416640-BAD1-43C2-B739-876DDFBD816A}"/>
            </a:ext>
          </a:extLst>
        </xdr:cNvPr>
        <xdr:cNvSpPr/>
      </xdr:nvSpPr>
      <xdr:spPr>
        <a:xfrm>
          <a:off x="106351" y="4328490"/>
          <a:ext cx="2424814" cy="1588605"/>
        </a:xfrm>
        <a:prstGeom prst="roundRect">
          <a:avLst>
            <a:gd name="adj" fmla="val 311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112644</xdr:colOff>
      <xdr:row>13</xdr:row>
      <xdr:rowOff>178904</xdr:rowOff>
    </xdr:from>
    <xdr:to>
      <xdr:col>4</xdr:col>
      <xdr:colOff>72888</xdr:colOff>
      <xdr:row>16</xdr:row>
      <xdr:rowOff>92765</xdr:rowOff>
    </xdr:to>
    <xdr:sp macro="" textlink="">
      <xdr:nvSpPr>
        <xdr:cNvPr id="46" name="TextBox 45">
          <a:extLst>
            <a:ext uri="{FF2B5EF4-FFF2-40B4-BE49-F238E27FC236}">
              <a16:creationId xmlns:a16="http://schemas.microsoft.com/office/drawing/2014/main" id="{E9CC87AD-E5FA-440E-B584-C949DADC8426}"/>
            </a:ext>
          </a:extLst>
        </xdr:cNvPr>
        <xdr:cNvSpPr txBox="1"/>
      </xdr:nvSpPr>
      <xdr:spPr>
        <a:xfrm>
          <a:off x="112644" y="2590800"/>
          <a:ext cx="2398644" cy="470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bg1"/>
              </a:solidFill>
              <a:latin typeface="+mn-lt"/>
              <a:ea typeface="+mn-ea"/>
              <a:cs typeface="+mn-cs"/>
            </a:rPr>
            <a:t>Which Category has the Most Low-Stock Product ?</a:t>
          </a:r>
        </a:p>
      </xdr:txBody>
    </xdr:sp>
    <xdr:clientData/>
  </xdr:twoCellAnchor>
  <xdr:twoCellAnchor>
    <xdr:from>
      <xdr:col>0</xdr:col>
      <xdr:colOff>102373</xdr:colOff>
      <xdr:row>21</xdr:row>
      <xdr:rowOff>85806</xdr:rowOff>
    </xdr:from>
    <xdr:to>
      <xdr:col>4</xdr:col>
      <xdr:colOff>53008</xdr:colOff>
      <xdr:row>22</xdr:row>
      <xdr:rowOff>152398</xdr:rowOff>
    </xdr:to>
    <xdr:sp macro="" textlink="Questions!Z18">
      <xdr:nvSpPr>
        <xdr:cNvPr id="48" name="TextBox 47">
          <a:extLst>
            <a:ext uri="{FF2B5EF4-FFF2-40B4-BE49-F238E27FC236}">
              <a16:creationId xmlns:a16="http://schemas.microsoft.com/office/drawing/2014/main" id="{EA53E189-E627-46E7-B909-10FE402AE049}"/>
            </a:ext>
          </a:extLst>
        </xdr:cNvPr>
        <xdr:cNvSpPr txBox="1"/>
      </xdr:nvSpPr>
      <xdr:spPr>
        <a:xfrm>
          <a:off x="102373" y="3981945"/>
          <a:ext cx="2389035"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6A8FBB-74C7-4D2A-AE42-53910FEB8CE8}" type="TxLink">
            <a:rPr lang="en-US" sz="900" b="0" i="0" u="none" strike="noStrike">
              <a:solidFill>
                <a:schemeClr val="bg1">
                  <a:lumMod val="65000"/>
                </a:schemeClr>
              </a:solidFill>
              <a:latin typeface="Calibri"/>
              <a:ea typeface="Calibri"/>
              <a:cs typeface="Calibri"/>
            </a:rPr>
            <a:pPr marL="0" indent="0" algn="ctr"/>
            <a:t>429 Products Have Most Low-Stock</a:t>
          </a:fld>
          <a:endParaRPr lang="en-IN" sz="900" b="0" i="0" u="none" strike="noStrike">
            <a:solidFill>
              <a:schemeClr val="bg1">
                <a:lumMod val="65000"/>
              </a:schemeClr>
            </a:solidFill>
            <a:latin typeface="Calibri"/>
            <a:ea typeface="Calibri"/>
            <a:cs typeface="Calibri"/>
          </a:endParaRPr>
        </a:p>
      </xdr:txBody>
    </xdr:sp>
    <xdr:clientData/>
  </xdr:twoCellAnchor>
  <xdr:twoCellAnchor>
    <xdr:from>
      <xdr:col>0</xdr:col>
      <xdr:colOff>53008</xdr:colOff>
      <xdr:row>23</xdr:row>
      <xdr:rowOff>72887</xdr:rowOff>
    </xdr:from>
    <xdr:to>
      <xdr:col>4</xdr:col>
      <xdr:colOff>132521</xdr:colOff>
      <xdr:row>24</xdr:row>
      <xdr:rowOff>125896</xdr:rowOff>
    </xdr:to>
    <xdr:sp macro="" textlink="">
      <xdr:nvSpPr>
        <xdr:cNvPr id="49" name="TextBox 48">
          <a:extLst>
            <a:ext uri="{FF2B5EF4-FFF2-40B4-BE49-F238E27FC236}">
              <a16:creationId xmlns:a16="http://schemas.microsoft.com/office/drawing/2014/main" id="{6B805F31-0CF7-4088-8EC5-790D68E96E7C}"/>
            </a:ext>
          </a:extLst>
        </xdr:cNvPr>
        <xdr:cNvSpPr txBox="1"/>
      </xdr:nvSpPr>
      <xdr:spPr>
        <a:xfrm>
          <a:off x="53008" y="4340087"/>
          <a:ext cx="2517913" cy="23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bg1"/>
              </a:solidFill>
              <a:latin typeface="+mn-lt"/>
              <a:ea typeface="+mn-ea"/>
              <a:cs typeface="+mn-cs"/>
            </a:rPr>
            <a:t>Are</a:t>
          </a:r>
          <a:r>
            <a:rPr lang="en-IN" sz="1200" baseline="0">
              <a:solidFill>
                <a:schemeClr val="bg1"/>
              </a:solidFill>
              <a:latin typeface="+mn-lt"/>
              <a:ea typeface="+mn-ea"/>
              <a:cs typeface="+mn-cs"/>
            </a:rPr>
            <a:t> We Overstocking Any Products ?</a:t>
          </a:r>
          <a:endParaRPr lang="en-IN" sz="1200">
            <a:solidFill>
              <a:schemeClr val="bg1"/>
            </a:solidFill>
            <a:latin typeface="+mn-lt"/>
            <a:ea typeface="+mn-ea"/>
            <a:cs typeface="+mn-cs"/>
          </a:endParaRPr>
        </a:p>
      </xdr:txBody>
    </xdr:sp>
    <xdr:clientData/>
  </xdr:twoCellAnchor>
  <xdr:twoCellAnchor>
    <xdr:from>
      <xdr:col>0</xdr:col>
      <xdr:colOff>139148</xdr:colOff>
      <xdr:row>24</xdr:row>
      <xdr:rowOff>112644</xdr:rowOff>
    </xdr:from>
    <xdr:to>
      <xdr:col>2</xdr:col>
      <xdr:colOff>125897</xdr:colOff>
      <xdr:row>31</xdr:row>
      <xdr:rowOff>1</xdr:rowOff>
    </xdr:to>
    <xdr:graphicFrame macro="">
      <xdr:nvGraphicFramePr>
        <xdr:cNvPr id="50" name="Chart 49">
          <a:extLst>
            <a:ext uri="{FF2B5EF4-FFF2-40B4-BE49-F238E27FC236}">
              <a16:creationId xmlns:a16="http://schemas.microsoft.com/office/drawing/2014/main" id="{CBC4846F-E7C0-4109-9A45-0127D63DC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205409</xdr:colOff>
      <xdr:row>25</xdr:row>
      <xdr:rowOff>89451</xdr:rowOff>
    </xdr:from>
    <xdr:to>
      <xdr:col>2</xdr:col>
      <xdr:colOff>337930</xdr:colOff>
      <xdr:row>26</xdr:row>
      <xdr:rowOff>46382</xdr:rowOff>
    </xdr:to>
    <xdr:sp macro="" textlink="">
      <xdr:nvSpPr>
        <xdr:cNvPr id="51" name="Oval 50">
          <a:extLst>
            <a:ext uri="{FF2B5EF4-FFF2-40B4-BE49-F238E27FC236}">
              <a16:creationId xmlns:a16="http://schemas.microsoft.com/office/drawing/2014/main" id="{063E467F-51D4-4AEF-B354-BE04AB5EA670}"/>
            </a:ext>
          </a:extLst>
        </xdr:cNvPr>
        <xdr:cNvSpPr/>
      </xdr:nvSpPr>
      <xdr:spPr>
        <a:xfrm>
          <a:off x="1424609" y="4727712"/>
          <a:ext cx="132521" cy="142461"/>
        </a:xfrm>
        <a:prstGeom prst="ellipse">
          <a:avLst/>
        </a:prstGeom>
        <a:solidFill>
          <a:srgbClr val="C050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192156</xdr:colOff>
      <xdr:row>28</xdr:row>
      <xdr:rowOff>69573</xdr:rowOff>
    </xdr:from>
    <xdr:to>
      <xdr:col>2</xdr:col>
      <xdr:colOff>324677</xdr:colOff>
      <xdr:row>29</xdr:row>
      <xdr:rowOff>26503</xdr:rowOff>
    </xdr:to>
    <xdr:sp macro="" textlink="">
      <xdr:nvSpPr>
        <xdr:cNvPr id="52" name="Oval 51">
          <a:extLst>
            <a:ext uri="{FF2B5EF4-FFF2-40B4-BE49-F238E27FC236}">
              <a16:creationId xmlns:a16="http://schemas.microsoft.com/office/drawing/2014/main" id="{8C0BACBB-0645-4301-9CC2-3485EA992571}"/>
            </a:ext>
          </a:extLst>
        </xdr:cNvPr>
        <xdr:cNvSpPr/>
      </xdr:nvSpPr>
      <xdr:spPr>
        <a:xfrm>
          <a:off x="1411356" y="5264425"/>
          <a:ext cx="132521" cy="142461"/>
        </a:xfrm>
        <a:prstGeom prst="ellipse">
          <a:avLst/>
        </a:prstGeom>
        <a:solidFill>
          <a:srgbClr val="7F7F7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271671</xdr:colOff>
      <xdr:row>25</xdr:row>
      <xdr:rowOff>32797</xdr:rowOff>
    </xdr:from>
    <xdr:to>
      <xdr:col>3</xdr:col>
      <xdr:colOff>589725</xdr:colOff>
      <xdr:row>26</xdr:row>
      <xdr:rowOff>99390</xdr:rowOff>
    </xdr:to>
    <xdr:sp macro="" textlink="">
      <xdr:nvSpPr>
        <xdr:cNvPr id="53" name="TextBox 52">
          <a:extLst>
            <a:ext uri="{FF2B5EF4-FFF2-40B4-BE49-F238E27FC236}">
              <a16:creationId xmlns:a16="http://schemas.microsoft.com/office/drawing/2014/main" id="{4E3716A3-F05D-4FC3-B839-298F14B7958E}"/>
            </a:ext>
          </a:extLst>
        </xdr:cNvPr>
        <xdr:cNvSpPr txBox="1"/>
      </xdr:nvSpPr>
      <xdr:spPr>
        <a:xfrm>
          <a:off x="1490871" y="4671058"/>
          <a:ext cx="927654"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Overstocked</a:t>
          </a:r>
        </a:p>
      </xdr:txBody>
    </xdr:sp>
    <xdr:clientData/>
  </xdr:twoCellAnchor>
  <xdr:twoCellAnchor>
    <xdr:from>
      <xdr:col>2</xdr:col>
      <xdr:colOff>284922</xdr:colOff>
      <xdr:row>28</xdr:row>
      <xdr:rowOff>65928</xdr:rowOff>
    </xdr:from>
    <xdr:to>
      <xdr:col>3</xdr:col>
      <xdr:colOff>251794</xdr:colOff>
      <xdr:row>29</xdr:row>
      <xdr:rowOff>39757</xdr:rowOff>
    </xdr:to>
    <xdr:sp macro="" textlink="">
      <xdr:nvSpPr>
        <xdr:cNvPr id="54" name="TextBox 53">
          <a:extLst>
            <a:ext uri="{FF2B5EF4-FFF2-40B4-BE49-F238E27FC236}">
              <a16:creationId xmlns:a16="http://schemas.microsoft.com/office/drawing/2014/main" id="{01028D86-83B7-4282-87F3-4F657E386F07}"/>
            </a:ext>
          </a:extLst>
        </xdr:cNvPr>
        <xdr:cNvSpPr txBox="1"/>
      </xdr:nvSpPr>
      <xdr:spPr>
        <a:xfrm>
          <a:off x="1504122" y="5260780"/>
          <a:ext cx="576472" cy="15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rPr>
            <a:t>Others</a:t>
          </a:r>
        </a:p>
      </xdr:txBody>
    </xdr:sp>
    <xdr:clientData/>
  </xdr:twoCellAnchor>
  <xdr:twoCellAnchor>
    <xdr:from>
      <xdr:col>2</xdr:col>
      <xdr:colOff>304801</xdr:colOff>
      <xdr:row>26</xdr:row>
      <xdr:rowOff>39757</xdr:rowOff>
    </xdr:from>
    <xdr:to>
      <xdr:col>3</xdr:col>
      <xdr:colOff>238540</xdr:colOff>
      <xdr:row>27</xdr:row>
      <xdr:rowOff>66259</xdr:rowOff>
    </xdr:to>
    <xdr:sp macro="" textlink="Questions!$AN$9">
      <xdr:nvSpPr>
        <xdr:cNvPr id="55" name="TextBox 54">
          <a:extLst>
            <a:ext uri="{FF2B5EF4-FFF2-40B4-BE49-F238E27FC236}">
              <a16:creationId xmlns:a16="http://schemas.microsoft.com/office/drawing/2014/main" id="{C4094C11-1A71-46F6-9758-51E1D671C4E2}"/>
            </a:ext>
          </a:extLst>
        </xdr:cNvPr>
        <xdr:cNvSpPr txBox="1"/>
      </xdr:nvSpPr>
      <xdr:spPr>
        <a:xfrm>
          <a:off x="1524001" y="4863548"/>
          <a:ext cx="543339" cy="212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6228AA-6CE2-48C4-9A59-8B93709766DF}" type="TxLink">
            <a:rPr lang="en-US" sz="1200">
              <a:solidFill>
                <a:schemeClr val="bg1"/>
              </a:solidFill>
              <a:latin typeface="+mn-lt"/>
              <a:ea typeface="+mn-ea"/>
              <a:cs typeface="+mn-cs"/>
            </a:rPr>
            <a:pPr marL="0" indent="0" algn="ctr"/>
            <a:t>1,791</a:t>
          </a:fld>
          <a:endParaRPr lang="en-IN" sz="1200">
            <a:solidFill>
              <a:schemeClr val="bg1"/>
            </a:solidFill>
            <a:latin typeface="+mn-lt"/>
            <a:ea typeface="+mn-ea"/>
            <a:cs typeface="+mn-cs"/>
          </a:endParaRPr>
        </a:p>
      </xdr:txBody>
    </xdr:sp>
    <xdr:clientData/>
  </xdr:twoCellAnchor>
  <xdr:twoCellAnchor>
    <xdr:from>
      <xdr:col>2</xdr:col>
      <xdr:colOff>268027</xdr:colOff>
      <xdr:row>29</xdr:row>
      <xdr:rowOff>53006</xdr:rowOff>
    </xdr:from>
    <xdr:to>
      <xdr:col>3</xdr:col>
      <xdr:colOff>258417</xdr:colOff>
      <xdr:row>30</xdr:row>
      <xdr:rowOff>39755</xdr:rowOff>
    </xdr:to>
    <xdr:sp macro="" textlink="Questions!$AN$8">
      <xdr:nvSpPr>
        <xdr:cNvPr id="56" name="TextBox 55">
          <a:extLst>
            <a:ext uri="{FF2B5EF4-FFF2-40B4-BE49-F238E27FC236}">
              <a16:creationId xmlns:a16="http://schemas.microsoft.com/office/drawing/2014/main" id="{8FC943C7-8B65-424C-93A7-6750A2EAD02E}"/>
            </a:ext>
          </a:extLst>
        </xdr:cNvPr>
        <xdr:cNvSpPr txBox="1"/>
      </xdr:nvSpPr>
      <xdr:spPr>
        <a:xfrm>
          <a:off x="1487227" y="5433389"/>
          <a:ext cx="599990" cy="172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7D75D5-06CA-4571-A79C-4075F53ED8DC}" type="TxLink">
            <a:rPr lang="en-US" sz="1200">
              <a:solidFill>
                <a:schemeClr val="bg1"/>
              </a:solidFill>
              <a:latin typeface="+mn-lt"/>
              <a:ea typeface="+mn-ea"/>
              <a:cs typeface="+mn-cs"/>
            </a:rPr>
            <a:pPr marL="0" indent="0" algn="ctr"/>
            <a:t>1,209</a:t>
          </a:fld>
          <a:endParaRPr lang="en-IN" sz="1200">
            <a:solidFill>
              <a:schemeClr val="bg1"/>
            </a:solidFill>
            <a:latin typeface="+mn-lt"/>
            <a:ea typeface="+mn-ea"/>
            <a:cs typeface="+mn-cs"/>
          </a:endParaRPr>
        </a:p>
      </xdr:txBody>
    </xdr:sp>
    <xdr:clientData/>
  </xdr:twoCellAnchor>
  <xdr:twoCellAnchor>
    <xdr:from>
      <xdr:col>0</xdr:col>
      <xdr:colOff>301156</xdr:colOff>
      <xdr:row>30</xdr:row>
      <xdr:rowOff>92434</xdr:rowOff>
    </xdr:from>
    <xdr:to>
      <xdr:col>3</xdr:col>
      <xdr:colOff>384314</xdr:colOff>
      <xdr:row>31</xdr:row>
      <xdr:rowOff>159027</xdr:rowOff>
    </xdr:to>
    <xdr:sp macro="" textlink="Questions!AM20">
      <xdr:nvSpPr>
        <xdr:cNvPr id="57" name="TextBox 56">
          <a:extLst>
            <a:ext uri="{FF2B5EF4-FFF2-40B4-BE49-F238E27FC236}">
              <a16:creationId xmlns:a16="http://schemas.microsoft.com/office/drawing/2014/main" id="{C301858D-BF5E-4017-BB4A-C6D747A6FFE1}"/>
            </a:ext>
          </a:extLst>
        </xdr:cNvPr>
        <xdr:cNvSpPr txBox="1"/>
      </xdr:nvSpPr>
      <xdr:spPr>
        <a:xfrm>
          <a:off x="301156" y="5658347"/>
          <a:ext cx="1911958"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708AB2-E562-4FBE-AECE-0B501A14653C}" type="TxLink">
            <a:rPr lang="en-US" sz="900" b="0" i="0" u="none" strike="noStrike">
              <a:solidFill>
                <a:schemeClr val="bg1">
                  <a:lumMod val="65000"/>
                </a:schemeClr>
              </a:solidFill>
              <a:latin typeface="Calibri"/>
              <a:ea typeface="Calibri"/>
              <a:cs typeface="Calibri"/>
            </a:rPr>
            <a:pPr marL="0" indent="0" algn="ctr"/>
            <a:t>59.7% of Products are Overstocked</a:t>
          </a:fld>
          <a:endParaRPr lang="en-IN" sz="900" b="0" i="0" u="none" strike="noStrike">
            <a:solidFill>
              <a:schemeClr val="bg1">
                <a:lumMod val="65000"/>
              </a:schemeClr>
            </a:solidFill>
            <a:latin typeface="Calibri"/>
            <a:ea typeface="Calibri"/>
            <a:cs typeface="Calibri"/>
          </a:endParaRPr>
        </a:p>
      </xdr:txBody>
    </xdr:sp>
    <xdr:clientData/>
  </xdr:twoCellAnchor>
  <xdr:twoCellAnchor>
    <xdr:from>
      <xdr:col>4</xdr:col>
      <xdr:colOff>179238</xdr:colOff>
      <xdr:row>14</xdr:row>
      <xdr:rowOff>34786</xdr:rowOff>
    </xdr:from>
    <xdr:to>
      <xdr:col>6</xdr:col>
      <xdr:colOff>417444</xdr:colOff>
      <xdr:row>31</xdr:row>
      <xdr:rowOff>172278</xdr:rowOff>
    </xdr:to>
    <xdr:sp macro="" textlink="">
      <xdr:nvSpPr>
        <xdr:cNvPr id="58" name="Rectangle: Rounded Corners 57">
          <a:extLst>
            <a:ext uri="{FF2B5EF4-FFF2-40B4-BE49-F238E27FC236}">
              <a16:creationId xmlns:a16="http://schemas.microsoft.com/office/drawing/2014/main" id="{27D9C10D-6EC2-497F-8C77-32E366A7D100}"/>
            </a:ext>
          </a:extLst>
        </xdr:cNvPr>
        <xdr:cNvSpPr/>
      </xdr:nvSpPr>
      <xdr:spPr>
        <a:xfrm>
          <a:off x="2617638" y="2632212"/>
          <a:ext cx="1457406" cy="3291509"/>
        </a:xfrm>
        <a:prstGeom prst="roundRect">
          <a:avLst>
            <a:gd name="adj" fmla="val 311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523795</xdr:colOff>
      <xdr:row>14</xdr:row>
      <xdr:rowOff>34788</xdr:rowOff>
    </xdr:from>
    <xdr:to>
      <xdr:col>11</xdr:col>
      <xdr:colOff>178905</xdr:colOff>
      <xdr:row>17</xdr:row>
      <xdr:rowOff>79515</xdr:rowOff>
    </xdr:to>
    <xdr:sp macro="" textlink="">
      <xdr:nvSpPr>
        <xdr:cNvPr id="59" name="Rectangle: Rounded Corners 58">
          <a:extLst>
            <a:ext uri="{FF2B5EF4-FFF2-40B4-BE49-F238E27FC236}">
              <a16:creationId xmlns:a16="http://schemas.microsoft.com/office/drawing/2014/main" id="{56261001-073D-4D89-888D-391805AD4299}"/>
            </a:ext>
          </a:extLst>
        </xdr:cNvPr>
        <xdr:cNvSpPr/>
      </xdr:nvSpPr>
      <xdr:spPr>
        <a:xfrm>
          <a:off x="4181395" y="2632214"/>
          <a:ext cx="2703110" cy="601318"/>
        </a:xfrm>
        <a:prstGeom prst="roundRect">
          <a:avLst>
            <a:gd name="adj" fmla="val 7522"/>
          </a:avLst>
        </a:prstGeom>
        <a:gradFill flip="none" rotWithShape="1">
          <a:gsLst>
            <a:gs pos="0">
              <a:srgbClr val="4542D5"/>
            </a:gs>
            <a:gs pos="100000">
              <a:srgbClr val="171748"/>
            </a:gs>
          </a:gsLst>
          <a:lin ang="1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530421</xdr:colOff>
      <xdr:row>18</xdr:row>
      <xdr:rowOff>1656</xdr:rowOff>
    </xdr:from>
    <xdr:to>
      <xdr:col>11</xdr:col>
      <xdr:colOff>185531</xdr:colOff>
      <xdr:row>31</xdr:row>
      <xdr:rowOff>159026</xdr:rowOff>
    </xdr:to>
    <xdr:sp macro="" textlink="">
      <xdr:nvSpPr>
        <xdr:cNvPr id="60" name="Rectangle: Rounded Corners 59">
          <a:extLst>
            <a:ext uri="{FF2B5EF4-FFF2-40B4-BE49-F238E27FC236}">
              <a16:creationId xmlns:a16="http://schemas.microsoft.com/office/drawing/2014/main" id="{28AF74E9-4A0D-4531-92DC-A31F519CF480}"/>
            </a:ext>
          </a:extLst>
        </xdr:cNvPr>
        <xdr:cNvSpPr/>
      </xdr:nvSpPr>
      <xdr:spPr>
        <a:xfrm>
          <a:off x="4188021" y="3341204"/>
          <a:ext cx="2703110" cy="2569265"/>
        </a:xfrm>
        <a:prstGeom prst="roundRect">
          <a:avLst>
            <a:gd name="adj" fmla="val 236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572823</xdr:colOff>
      <xdr:row>15</xdr:row>
      <xdr:rowOff>19546</xdr:rowOff>
    </xdr:from>
    <xdr:to>
      <xdr:col>10</xdr:col>
      <xdr:colOff>205409</xdr:colOff>
      <xdr:row>16</xdr:row>
      <xdr:rowOff>79513</xdr:rowOff>
    </xdr:to>
    <xdr:sp macro="" textlink="">
      <xdr:nvSpPr>
        <xdr:cNvPr id="61" name="TextBox 60">
          <a:extLst>
            <a:ext uri="{FF2B5EF4-FFF2-40B4-BE49-F238E27FC236}">
              <a16:creationId xmlns:a16="http://schemas.microsoft.com/office/drawing/2014/main" id="{F642ECF3-4DCB-4B56-BF93-AE7AB9B3C599}"/>
            </a:ext>
          </a:extLst>
        </xdr:cNvPr>
        <xdr:cNvSpPr txBox="1"/>
      </xdr:nvSpPr>
      <xdr:spPr>
        <a:xfrm>
          <a:off x="4230423" y="2802503"/>
          <a:ext cx="2070986" cy="245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chemeClr val="bg1"/>
              </a:solidFill>
            </a:rPr>
            <a:t>Average</a:t>
          </a:r>
          <a:r>
            <a:rPr lang="en-IN" sz="1500" baseline="0">
              <a:solidFill>
                <a:schemeClr val="bg1"/>
              </a:solidFill>
            </a:rPr>
            <a:t> Reorder Level :</a:t>
          </a:r>
          <a:endParaRPr lang="en-IN" sz="1500">
            <a:solidFill>
              <a:schemeClr val="bg1"/>
            </a:solidFill>
          </a:endParaRPr>
        </a:p>
      </xdr:txBody>
    </xdr:sp>
    <xdr:clientData/>
  </xdr:twoCellAnchor>
  <xdr:twoCellAnchor>
    <xdr:from>
      <xdr:col>10</xdr:col>
      <xdr:colOff>72887</xdr:colOff>
      <xdr:row>15</xdr:row>
      <xdr:rowOff>26172</xdr:rowOff>
    </xdr:from>
    <xdr:to>
      <xdr:col>11</xdr:col>
      <xdr:colOff>6624</xdr:colOff>
      <xdr:row>16</xdr:row>
      <xdr:rowOff>92765</xdr:rowOff>
    </xdr:to>
    <xdr:sp macro="" textlink="Questions!Q7">
      <xdr:nvSpPr>
        <xdr:cNvPr id="62" name="TextBox 61">
          <a:extLst>
            <a:ext uri="{FF2B5EF4-FFF2-40B4-BE49-F238E27FC236}">
              <a16:creationId xmlns:a16="http://schemas.microsoft.com/office/drawing/2014/main" id="{DA895417-9A32-43D5-A9C9-3823E3B06454}"/>
            </a:ext>
          </a:extLst>
        </xdr:cNvPr>
        <xdr:cNvSpPr txBox="1"/>
      </xdr:nvSpPr>
      <xdr:spPr>
        <a:xfrm>
          <a:off x="6168887" y="2809129"/>
          <a:ext cx="543337"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B558A0-C669-43A8-9FF9-3A79D58DABDF}" type="TxLink">
            <a:rPr lang="en-US" sz="1500">
              <a:solidFill>
                <a:schemeClr val="bg1"/>
              </a:solidFill>
              <a:latin typeface="+mn-lt"/>
              <a:ea typeface="+mn-ea"/>
              <a:cs typeface="+mn-cs"/>
            </a:rPr>
            <a:pPr marL="0" indent="0" algn="ctr"/>
            <a:t>67.9</a:t>
          </a:fld>
          <a:endParaRPr lang="en-IN" sz="1500">
            <a:solidFill>
              <a:schemeClr val="bg1"/>
            </a:solidFill>
            <a:latin typeface="+mn-lt"/>
            <a:ea typeface="+mn-ea"/>
            <a:cs typeface="+mn-cs"/>
          </a:endParaRPr>
        </a:p>
      </xdr:txBody>
    </xdr:sp>
    <xdr:clientData/>
  </xdr:twoCellAnchor>
  <xdr:twoCellAnchor>
    <xdr:from>
      <xdr:col>6</xdr:col>
      <xdr:colOff>470452</xdr:colOff>
      <xdr:row>18</xdr:row>
      <xdr:rowOff>0</xdr:rowOff>
    </xdr:from>
    <xdr:to>
      <xdr:col>11</xdr:col>
      <xdr:colOff>212035</xdr:colOff>
      <xdr:row>19</xdr:row>
      <xdr:rowOff>53009</xdr:rowOff>
    </xdr:to>
    <xdr:sp macro="" textlink="">
      <xdr:nvSpPr>
        <xdr:cNvPr id="63" name="TextBox 62">
          <a:extLst>
            <a:ext uri="{FF2B5EF4-FFF2-40B4-BE49-F238E27FC236}">
              <a16:creationId xmlns:a16="http://schemas.microsoft.com/office/drawing/2014/main" id="{9AE859E2-3F3E-4861-8C6D-654FDE06E52B}"/>
            </a:ext>
          </a:extLst>
        </xdr:cNvPr>
        <xdr:cNvSpPr txBox="1"/>
      </xdr:nvSpPr>
      <xdr:spPr>
        <a:xfrm>
          <a:off x="4128052" y="3339548"/>
          <a:ext cx="2789583" cy="23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bg1"/>
              </a:solidFill>
              <a:latin typeface="+mn-lt"/>
              <a:ea typeface="+mn-ea"/>
              <a:cs typeface="+mn-cs"/>
            </a:rPr>
            <a:t>What</a:t>
          </a:r>
          <a:r>
            <a:rPr lang="en-IN" sz="1200" baseline="0">
              <a:solidFill>
                <a:schemeClr val="bg1"/>
              </a:solidFill>
              <a:latin typeface="+mn-lt"/>
              <a:ea typeface="+mn-ea"/>
              <a:cs typeface="+mn-cs"/>
            </a:rPr>
            <a:t> is our Stock Value by Category ?</a:t>
          </a:r>
          <a:endParaRPr lang="en-IN" sz="1200">
            <a:solidFill>
              <a:schemeClr val="bg1"/>
            </a:solidFill>
            <a:latin typeface="+mn-lt"/>
            <a:ea typeface="+mn-ea"/>
            <a:cs typeface="+mn-cs"/>
          </a:endParaRPr>
        </a:p>
      </xdr:txBody>
    </xdr:sp>
    <xdr:clientData/>
  </xdr:twoCellAnchor>
  <xdr:twoCellAnchor>
    <xdr:from>
      <xdr:col>11</xdr:col>
      <xdr:colOff>265378</xdr:colOff>
      <xdr:row>14</xdr:row>
      <xdr:rowOff>41413</xdr:rowOff>
    </xdr:from>
    <xdr:to>
      <xdr:col>15</xdr:col>
      <xdr:colOff>530088</xdr:colOff>
      <xdr:row>31</xdr:row>
      <xdr:rowOff>139149</xdr:rowOff>
    </xdr:to>
    <xdr:sp macro="" textlink="">
      <xdr:nvSpPr>
        <xdr:cNvPr id="65" name="Rectangle: Rounded Corners 64">
          <a:extLst>
            <a:ext uri="{FF2B5EF4-FFF2-40B4-BE49-F238E27FC236}">
              <a16:creationId xmlns:a16="http://schemas.microsoft.com/office/drawing/2014/main" id="{EB3CECBF-7E21-4C4C-845C-C6CA90F88629}"/>
            </a:ext>
          </a:extLst>
        </xdr:cNvPr>
        <xdr:cNvSpPr/>
      </xdr:nvSpPr>
      <xdr:spPr>
        <a:xfrm>
          <a:off x="6970978" y="2638839"/>
          <a:ext cx="2703110" cy="3251753"/>
        </a:xfrm>
        <a:prstGeom prst="roundRect">
          <a:avLst>
            <a:gd name="adj" fmla="val 236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596682</xdr:colOff>
      <xdr:row>14</xdr:row>
      <xdr:rowOff>41412</xdr:rowOff>
    </xdr:from>
    <xdr:to>
      <xdr:col>20</xdr:col>
      <xdr:colOff>251792</xdr:colOff>
      <xdr:row>31</xdr:row>
      <xdr:rowOff>139148</xdr:rowOff>
    </xdr:to>
    <xdr:sp macro="" textlink="">
      <xdr:nvSpPr>
        <xdr:cNvPr id="67" name="Rectangle: Rounded Corners 66">
          <a:extLst>
            <a:ext uri="{FF2B5EF4-FFF2-40B4-BE49-F238E27FC236}">
              <a16:creationId xmlns:a16="http://schemas.microsoft.com/office/drawing/2014/main" id="{AF520A17-3377-4127-81E5-D9BD49B6597A}"/>
            </a:ext>
          </a:extLst>
        </xdr:cNvPr>
        <xdr:cNvSpPr/>
      </xdr:nvSpPr>
      <xdr:spPr>
        <a:xfrm>
          <a:off x="9740682" y="2638838"/>
          <a:ext cx="2703110" cy="3251753"/>
        </a:xfrm>
        <a:prstGeom prst="roundRect">
          <a:avLst>
            <a:gd name="adj" fmla="val 2364"/>
          </a:avLst>
        </a:prstGeom>
        <a:solidFill>
          <a:srgbClr val="4747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212035</xdr:colOff>
      <xdr:row>14</xdr:row>
      <xdr:rowOff>13253</xdr:rowOff>
    </xdr:from>
    <xdr:to>
      <xdr:col>15</xdr:col>
      <xdr:colOff>563218</xdr:colOff>
      <xdr:row>16</xdr:row>
      <xdr:rowOff>106018</xdr:rowOff>
    </xdr:to>
    <xdr:sp macro="" textlink="">
      <xdr:nvSpPr>
        <xdr:cNvPr id="68" name="TextBox 67">
          <a:extLst>
            <a:ext uri="{FF2B5EF4-FFF2-40B4-BE49-F238E27FC236}">
              <a16:creationId xmlns:a16="http://schemas.microsoft.com/office/drawing/2014/main" id="{914DADD9-02FE-4C09-B1E7-A825AD2D1EF2}"/>
            </a:ext>
          </a:extLst>
        </xdr:cNvPr>
        <xdr:cNvSpPr txBox="1"/>
      </xdr:nvSpPr>
      <xdr:spPr>
        <a:xfrm>
          <a:off x="6917635" y="2610679"/>
          <a:ext cx="2789583" cy="46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aseline="0">
              <a:solidFill>
                <a:schemeClr val="bg1"/>
              </a:solidFill>
              <a:latin typeface="+mn-lt"/>
              <a:ea typeface="+mn-ea"/>
              <a:cs typeface="+mn-cs"/>
            </a:rPr>
            <a:t>5 Products with Highest Stock Value that Need Reorder</a:t>
          </a:r>
          <a:endParaRPr lang="en-IN" sz="1200">
            <a:solidFill>
              <a:schemeClr val="bg1"/>
            </a:solidFill>
            <a:latin typeface="+mn-lt"/>
            <a:ea typeface="+mn-ea"/>
            <a:cs typeface="+mn-cs"/>
          </a:endParaRPr>
        </a:p>
      </xdr:txBody>
    </xdr:sp>
    <xdr:clientData/>
  </xdr:twoCellAnchor>
  <xdr:twoCellAnchor>
    <xdr:from>
      <xdr:col>15</xdr:col>
      <xdr:colOff>569844</xdr:colOff>
      <xdr:row>14</xdr:row>
      <xdr:rowOff>19879</xdr:rowOff>
    </xdr:from>
    <xdr:to>
      <xdr:col>20</xdr:col>
      <xdr:colOff>311427</xdr:colOff>
      <xdr:row>16</xdr:row>
      <xdr:rowOff>112644</xdr:rowOff>
    </xdr:to>
    <xdr:sp macro="" textlink="">
      <xdr:nvSpPr>
        <xdr:cNvPr id="69" name="TextBox 68">
          <a:extLst>
            <a:ext uri="{FF2B5EF4-FFF2-40B4-BE49-F238E27FC236}">
              <a16:creationId xmlns:a16="http://schemas.microsoft.com/office/drawing/2014/main" id="{1D8CA195-357A-41B4-BC99-5506C4C57184}"/>
            </a:ext>
          </a:extLst>
        </xdr:cNvPr>
        <xdr:cNvSpPr txBox="1"/>
      </xdr:nvSpPr>
      <xdr:spPr>
        <a:xfrm>
          <a:off x="9713844" y="2617305"/>
          <a:ext cx="2789583" cy="463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bg1"/>
              </a:solidFill>
              <a:latin typeface="+mn-lt"/>
              <a:ea typeface="+mn-ea"/>
              <a:cs typeface="+mn-cs"/>
            </a:rPr>
            <a:t>Which</a:t>
          </a:r>
          <a:r>
            <a:rPr lang="en-IN" sz="1200" baseline="0">
              <a:solidFill>
                <a:schemeClr val="bg1"/>
              </a:solidFill>
              <a:latin typeface="+mn-lt"/>
              <a:ea typeface="+mn-ea"/>
              <a:cs typeface="+mn-cs"/>
            </a:rPr>
            <a:t> Products are Below their Reorder Level?</a:t>
          </a:r>
          <a:endParaRPr lang="en-IN" sz="1200">
            <a:solidFill>
              <a:schemeClr val="bg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11</xdr:col>
          <xdr:colOff>457200</xdr:colOff>
          <xdr:row>16</xdr:row>
          <xdr:rowOff>144780</xdr:rowOff>
        </xdr:from>
        <xdr:to>
          <xdr:col>13</xdr:col>
          <xdr:colOff>144780</xdr:colOff>
          <xdr:row>17</xdr:row>
          <xdr:rowOff>175260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480060</xdr:colOff>
          <xdr:row>16</xdr:row>
          <xdr:rowOff>144780</xdr:rowOff>
        </xdr:from>
        <xdr:to>
          <xdr:col>15</xdr:col>
          <xdr:colOff>167640</xdr:colOff>
          <xdr:row>17</xdr:row>
          <xdr:rowOff>175260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576470</xdr:colOff>
      <xdr:row>16</xdr:row>
      <xdr:rowOff>172276</xdr:rowOff>
    </xdr:from>
    <xdr:to>
      <xdr:col>13</xdr:col>
      <xdr:colOff>86139</xdr:colOff>
      <xdr:row>17</xdr:row>
      <xdr:rowOff>165651</xdr:rowOff>
    </xdr:to>
    <xdr:sp macro="" textlink="">
      <xdr:nvSpPr>
        <xdr:cNvPr id="71" name="TextBox 70">
          <a:extLst>
            <a:ext uri="{FF2B5EF4-FFF2-40B4-BE49-F238E27FC236}">
              <a16:creationId xmlns:a16="http://schemas.microsoft.com/office/drawing/2014/main" id="{43522300-23CF-4F4D-8E10-5B73B70A37F6}"/>
            </a:ext>
          </a:extLst>
        </xdr:cNvPr>
        <xdr:cNvSpPr txBox="1"/>
      </xdr:nvSpPr>
      <xdr:spPr>
        <a:xfrm>
          <a:off x="7282070" y="3140763"/>
          <a:ext cx="728869" cy="178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bg1"/>
              </a:solidFill>
              <a:latin typeface="+mn-lt"/>
              <a:ea typeface="+mn-ea"/>
              <a:cs typeface="+mn-cs"/>
            </a:rPr>
            <a:t>Reorder</a:t>
          </a:r>
        </a:p>
      </xdr:txBody>
    </xdr:sp>
    <xdr:clientData/>
  </xdr:twoCellAnchor>
  <xdr:twoCellAnchor>
    <xdr:from>
      <xdr:col>14</xdr:col>
      <xdr:colOff>13251</xdr:colOff>
      <xdr:row>17</xdr:row>
      <xdr:rowOff>13251</xdr:rowOff>
    </xdr:from>
    <xdr:to>
      <xdr:col>15</xdr:col>
      <xdr:colOff>410816</xdr:colOff>
      <xdr:row>17</xdr:row>
      <xdr:rowOff>139148</xdr:rowOff>
    </xdr:to>
    <xdr:sp macro="" textlink="">
      <xdr:nvSpPr>
        <xdr:cNvPr id="72" name="TextBox 71">
          <a:extLst>
            <a:ext uri="{FF2B5EF4-FFF2-40B4-BE49-F238E27FC236}">
              <a16:creationId xmlns:a16="http://schemas.microsoft.com/office/drawing/2014/main" id="{5BE32137-C029-4E07-8542-68CE137810E4}"/>
            </a:ext>
          </a:extLst>
        </xdr:cNvPr>
        <xdr:cNvSpPr txBox="1"/>
      </xdr:nvSpPr>
      <xdr:spPr>
        <a:xfrm>
          <a:off x="8547651" y="3167268"/>
          <a:ext cx="1007165" cy="12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a:solidFill>
                <a:schemeClr val="bg1"/>
              </a:solidFill>
              <a:latin typeface="+mn-lt"/>
              <a:ea typeface="+mn-ea"/>
              <a:cs typeface="+mn-cs"/>
            </a:rPr>
            <a:t>Stock</a:t>
          </a:r>
          <a:r>
            <a:rPr lang="en-IN" sz="1200" baseline="0">
              <a:solidFill>
                <a:schemeClr val="bg1"/>
              </a:solidFill>
              <a:latin typeface="+mn-lt"/>
              <a:ea typeface="+mn-ea"/>
              <a:cs typeface="+mn-cs"/>
            </a:rPr>
            <a:t> values</a:t>
          </a:r>
          <a:endParaRPr lang="en-IN" sz="1200">
            <a:solidFill>
              <a:schemeClr val="bg1"/>
            </a:solidFill>
            <a:latin typeface="+mn-lt"/>
            <a:ea typeface="+mn-ea"/>
            <a:cs typeface="+mn-cs"/>
          </a:endParaRPr>
        </a:p>
      </xdr:txBody>
    </xdr:sp>
    <xdr:clientData/>
  </xdr:twoCellAnchor>
  <xdr:twoCellAnchor>
    <xdr:from>
      <xdr:col>11</xdr:col>
      <xdr:colOff>536714</xdr:colOff>
      <xdr:row>18</xdr:row>
      <xdr:rowOff>53007</xdr:rowOff>
    </xdr:from>
    <xdr:to>
      <xdr:col>15</xdr:col>
      <xdr:colOff>331304</xdr:colOff>
      <xdr:row>31</xdr:row>
      <xdr:rowOff>52677</xdr:rowOff>
    </xdr:to>
    <xdr:graphicFrame macro="">
      <xdr:nvGraphicFramePr>
        <xdr:cNvPr id="73" name="Chart 72">
          <a:extLst>
            <a:ext uri="{FF2B5EF4-FFF2-40B4-BE49-F238E27FC236}">
              <a16:creationId xmlns:a16="http://schemas.microsoft.com/office/drawing/2014/main" id="{C34EB4E1-06A3-4B6A-9B84-07CDA779A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298508</xdr:colOff>
      <xdr:row>16</xdr:row>
      <xdr:rowOff>101046</xdr:rowOff>
    </xdr:from>
    <xdr:to>
      <xdr:col>19</xdr:col>
      <xdr:colOff>473621</xdr:colOff>
      <xdr:row>31</xdr:row>
      <xdr:rowOff>61290</xdr:rowOff>
    </xdr:to>
    <xdr:graphicFrame macro="">
      <xdr:nvGraphicFramePr>
        <xdr:cNvPr id="74" name="Chart 73">
          <a:extLst>
            <a:ext uri="{FF2B5EF4-FFF2-40B4-BE49-F238E27FC236}">
              <a16:creationId xmlns:a16="http://schemas.microsoft.com/office/drawing/2014/main" id="{056AF8C7-030C-4BA1-A914-06A1B1D35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371394</xdr:colOff>
      <xdr:row>4</xdr:row>
      <xdr:rowOff>21535</xdr:rowOff>
    </xdr:from>
    <xdr:to>
      <xdr:col>20</xdr:col>
      <xdr:colOff>152400</xdr:colOff>
      <xdr:row>13</xdr:row>
      <xdr:rowOff>72887</xdr:rowOff>
    </xdr:to>
    <xdr:graphicFrame macro="">
      <xdr:nvGraphicFramePr>
        <xdr:cNvPr id="75" name="Chart 74">
          <a:extLst>
            <a:ext uri="{FF2B5EF4-FFF2-40B4-BE49-F238E27FC236}">
              <a16:creationId xmlns:a16="http://schemas.microsoft.com/office/drawing/2014/main" id="{8AF8EE17-5EE5-4F11-AB0C-C44B134AA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19</xdr:row>
      <xdr:rowOff>92766</xdr:rowOff>
    </xdr:from>
    <xdr:to>
      <xdr:col>10</xdr:col>
      <xdr:colOff>470452</xdr:colOff>
      <xdr:row>31</xdr:row>
      <xdr:rowOff>79514</xdr:rowOff>
    </xdr:to>
    <xdr:graphicFrame macro="">
      <xdr:nvGraphicFramePr>
        <xdr:cNvPr id="76" name="Chart 75">
          <a:extLst>
            <a:ext uri="{FF2B5EF4-FFF2-40B4-BE49-F238E27FC236}">
              <a16:creationId xmlns:a16="http://schemas.microsoft.com/office/drawing/2014/main" id="{43DA0CA2-00FF-4B77-BBBB-541D24861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106351</xdr:colOff>
      <xdr:row>15</xdr:row>
      <xdr:rowOff>147429</xdr:rowOff>
    </xdr:from>
    <xdr:to>
      <xdr:col>3</xdr:col>
      <xdr:colOff>516836</xdr:colOff>
      <xdr:row>22</xdr:row>
      <xdr:rowOff>26504</xdr:rowOff>
    </xdr:to>
    <xdr:graphicFrame macro="">
      <xdr:nvGraphicFramePr>
        <xdr:cNvPr id="77" name="Chart 76">
          <a:extLst>
            <a:ext uri="{FF2B5EF4-FFF2-40B4-BE49-F238E27FC236}">
              <a16:creationId xmlns:a16="http://schemas.microsoft.com/office/drawing/2014/main" id="{AAB82C4E-B7A5-4ACD-8291-830195D68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232246</xdr:colOff>
      <xdr:row>14</xdr:row>
      <xdr:rowOff>58297</xdr:rowOff>
    </xdr:from>
    <xdr:to>
      <xdr:col>6</xdr:col>
      <xdr:colOff>355577</xdr:colOff>
      <xdr:row>23</xdr:row>
      <xdr:rowOff>46383</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19654526-66DC-4F02-910A-4C29FDB139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70646" y="2655723"/>
              <a:ext cx="1342531" cy="165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225286</xdr:colOff>
      <xdr:row>22</xdr:row>
      <xdr:rowOff>165650</xdr:rowOff>
    </xdr:from>
    <xdr:to>
      <xdr:col>6</xdr:col>
      <xdr:colOff>337931</xdr:colOff>
      <xdr:row>31</xdr:row>
      <xdr:rowOff>139148</xdr:rowOff>
    </xdr:to>
    <mc:AlternateContent xmlns:mc="http://schemas.openxmlformats.org/markup-compatibility/2006" xmlns:a14="http://schemas.microsoft.com/office/drawing/2010/main">
      <mc:Choice Requires="a14">
        <xdr:graphicFrame macro="">
          <xdr:nvGraphicFramePr>
            <xdr:cNvPr id="43" name="Supplier">
              <a:extLst>
                <a:ext uri="{FF2B5EF4-FFF2-40B4-BE49-F238E27FC236}">
                  <a16:creationId xmlns:a16="http://schemas.microsoft.com/office/drawing/2014/main" id="{C024845B-29EE-4451-8ED9-083F2ADD38F5}"/>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2663686" y="4247320"/>
              <a:ext cx="1331845" cy="1643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112310</xdr:rowOff>
    </xdr:from>
    <xdr:to>
      <xdr:col>7</xdr:col>
      <xdr:colOff>381332</xdr:colOff>
      <xdr:row>1</xdr:row>
      <xdr:rowOff>178903</xdr:rowOff>
    </xdr:to>
    <xdr:sp macro="" textlink="">
      <xdr:nvSpPr>
        <xdr:cNvPr id="64" name="TextBox 63">
          <a:extLst>
            <a:ext uri="{FF2B5EF4-FFF2-40B4-BE49-F238E27FC236}">
              <a16:creationId xmlns:a16="http://schemas.microsoft.com/office/drawing/2014/main" id="{8413ACB2-80F6-4CA5-8044-9E23BDE30327}"/>
            </a:ext>
          </a:extLst>
        </xdr:cNvPr>
        <xdr:cNvSpPr txBox="1"/>
      </xdr:nvSpPr>
      <xdr:spPr>
        <a:xfrm>
          <a:off x="0" y="112310"/>
          <a:ext cx="4648532" cy="252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INVENTORY</a:t>
          </a:r>
          <a:r>
            <a:rPr lang="en-IN" sz="2000" b="1" baseline="0">
              <a:solidFill>
                <a:schemeClr val="bg1"/>
              </a:solidFill>
            </a:rPr>
            <a:t> PERFORMANCE DASHBOARD</a:t>
          </a:r>
          <a:endParaRPr lang="en-IN" sz="20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han" refreshedDate="45985.738402662035" createdVersion="8" refreshedVersion="8" minRefreshableVersion="3" recordCount="3000" xr:uid="{0845620B-7C1E-42BD-BC73-4B93E8D380F4}">
  <cacheSource type="worksheet">
    <worksheetSource name="Table1"/>
  </cacheSource>
  <cacheFields count="15">
    <cacheField name="ProductID" numFmtId="0">
      <sharedItems containsSemiMixedTypes="0" containsString="0" containsNumber="1" containsInteger="1" minValue="10029" maxValue="99998"/>
    </cacheField>
    <cacheField name="ProductName" numFmtId="0">
      <sharedItems count="17">
        <s v="Ceiling Board"/>
        <s v="Wallpaper Roll"/>
        <s v="Concrete Block"/>
        <s v="Switch Box"/>
        <s v="Paint Bucket"/>
        <s v="Bulb Pack"/>
        <s v="Shower Set"/>
        <s v="Toilet Seat"/>
        <s v="Cement Bag"/>
        <s v="Roofing Sheet"/>
        <s v="Electrical Cable"/>
        <s v="Water Heater"/>
        <s v="Floor Tiles"/>
        <s v="Window Glass"/>
        <s v="PVC Pipe"/>
        <s v="Kitchen Sink"/>
        <s v="Door Frame"/>
      </sharedItems>
    </cacheField>
    <cacheField name="Category" numFmtId="0">
      <sharedItems count="5">
        <s v="Interior"/>
        <s v="Building Materials"/>
        <s v="Electrical"/>
        <s v="Hardware"/>
        <s v="Plumbing"/>
      </sharedItems>
    </cacheField>
    <cacheField name="CurrentStock" numFmtId="0">
      <sharedItems containsSemiMixedTypes="0" containsString="0" containsNumber="1" containsInteger="1" minValue="0" maxValue="499"/>
    </cacheField>
    <cacheField name="ReorderLevel" numFmtId="0">
      <sharedItems containsSemiMixedTypes="0" containsString="0" containsNumber="1" containsInteger="1" minValue="20" maxValue="150"/>
    </cacheField>
    <cacheField name="UnitPrice" numFmtId="0">
      <sharedItems containsSemiMixedTypes="0" containsString="0" containsNumber="1" minValue="5.09" maxValue="499.86"/>
    </cacheField>
    <cacheField name="Supplier" numFmtId="0">
      <sharedItems count="5">
        <s v="Konga Wholesale"/>
        <s v="MegaBuild Ltd"/>
        <s v="FixRight Depot"/>
        <s v="Jumia Supplies"/>
        <s v="Alpha Materials"/>
      </sharedItems>
    </cacheField>
    <cacheField name="LastRestockDate" numFmtId="164">
      <sharedItems containsSemiMixedTypes="0" containsNonDate="0" containsDate="1" containsString="0" minDate="2024-01-01T00:00:00" maxDate="2024-12-31T00:00:00"/>
    </cacheField>
    <cacheField name="NextRestockDate" numFmtId="164">
      <sharedItems containsSemiMixedTypes="0" containsNonDate="0" containsDate="1" containsString="0" minDate="2024-01-06T00:00:00" maxDate="2025-02-06T00:00:00"/>
    </cacheField>
    <cacheField name="WarehouseLocation" numFmtId="0">
      <sharedItems count="3">
        <s v="Warehouse A"/>
        <s v="Warehouse C"/>
        <s v="Warehouse B"/>
      </sharedItems>
    </cacheField>
    <cacheField name="Is reorder?" numFmtId="0">
      <sharedItems count="2">
        <b v="0"/>
        <b v="1"/>
      </sharedItems>
    </cacheField>
    <cacheField name="Stock value" numFmtId="166">
      <sharedItems containsSemiMixedTypes="0" containsString="0" containsNumber="1" minValue="0" maxValue="236787.9"/>
    </cacheField>
    <cacheField name="Shortage" numFmtId="0">
      <sharedItems containsMixedTypes="1" containsNumber="1" containsInteger="1" minValue="1" maxValue="150" count="129">
        <s v=""/>
        <n v="59"/>
        <n v="66"/>
        <n v="116"/>
        <n v="46"/>
        <n v="55"/>
        <n v="2"/>
        <n v="98"/>
        <n v="94"/>
        <n v="40"/>
        <n v="79"/>
        <n v="25"/>
        <n v="18"/>
        <n v="88"/>
        <n v="17"/>
        <n v="45"/>
        <n v="76"/>
        <n v="112"/>
        <n v="5"/>
        <n v="143"/>
        <n v="78"/>
        <n v="148"/>
        <n v="56"/>
        <n v="22"/>
        <n v="42"/>
        <n v="95"/>
        <n v="68"/>
        <n v="39"/>
        <n v="21"/>
        <n v="69"/>
        <n v="52"/>
        <n v="32"/>
        <n v="1"/>
        <n v="61"/>
        <n v="92"/>
        <n v="121"/>
        <n v="27"/>
        <n v="13"/>
        <n v="34"/>
        <n v="48"/>
        <n v="35"/>
        <n v="93"/>
        <n v="38"/>
        <n v="7"/>
        <n v="8"/>
        <n v="104"/>
        <n v="14"/>
        <n v="3"/>
        <n v="6"/>
        <n v="87"/>
        <n v="12"/>
        <n v="147"/>
        <n v="11"/>
        <n v="20"/>
        <n v="125"/>
        <n v="60"/>
        <n v="29"/>
        <n v="62"/>
        <n v="81"/>
        <n v="90"/>
        <n v="10"/>
        <n v="26"/>
        <n v="67"/>
        <n v="119"/>
        <n v="4"/>
        <n v="37"/>
        <n v="142"/>
        <n v="150"/>
        <n v="30"/>
        <n v="24"/>
        <n v="31"/>
        <n v="109"/>
        <n v="122"/>
        <n v="28"/>
        <n v="74"/>
        <n v="23"/>
        <n v="144"/>
        <n v="50"/>
        <n v="127"/>
        <n v="9"/>
        <n v="149"/>
        <n v="85"/>
        <n v="58"/>
        <n v="47"/>
        <n v="33"/>
        <n v="117"/>
        <n v="36"/>
        <n v="77"/>
        <n v="136"/>
        <n v="54"/>
        <n v="64"/>
        <n v="16"/>
        <n v="73"/>
        <n v="135"/>
        <n v="43"/>
        <n v="115"/>
        <n v="103"/>
        <n v="53"/>
        <n v="19"/>
        <n v="130"/>
        <n v="128"/>
        <n v="134"/>
        <n v="99"/>
        <n v="129"/>
        <n v="101"/>
        <n v="86"/>
        <n v="65"/>
        <n v="80"/>
        <n v="96"/>
        <n v="71"/>
        <n v="57"/>
        <n v="44"/>
        <n v="118"/>
        <n v="41"/>
        <n v="108"/>
        <n v="63"/>
        <n v="114"/>
        <n v="82"/>
        <n v="49"/>
        <n v="15"/>
        <n v="138"/>
        <n v="137"/>
        <n v="91"/>
        <n v="89"/>
        <n v="102"/>
        <n v="107"/>
        <n v="106"/>
        <n v="140"/>
        <n v="120"/>
      </sharedItems>
    </cacheField>
    <cacheField name="Overstocked" numFmtId="0">
      <sharedItems count="2">
        <s v="Over Stock"/>
        <s v="Okay"/>
      </sharedItems>
    </cacheField>
    <cacheField name="Reorder Products" numFmtId="0">
      <sharedItems count="2">
        <s v="Okay"/>
        <s v="Reorder"/>
      </sharedItems>
    </cacheField>
  </cacheFields>
  <extLst>
    <ext xmlns:x14="http://schemas.microsoft.com/office/spreadsheetml/2009/9/main" uri="{725AE2AE-9491-48be-B2B4-4EB974FC3084}">
      <x14:pivotCacheDefinition pivotCacheId="1099142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47194"/>
    <x v="0"/>
    <x v="0"/>
    <n v="270"/>
    <n v="40"/>
    <n v="390.95"/>
    <x v="0"/>
    <d v="2024-01-21T00:00:00"/>
    <d v="2024-02-13T00:00:00"/>
    <x v="0"/>
    <x v="0"/>
    <n v="105556.5"/>
    <x v="0"/>
    <x v="0"/>
    <x v="0"/>
  </r>
  <r>
    <n v="72955"/>
    <x v="1"/>
    <x v="0"/>
    <n v="151"/>
    <n v="40"/>
    <n v="15.19"/>
    <x v="1"/>
    <d v="2024-09-14T00:00:00"/>
    <d v="2024-10-12T00:00:00"/>
    <x v="0"/>
    <x v="0"/>
    <n v="2293.69"/>
    <x v="0"/>
    <x v="0"/>
    <x v="0"/>
  </r>
  <r>
    <n v="35658"/>
    <x v="2"/>
    <x v="1"/>
    <n v="21"/>
    <n v="80"/>
    <n v="218.81"/>
    <x v="1"/>
    <d v="2024-02-18T00:00:00"/>
    <d v="2024-03-20T00:00:00"/>
    <x v="1"/>
    <x v="1"/>
    <n v="4595.01"/>
    <x v="1"/>
    <x v="1"/>
    <x v="1"/>
  </r>
  <r>
    <n v="90038"/>
    <x v="3"/>
    <x v="2"/>
    <n v="243"/>
    <n v="20"/>
    <n v="27.99"/>
    <x v="1"/>
    <d v="2024-11-02T00:00:00"/>
    <d v="2024-11-13T00:00:00"/>
    <x v="0"/>
    <x v="0"/>
    <n v="6801.57"/>
    <x v="0"/>
    <x v="0"/>
    <x v="0"/>
  </r>
  <r>
    <n v="33483"/>
    <x v="4"/>
    <x v="0"/>
    <n v="241"/>
    <n v="30"/>
    <n v="155.78"/>
    <x v="2"/>
    <d v="2024-02-22T00:00:00"/>
    <d v="2024-02-28T00:00:00"/>
    <x v="0"/>
    <x v="0"/>
    <n v="37542.980000000003"/>
    <x v="0"/>
    <x v="0"/>
    <x v="0"/>
  </r>
  <r>
    <n v="88953"/>
    <x v="5"/>
    <x v="2"/>
    <n v="80"/>
    <n v="50"/>
    <n v="95.21"/>
    <x v="2"/>
    <d v="2024-01-02T00:00:00"/>
    <d v="2024-01-12T00:00:00"/>
    <x v="2"/>
    <x v="0"/>
    <n v="7616.7999999999993"/>
    <x v="0"/>
    <x v="1"/>
    <x v="0"/>
  </r>
  <r>
    <n v="42606"/>
    <x v="6"/>
    <x v="3"/>
    <n v="401"/>
    <n v="30"/>
    <n v="227.63"/>
    <x v="2"/>
    <d v="2024-07-20T00:00:00"/>
    <d v="2024-08-07T00:00:00"/>
    <x v="0"/>
    <x v="0"/>
    <n v="91279.63"/>
    <x v="0"/>
    <x v="0"/>
    <x v="0"/>
  </r>
  <r>
    <n v="73704"/>
    <x v="7"/>
    <x v="3"/>
    <n v="236"/>
    <n v="30"/>
    <n v="272.14999999999998"/>
    <x v="2"/>
    <d v="2024-10-06T00:00:00"/>
    <d v="2024-11-05T00:00:00"/>
    <x v="0"/>
    <x v="0"/>
    <n v="64227.399999999994"/>
    <x v="0"/>
    <x v="0"/>
    <x v="0"/>
  </r>
  <r>
    <n v="72592"/>
    <x v="8"/>
    <x v="1"/>
    <n v="14"/>
    <n v="80"/>
    <n v="41.9"/>
    <x v="2"/>
    <d v="2024-11-22T00:00:00"/>
    <d v="2024-12-05T00:00:00"/>
    <x v="1"/>
    <x v="1"/>
    <n v="586.6"/>
    <x v="2"/>
    <x v="1"/>
    <x v="1"/>
  </r>
  <r>
    <n v="32662"/>
    <x v="3"/>
    <x v="2"/>
    <n v="80"/>
    <n v="40"/>
    <n v="396.14"/>
    <x v="3"/>
    <d v="2024-09-17T00:00:00"/>
    <d v="2024-10-19T00:00:00"/>
    <x v="2"/>
    <x v="0"/>
    <n v="31691.199999999997"/>
    <x v="0"/>
    <x v="1"/>
    <x v="0"/>
  </r>
  <r>
    <n v="34538"/>
    <x v="9"/>
    <x v="1"/>
    <n v="406"/>
    <n v="100"/>
    <n v="165.97"/>
    <x v="0"/>
    <d v="2024-04-08T00:00:00"/>
    <d v="2024-05-04T00:00:00"/>
    <x v="0"/>
    <x v="0"/>
    <n v="67383.819999999992"/>
    <x v="0"/>
    <x v="0"/>
    <x v="0"/>
  </r>
  <r>
    <n v="16910"/>
    <x v="10"/>
    <x v="2"/>
    <n v="430"/>
    <n v="100"/>
    <n v="425.21"/>
    <x v="0"/>
    <d v="2024-01-05T00:00:00"/>
    <d v="2024-02-04T00:00:00"/>
    <x v="0"/>
    <x v="0"/>
    <n v="182840.3"/>
    <x v="0"/>
    <x v="0"/>
    <x v="0"/>
  </r>
  <r>
    <n v="97939"/>
    <x v="11"/>
    <x v="4"/>
    <n v="379"/>
    <n v="80"/>
    <n v="104.85"/>
    <x v="4"/>
    <d v="2024-12-17T00:00:00"/>
    <d v="2025-01-22T00:00:00"/>
    <x v="1"/>
    <x v="0"/>
    <n v="39738.15"/>
    <x v="0"/>
    <x v="0"/>
    <x v="0"/>
  </r>
  <r>
    <n v="85450"/>
    <x v="6"/>
    <x v="3"/>
    <n v="170"/>
    <n v="80"/>
    <n v="118.26"/>
    <x v="0"/>
    <d v="2024-06-08T00:00:00"/>
    <d v="2024-06-19T00:00:00"/>
    <x v="2"/>
    <x v="0"/>
    <n v="20104.2"/>
    <x v="0"/>
    <x v="1"/>
    <x v="0"/>
  </r>
  <r>
    <n v="79163"/>
    <x v="4"/>
    <x v="0"/>
    <n v="169"/>
    <n v="80"/>
    <n v="151.34"/>
    <x v="2"/>
    <d v="2024-05-13T00:00:00"/>
    <d v="2024-06-14T00:00:00"/>
    <x v="2"/>
    <x v="0"/>
    <n v="25576.46"/>
    <x v="0"/>
    <x v="1"/>
    <x v="0"/>
  </r>
  <r>
    <n v="76842"/>
    <x v="5"/>
    <x v="2"/>
    <n v="347"/>
    <n v="20"/>
    <n v="162.41"/>
    <x v="3"/>
    <d v="2024-08-12T00:00:00"/>
    <d v="2024-08-17T00:00:00"/>
    <x v="0"/>
    <x v="0"/>
    <n v="56356.27"/>
    <x v="0"/>
    <x v="0"/>
    <x v="0"/>
  </r>
  <r>
    <n v="23545"/>
    <x v="9"/>
    <x v="1"/>
    <n v="358"/>
    <n v="100"/>
    <n v="257.82"/>
    <x v="2"/>
    <d v="2024-05-16T00:00:00"/>
    <d v="2024-06-22T00:00:00"/>
    <x v="1"/>
    <x v="0"/>
    <n v="92299.56"/>
    <x v="0"/>
    <x v="0"/>
    <x v="0"/>
  </r>
  <r>
    <n v="62733"/>
    <x v="5"/>
    <x v="2"/>
    <n v="159"/>
    <n v="20"/>
    <n v="204.9"/>
    <x v="1"/>
    <d v="2024-11-13T00:00:00"/>
    <d v="2024-11-29T00:00:00"/>
    <x v="1"/>
    <x v="0"/>
    <n v="32579.100000000002"/>
    <x v="0"/>
    <x v="0"/>
    <x v="0"/>
  </r>
  <r>
    <n v="10854"/>
    <x v="8"/>
    <x v="1"/>
    <n v="112"/>
    <n v="20"/>
    <n v="137.06"/>
    <x v="4"/>
    <d v="2024-01-02T00:00:00"/>
    <d v="2024-01-08T00:00:00"/>
    <x v="0"/>
    <x v="0"/>
    <n v="15350.720000000001"/>
    <x v="0"/>
    <x v="0"/>
    <x v="0"/>
  </r>
  <r>
    <n v="36309"/>
    <x v="9"/>
    <x v="1"/>
    <n v="125"/>
    <n v="30"/>
    <n v="267.81"/>
    <x v="2"/>
    <d v="2024-08-05T00:00:00"/>
    <d v="2024-09-10T00:00:00"/>
    <x v="1"/>
    <x v="0"/>
    <n v="33476.25"/>
    <x v="0"/>
    <x v="0"/>
    <x v="0"/>
  </r>
  <r>
    <n v="75733"/>
    <x v="3"/>
    <x v="2"/>
    <n v="400"/>
    <n v="150"/>
    <n v="402.55"/>
    <x v="0"/>
    <d v="2024-11-20T00:00:00"/>
    <d v="2024-12-28T00:00:00"/>
    <x v="1"/>
    <x v="0"/>
    <n v="161020"/>
    <x v="0"/>
    <x v="1"/>
    <x v="0"/>
  </r>
  <r>
    <n v="59811"/>
    <x v="8"/>
    <x v="1"/>
    <n v="123"/>
    <n v="40"/>
    <n v="97.33"/>
    <x v="2"/>
    <d v="2024-12-14T00:00:00"/>
    <d v="2024-12-21T00:00:00"/>
    <x v="1"/>
    <x v="0"/>
    <n v="11971.59"/>
    <x v="0"/>
    <x v="0"/>
    <x v="0"/>
  </r>
  <r>
    <n v="77270"/>
    <x v="12"/>
    <x v="0"/>
    <n v="345"/>
    <n v="40"/>
    <n v="405.7"/>
    <x v="2"/>
    <d v="2024-05-27T00:00:00"/>
    <d v="2024-07-02T00:00:00"/>
    <x v="0"/>
    <x v="0"/>
    <n v="139966.5"/>
    <x v="0"/>
    <x v="0"/>
    <x v="0"/>
  </r>
  <r>
    <n v="95981"/>
    <x v="9"/>
    <x v="1"/>
    <n v="337"/>
    <n v="20"/>
    <n v="339.47"/>
    <x v="1"/>
    <d v="2024-05-30T00:00:00"/>
    <d v="2024-07-04T00:00:00"/>
    <x v="1"/>
    <x v="0"/>
    <n v="114401.39000000001"/>
    <x v="0"/>
    <x v="0"/>
    <x v="0"/>
  </r>
  <r>
    <n v="30932"/>
    <x v="1"/>
    <x v="0"/>
    <n v="345"/>
    <n v="20"/>
    <n v="260.73"/>
    <x v="4"/>
    <d v="2024-01-02T00:00:00"/>
    <d v="2024-01-07T00:00:00"/>
    <x v="1"/>
    <x v="0"/>
    <n v="89951.85"/>
    <x v="0"/>
    <x v="0"/>
    <x v="0"/>
  </r>
  <r>
    <n v="16295"/>
    <x v="8"/>
    <x v="1"/>
    <n v="98"/>
    <n v="40"/>
    <n v="364.35"/>
    <x v="3"/>
    <d v="2024-05-10T00:00:00"/>
    <d v="2024-06-03T00:00:00"/>
    <x v="1"/>
    <x v="0"/>
    <n v="35706.300000000003"/>
    <x v="0"/>
    <x v="1"/>
    <x v="0"/>
  </r>
  <r>
    <n v="92018"/>
    <x v="2"/>
    <x v="1"/>
    <n v="103"/>
    <n v="50"/>
    <n v="292.44"/>
    <x v="3"/>
    <d v="2024-04-21T00:00:00"/>
    <d v="2024-05-20T00:00:00"/>
    <x v="0"/>
    <x v="0"/>
    <n v="30121.32"/>
    <x v="0"/>
    <x v="1"/>
    <x v="0"/>
  </r>
  <r>
    <n v="48467"/>
    <x v="11"/>
    <x v="4"/>
    <n v="337"/>
    <n v="30"/>
    <n v="347.49"/>
    <x v="3"/>
    <d v="2024-07-26T00:00:00"/>
    <d v="2024-09-01T00:00:00"/>
    <x v="2"/>
    <x v="0"/>
    <n v="117104.13"/>
    <x v="0"/>
    <x v="0"/>
    <x v="0"/>
  </r>
  <r>
    <n v="80091"/>
    <x v="7"/>
    <x v="3"/>
    <n v="403"/>
    <n v="150"/>
    <n v="361.87"/>
    <x v="0"/>
    <d v="2024-05-07T00:00:00"/>
    <d v="2024-06-13T00:00:00"/>
    <x v="1"/>
    <x v="0"/>
    <n v="145833.61000000002"/>
    <x v="0"/>
    <x v="1"/>
    <x v="0"/>
  </r>
  <r>
    <n v="49790"/>
    <x v="6"/>
    <x v="3"/>
    <n v="437"/>
    <n v="40"/>
    <n v="220.03"/>
    <x v="3"/>
    <d v="2024-10-03T00:00:00"/>
    <d v="2024-11-06T00:00:00"/>
    <x v="0"/>
    <x v="0"/>
    <n v="96153.11"/>
    <x v="0"/>
    <x v="0"/>
    <x v="0"/>
  </r>
  <r>
    <n v="66491"/>
    <x v="0"/>
    <x v="0"/>
    <n v="303"/>
    <n v="40"/>
    <n v="288.14"/>
    <x v="2"/>
    <d v="2024-07-10T00:00:00"/>
    <d v="2024-07-31T00:00:00"/>
    <x v="2"/>
    <x v="0"/>
    <n v="87306.42"/>
    <x v="0"/>
    <x v="0"/>
    <x v="0"/>
  </r>
  <r>
    <n v="13420"/>
    <x v="13"/>
    <x v="3"/>
    <n v="372"/>
    <n v="100"/>
    <n v="188.23"/>
    <x v="3"/>
    <d v="2024-08-20T00:00:00"/>
    <d v="2024-09-17T00:00:00"/>
    <x v="2"/>
    <x v="0"/>
    <n v="70021.56"/>
    <x v="0"/>
    <x v="0"/>
    <x v="0"/>
  </r>
  <r>
    <n v="16102"/>
    <x v="6"/>
    <x v="3"/>
    <n v="98"/>
    <n v="50"/>
    <n v="427.24"/>
    <x v="3"/>
    <d v="2024-07-09T00:00:00"/>
    <d v="2024-08-03T00:00:00"/>
    <x v="1"/>
    <x v="0"/>
    <n v="41869.520000000004"/>
    <x v="0"/>
    <x v="1"/>
    <x v="0"/>
  </r>
  <r>
    <n v="82991"/>
    <x v="14"/>
    <x v="4"/>
    <n v="489"/>
    <n v="150"/>
    <n v="422.89"/>
    <x v="1"/>
    <d v="2024-11-18T00:00:00"/>
    <d v="2024-12-16T00:00:00"/>
    <x v="1"/>
    <x v="0"/>
    <n v="206793.21"/>
    <x v="0"/>
    <x v="0"/>
    <x v="0"/>
  </r>
  <r>
    <n v="15801"/>
    <x v="5"/>
    <x v="2"/>
    <n v="385"/>
    <n v="30"/>
    <n v="371.68"/>
    <x v="1"/>
    <d v="2024-10-25T00:00:00"/>
    <d v="2024-11-27T00:00:00"/>
    <x v="1"/>
    <x v="0"/>
    <n v="143096.79999999999"/>
    <x v="0"/>
    <x v="0"/>
    <x v="0"/>
  </r>
  <r>
    <n v="12368"/>
    <x v="14"/>
    <x v="4"/>
    <n v="407"/>
    <n v="80"/>
    <n v="45.39"/>
    <x v="2"/>
    <d v="2024-11-08T00:00:00"/>
    <d v="2024-12-02T00:00:00"/>
    <x v="1"/>
    <x v="0"/>
    <n v="18473.73"/>
    <x v="0"/>
    <x v="0"/>
    <x v="0"/>
  </r>
  <r>
    <n v="62921"/>
    <x v="4"/>
    <x v="0"/>
    <n v="321"/>
    <n v="150"/>
    <n v="337.65"/>
    <x v="4"/>
    <d v="2024-02-20T00:00:00"/>
    <d v="2024-03-20T00:00:00"/>
    <x v="2"/>
    <x v="0"/>
    <n v="108385.65"/>
    <x v="0"/>
    <x v="1"/>
    <x v="0"/>
  </r>
  <r>
    <n v="25338"/>
    <x v="11"/>
    <x v="4"/>
    <n v="341"/>
    <n v="20"/>
    <n v="23.49"/>
    <x v="2"/>
    <d v="2024-11-21T00:00:00"/>
    <d v="2024-12-10T00:00:00"/>
    <x v="0"/>
    <x v="0"/>
    <n v="8010.0899999999992"/>
    <x v="0"/>
    <x v="0"/>
    <x v="0"/>
  </r>
  <r>
    <n v="64021"/>
    <x v="8"/>
    <x v="1"/>
    <n v="59"/>
    <n v="50"/>
    <n v="482.8"/>
    <x v="4"/>
    <d v="2024-04-12T00:00:00"/>
    <d v="2024-04-20T00:00:00"/>
    <x v="2"/>
    <x v="0"/>
    <n v="28485.200000000001"/>
    <x v="0"/>
    <x v="1"/>
    <x v="0"/>
  </r>
  <r>
    <n v="96672"/>
    <x v="3"/>
    <x v="2"/>
    <n v="423"/>
    <n v="50"/>
    <n v="70.709999999999994"/>
    <x v="0"/>
    <d v="2024-05-03T00:00:00"/>
    <d v="2024-06-06T00:00:00"/>
    <x v="2"/>
    <x v="0"/>
    <n v="29910.329999999998"/>
    <x v="0"/>
    <x v="0"/>
    <x v="0"/>
  </r>
  <r>
    <n v="84740"/>
    <x v="14"/>
    <x v="4"/>
    <n v="473"/>
    <n v="80"/>
    <n v="45.03"/>
    <x v="3"/>
    <d v="2024-05-06T00:00:00"/>
    <d v="2024-05-19T00:00:00"/>
    <x v="2"/>
    <x v="0"/>
    <n v="21299.190000000002"/>
    <x v="0"/>
    <x v="0"/>
    <x v="0"/>
  </r>
  <r>
    <n v="55543"/>
    <x v="14"/>
    <x v="4"/>
    <n v="238"/>
    <n v="30"/>
    <n v="123.69"/>
    <x v="4"/>
    <d v="2024-04-27T00:00:00"/>
    <d v="2024-05-26T00:00:00"/>
    <x v="0"/>
    <x v="0"/>
    <n v="29438.22"/>
    <x v="0"/>
    <x v="0"/>
    <x v="0"/>
  </r>
  <r>
    <n v="95067"/>
    <x v="8"/>
    <x v="1"/>
    <n v="486"/>
    <n v="150"/>
    <n v="220.66"/>
    <x v="1"/>
    <d v="2024-12-14T00:00:00"/>
    <d v="2024-12-21T00:00:00"/>
    <x v="1"/>
    <x v="0"/>
    <n v="107240.76"/>
    <x v="0"/>
    <x v="0"/>
    <x v="0"/>
  </r>
  <r>
    <n v="88781"/>
    <x v="13"/>
    <x v="3"/>
    <n v="184"/>
    <n v="80"/>
    <n v="62.46"/>
    <x v="2"/>
    <d v="2024-03-09T00:00:00"/>
    <d v="2024-04-12T00:00:00"/>
    <x v="0"/>
    <x v="0"/>
    <n v="11492.64"/>
    <x v="0"/>
    <x v="1"/>
    <x v="0"/>
  </r>
  <r>
    <n v="66573"/>
    <x v="1"/>
    <x v="0"/>
    <n v="217"/>
    <n v="30"/>
    <n v="248.35"/>
    <x v="4"/>
    <d v="2024-02-08T00:00:00"/>
    <d v="2024-03-16T00:00:00"/>
    <x v="1"/>
    <x v="0"/>
    <n v="53891.95"/>
    <x v="0"/>
    <x v="0"/>
    <x v="0"/>
  </r>
  <r>
    <n v="75417"/>
    <x v="11"/>
    <x v="4"/>
    <n v="245"/>
    <n v="80"/>
    <n v="443.91"/>
    <x v="1"/>
    <d v="2024-06-28T00:00:00"/>
    <d v="2024-08-02T00:00:00"/>
    <x v="1"/>
    <x v="0"/>
    <n v="108757.95000000001"/>
    <x v="0"/>
    <x v="0"/>
    <x v="0"/>
  </r>
  <r>
    <n v="40977"/>
    <x v="14"/>
    <x v="4"/>
    <n v="324"/>
    <n v="80"/>
    <n v="85.65"/>
    <x v="3"/>
    <d v="2024-10-06T00:00:00"/>
    <d v="2024-10-26T00:00:00"/>
    <x v="1"/>
    <x v="0"/>
    <n v="27750.600000000002"/>
    <x v="0"/>
    <x v="0"/>
    <x v="0"/>
  </r>
  <r>
    <n v="80588"/>
    <x v="1"/>
    <x v="0"/>
    <n v="395"/>
    <n v="30"/>
    <n v="288.82"/>
    <x v="0"/>
    <d v="2024-02-02T00:00:00"/>
    <d v="2024-03-10T00:00:00"/>
    <x v="1"/>
    <x v="0"/>
    <n v="114083.9"/>
    <x v="0"/>
    <x v="0"/>
    <x v="0"/>
  </r>
  <r>
    <n v="96027"/>
    <x v="7"/>
    <x v="3"/>
    <n v="322"/>
    <n v="20"/>
    <n v="480.79"/>
    <x v="1"/>
    <d v="2024-11-25T00:00:00"/>
    <d v="2024-12-28T00:00:00"/>
    <x v="0"/>
    <x v="0"/>
    <n v="154814.38"/>
    <x v="0"/>
    <x v="0"/>
    <x v="0"/>
  </r>
  <r>
    <n v="25305"/>
    <x v="5"/>
    <x v="2"/>
    <n v="34"/>
    <n v="150"/>
    <n v="40.24"/>
    <x v="1"/>
    <d v="2024-09-20T00:00:00"/>
    <d v="2024-10-23T00:00:00"/>
    <x v="2"/>
    <x v="1"/>
    <n v="1368.16"/>
    <x v="3"/>
    <x v="1"/>
    <x v="1"/>
  </r>
  <r>
    <n v="10412"/>
    <x v="15"/>
    <x v="4"/>
    <n v="104"/>
    <n v="150"/>
    <n v="63.49"/>
    <x v="2"/>
    <d v="2024-04-23T00:00:00"/>
    <d v="2024-05-08T00:00:00"/>
    <x v="0"/>
    <x v="1"/>
    <n v="6602.96"/>
    <x v="4"/>
    <x v="1"/>
    <x v="1"/>
  </r>
  <r>
    <n v="93042"/>
    <x v="16"/>
    <x v="3"/>
    <n v="248"/>
    <n v="50"/>
    <n v="92.83"/>
    <x v="2"/>
    <d v="2024-07-10T00:00:00"/>
    <d v="2024-08-18T00:00:00"/>
    <x v="2"/>
    <x v="0"/>
    <n v="23021.84"/>
    <x v="0"/>
    <x v="0"/>
    <x v="0"/>
  </r>
  <r>
    <n v="46208"/>
    <x v="9"/>
    <x v="1"/>
    <n v="95"/>
    <n v="150"/>
    <n v="465.72"/>
    <x v="4"/>
    <d v="2024-02-06T00:00:00"/>
    <d v="2024-02-22T00:00:00"/>
    <x v="1"/>
    <x v="1"/>
    <n v="44243.4"/>
    <x v="5"/>
    <x v="1"/>
    <x v="1"/>
  </r>
  <r>
    <n v="56959"/>
    <x v="9"/>
    <x v="1"/>
    <n v="360"/>
    <n v="100"/>
    <n v="451.76"/>
    <x v="3"/>
    <d v="2024-03-02T00:00:00"/>
    <d v="2024-03-26T00:00:00"/>
    <x v="2"/>
    <x v="0"/>
    <n v="162633.60000000001"/>
    <x v="0"/>
    <x v="0"/>
    <x v="0"/>
  </r>
  <r>
    <n v="46939"/>
    <x v="6"/>
    <x v="3"/>
    <n v="18"/>
    <n v="20"/>
    <n v="31.48"/>
    <x v="3"/>
    <d v="2024-08-20T00:00:00"/>
    <d v="2024-09-12T00:00:00"/>
    <x v="1"/>
    <x v="1"/>
    <n v="566.64"/>
    <x v="6"/>
    <x v="1"/>
    <x v="1"/>
  </r>
  <r>
    <n v="99112"/>
    <x v="4"/>
    <x v="0"/>
    <n v="222"/>
    <n v="50"/>
    <n v="288.85000000000002"/>
    <x v="2"/>
    <d v="2024-05-23T00:00:00"/>
    <d v="2024-06-01T00:00:00"/>
    <x v="1"/>
    <x v="0"/>
    <n v="64124.700000000004"/>
    <x v="0"/>
    <x v="0"/>
    <x v="0"/>
  </r>
  <r>
    <n v="19348"/>
    <x v="7"/>
    <x v="3"/>
    <n v="52"/>
    <n v="150"/>
    <n v="391.74"/>
    <x v="0"/>
    <d v="2024-02-08T00:00:00"/>
    <d v="2024-02-26T00:00:00"/>
    <x v="1"/>
    <x v="1"/>
    <n v="20370.48"/>
    <x v="7"/>
    <x v="1"/>
    <x v="1"/>
  </r>
  <r>
    <n v="92873"/>
    <x v="6"/>
    <x v="3"/>
    <n v="330"/>
    <n v="30"/>
    <n v="484.48"/>
    <x v="2"/>
    <d v="2024-01-09T00:00:00"/>
    <d v="2024-01-23T00:00:00"/>
    <x v="0"/>
    <x v="0"/>
    <n v="159878.39999999999"/>
    <x v="0"/>
    <x v="0"/>
    <x v="0"/>
  </r>
  <r>
    <n v="98858"/>
    <x v="13"/>
    <x v="3"/>
    <n v="6"/>
    <n v="100"/>
    <n v="351.98"/>
    <x v="1"/>
    <d v="2024-06-18T00:00:00"/>
    <d v="2024-07-01T00:00:00"/>
    <x v="2"/>
    <x v="1"/>
    <n v="2111.88"/>
    <x v="8"/>
    <x v="1"/>
    <x v="1"/>
  </r>
  <r>
    <n v="93285"/>
    <x v="16"/>
    <x v="3"/>
    <n v="164"/>
    <n v="100"/>
    <n v="493.39"/>
    <x v="2"/>
    <d v="2024-12-30T00:00:00"/>
    <d v="2025-01-04T00:00:00"/>
    <x v="0"/>
    <x v="0"/>
    <n v="80915.959999999992"/>
    <x v="0"/>
    <x v="1"/>
    <x v="0"/>
  </r>
  <r>
    <n v="35289"/>
    <x v="8"/>
    <x v="1"/>
    <n v="131"/>
    <n v="50"/>
    <n v="191.25"/>
    <x v="1"/>
    <d v="2024-10-01T00:00:00"/>
    <d v="2024-11-01T00:00:00"/>
    <x v="1"/>
    <x v="0"/>
    <n v="25053.75"/>
    <x v="0"/>
    <x v="1"/>
    <x v="0"/>
  </r>
  <r>
    <n v="65771"/>
    <x v="10"/>
    <x v="2"/>
    <n v="140"/>
    <n v="30"/>
    <n v="236.99"/>
    <x v="4"/>
    <d v="2024-02-27T00:00:00"/>
    <d v="2024-03-22T00:00:00"/>
    <x v="1"/>
    <x v="0"/>
    <n v="33178.6"/>
    <x v="0"/>
    <x v="0"/>
    <x v="0"/>
  </r>
  <r>
    <n v="43591"/>
    <x v="9"/>
    <x v="1"/>
    <n v="0"/>
    <n v="40"/>
    <n v="293.77"/>
    <x v="3"/>
    <d v="2024-07-08T00:00:00"/>
    <d v="2024-08-06T00:00:00"/>
    <x v="2"/>
    <x v="1"/>
    <n v="0"/>
    <x v="9"/>
    <x v="1"/>
    <x v="1"/>
  </r>
  <r>
    <n v="30559"/>
    <x v="13"/>
    <x v="3"/>
    <n v="57"/>
    <n v="50"/>
    <n v="489.06"/>
    <x v="4"/>
    <d v="2024-06-21T00:00:00"/>
    <d v="2024-07-16T00:00:00"/>
    <x v="1"/>
    <x v="0"/>
    <n v="27876.420000000002"/>
    <x v="0"/>
    <x v="1"/>
    <x v="0"/>
  </r>
  <r>
    <n v="62638"/>
    <x v="0"/>
    <x v="0"/>
    <n v="163"/>
    <n v="40"/>
    <n v="349.23"/>
    <x v="3"/>
    <d v="2024-02-16T00:00:00"/>
    <d v="2024-03-05T00:00:00"/>
    <x v="0"/>
    <x v="0"/>
    <n v="56924.490000000005"/>
    <x v="0"/>
    <x v="0"/>
    <x v="0"/>
  </r>
  <r>
    <n v="31447"/>
    <x v="3"/>
    <x v="2"/>
    <n v="440"/>
    <n v="40"/>
    <n v="144.08000000000001"/>
    <x v="2"/>
    <d v="2024-08-11T00:00:00"/>
    <d v="2024-08-31T00:00:00"/>
    <x v="0"/>
    <x v="0"/>
    <n v="63395.200000000004"/>
    <x v="0"/>
    <x v="0"/>
    <x v="0"/>
  </r>
  <r>
    <n v="14835"/>
    <x v="11"/>
    <x v="4"/>
    <n v="135"/>
    <n v="30"/>
    <n v="118.55"/>
    <x v="0"/>
    <d v="2024-01-28T00:00:00"/>
    <d v="2024-02-29T00:00:00"/>
    <x v="2"/>
    <x v="0"/>
    <n v="16004.25"/>
    <x v="0"/>
    <x v="0"/>
    <x v="0"/>
  </r>
  <r>
    <n v="37532"/>
    <x v="8"/>
    <x v="1"/>
    <n v="416"/>
    <n v="80"/>
    <n v="407.83"/>
    <x v="0"/>
    <d v="2024-08-07T00:00:00"/>
    <d v="2024-09-09T00:00:00"/>
    <x v="0"/>
    <x v="0"/>
    <n v="169657.28"/>
    <x v="0"/>
    <x v="0"/>
    <x v="0"/>
  </r>
  <r>
    <n v="33793"/>
    <x v="15"/>
    <x v="4"/>
    <n v="255"/>
    <n v="80"/>
    <n v="308.64"/>
    <x v="0"/>
    <d v="2024-01-10T00:00:00"/>
    <d v="2024-02-13T00:00:00"/>
    <x v="0"/>
    <x v="0"/>
    <n v="78703.199999999997"/>
    <x v="0"/>
    <x v="0"/>
    <x v="0"/>
  </r>
  <r>
    <n v="72292"/>
    <x v="6"/>
    <x v="3"/>
    <n v="288"/>
    <n v="100"/>
    <n v="406.22"/>
    <x v="1"/>
    <d v="2024-08-11T00:00:00"/>
    <d v="2024-08-26T00:00:00"/>
    <x v="1"/>
    <x v="0"/>
    <n v="116991.36000000002"/>
    <x v="0"/>
    <x v="1"/>
    <x v="0"/>
  </r>
  <r>
    <n v="18702"/>
    <x v="2"/>
    <x v="1"/>
    <n v="314"/>
    <n v="40"/>
    <n v="286.7"/>
    <x v="3"/>
    <d v="2024-04-07T00:00:00"/>
    <d v="2024-05-16T00:00:00"/>
    <x v="0"/>
    <x v="0"/>
    <n v="90023.8"/>
    <x v="0"/>
    <x v="0"/>
    <x v="0"/>
  </r>
  <r>
    <n v="33524"/>
    <x v="0"/>
    <x v="0"/>
    <n v="196"/>
    <n v="150"/>
    <n v="376.21"/>
    <x v="4"/>
    <d v="2024-09-15T00:00:00"/>
    <d v="2024-10-12T00:00:00"/>
    <x v="0"/>
    <x v="0"/>
    <n v="73737.159999999989"/>
    <x v="0"/>
    <x v="1"/>
    <x v="0"/>
  </r>
  <r>
    <n v="67091"/>
    <x v="11"/>
    <x v="4"/>
    <n v="82"/>
    <n v="20"/>
    <n v="124.34"/>
    <x v="3"/>
    <d v="2024-01-01T00:00:00"/>
    <d v="2024-01-18T00:00:00"/>
    <x v="0"/>
    <x v="0"/>
    <n v="10195.880000000001"/>
    <x v="0"/>
    <x v="0"/>
    <x v="0"/>
  </r>
  <r>
    <n v="42049"/>
    <x v="15"/>
    <x v="4"/>
    <n v="71"/>
    <n v="150"/>
    <n v="337.43"/>
    <x v="2"/>
    <d v="2024-06-10T00:00:00"/>
    <d v="2024-06-17T00:00:00"/>
    <x v="0"/>
    <x v="1"/>
    <n v="23957.53"/>
    <x v="10"/>
    <x v="1"/>
    <x v="1"/>
  </r>
  <r>
    <n v="54238"/>
    <x v="0"/>
    <x v="0"/>
    <n v="477"/>
    <n v="100"/>
    <n v="396.95"/>
    <x v="4"/>
    <d v="2024-04-21T00:00:00"/>
    <d v="2024-05-18T00:00:00"/>
    <x v="0"/>
    <x v="0"/>
    <n v="189345.15"/>
    <x v="0"/>
    <x v="0"/>
    <x v="0"/>
  </r>
  <r>
    <n v="16949"/>
    <x v="15"/>
    <x v="4"/>
    <n v="434"/>
    <n v="150"/>
    <n v="72.5"/>
    <x v="1"/>
    <d v="2024-09-08T00:00:00"/>
    <d v="2024-10-16T00:00:00"/>
    <x v="2"/>
    <x v="0"/>
    <n v="31465"/>
    <x v="0"/>
    <x v="1"/>
    <x v="0"/>
  </r>
  <r>
    <n v="52318"/>
    <x v="11"/>
    <x v="4"/>
    <n v="334"/>
    <n v="40"/>
    <n v="50.05"/>
    <x v="2"/>
    <d v="2024-11-03T00:00:00"/>
    <d v="2024-12-10T00:00:00"/>
    <x v="2"/>
    <x v="0"/>
    <n v="16716.7"/>
    <x v="0"/>
    <x v="0"/>
    <x v="0"/>
  </r>
  <r>
    <n v="97369"/>
    <x v="15"/>
    <x v="4"/>
    <n v="80"/>
    <n v="80"/>
    <n v="399.25"/>
    <x v="3"/>
    <d v="2024-05-17T00:00:00"/>
    <d v="2024-06-07T00:00:00"/>
    <x v="0"/>
    <x v="0"/>
    <n v="31940"/>
    <x v="0"/>
    <x v="1"/>
    <x v="0"/>
  </r>
  <r>
    <n v="16254"/>
    <x v="11"/>
    <x v="4"/>
    <n v="52"/>
    <n v="30"/>
    <n v="167.73"/>
    <x v="3"/>
    <d v="2024-08-22T00:00:00"/>
    <d v="2024-09-06T00:00:00"/>
    <x v="1"/>
    <x v="0"/>
    <n v="8721.9599999999991"/>
    <x v="0"/>
    <x v="1"/>
    <x v="0"/>
  </r>
  <r>
    <n v="93807"/>
    <x v="5"/>
    <x v="2"/>
    <n v="399"/>
    <n v="50"/>
    <n v="95.03"/>
    <x v="0"/>
    <d v="2024-07-02T00:00:00"/>
    <d v="2024-07-31T00:00:00"/>
    <x v="1"/>
    <x v="0"/>
    <n v="37916.97"/>
    <x v="0"/>
    <x v="0"/>
    <x v="0"/>
  </r>
  <r>
    <n v="97505"/>
    <x v="7"/>
    <x v="3"/>
    <n v="433"/>
    <n v="80"/>
    <n v="100.18"/>
    <x v="2"/>
    <d v="2024-10-03T00:00:00"/>
    <d v="2024-10-12T00:00:00"/>
    <x v="2"/>
    <x v="0"/>
    <n v="43377.94"/>
    <x v="0"/>
    <x v="0"/>
    <x v="0"/>
  </r>
  <r>
    <n v="28777"/>
    <x v="13"/>
    <x v="3"/>
    <n v="404"/>
    <n v="100"/>
    <n v="64.709999999999994"/>
    <x v="1"/>
    <d v="2024-08-20T00:00:00"/>
    <d v="2024-09-05T00:00:00"/>
    <x v="0"/>
    <x v="0"/>
    <n v="26142.839999999997"/>
    <x v="0"/>
    <x v="0"/>
    <x v="0"/>
  </r>
  <r>
    <n v="20478"/>
    <x v="14"/>
    <x v="4"/>
    <n v="410"/>
    <n v="20"/>
    <n v="50.68"/>
    <x v="0"/>
    <d v="2024-02-16T00:00:00"/>
    <d v="2024-03-13T00:00:00"/>
    <x v="1"/>
    <x v="0"/>
    <n v="20778.8"/>
    <x v="0"/>
    <x v="0"/>
    <x v="0"/>
  </r>
  <r>
    <n v="60428"/>
    <x v="16"/>
    <x v="3"/>
    <n v="25"/>
    <n v="50"/>
    <n v="404.07"/>
    <x v="2"/>
    <d v="2024-04-22T00:00:00"/>
    <d v="2024-05-31T00:00:00"/>
    <x v="1"/>
    <x v="1"/>
    <n v="10101.75"/>
    <x v="11"/>
    <x v="1"/>
    <x v="1"/>
  </r>
  <r>
    <n v="15122"/>
    <x v="15"/>
    <x v="4"/>
    <n v="77"/>
    <n v="30"/>
    <n v="375"/>
    <x v="0"/>
    <d v="2024-01-14T00:00:00"/>
    <d v="2024-01-25T00:00:00"/>
    <x v="1"/>
    <x v="0"/>
    <n v="28875"/>
    <x v="0"/>
    <x v="1"/>
    <x v="0"/>
  </r>
  <r>
    <n v="48518"/>
    <x v="0"/>
    <x v="0"/>
    <n v="273"/>
    <n v="30"/>
    <n v="180.3"/>
    <x v="4"/>
    <d v="2024-01-15T00:00:00"/>
    <d v="2024-02-13T00:00:00"/>
    <x v="2"/>
    <x v="0"/>
    <n v="49221.9"/>
    <x v="0"/>
    <x v="0"/>
    <x v="0"/>
  </r>
  <r>
    <n v="13596"/>
    <x v="8"/>
    <x v="1"/>
    <n v="230"/>
    <n v="100"/>
    <n v="167.11"/>
    <x v="2"/>
    <d v="2024-10-26T00:00:00"/>
    <d v="2024-11-24T00:00:00"/>
    <x v="0"/>
    <x v="0"/>
    <n v="38435.300000000003"/>
    <x v="0"/>
    <x v="1"/>
    <x v="0"/>
  </r>
  <r>
    <n v="89905"/>
    <x v="4"/>
    <x v="0"/>
    <n v="66"/>
    <n v="20"/>
    <n v="251.73"/>
    <x v="3"/>
    <d v="2024-04-20T00:00:00"/>
    <d v="2024-05-16T00:00:00"/>
    <x v="1"/>
    <x v="0"/>
    <n v="16614.18"/>
    <x v="0"/>
    <x v="0"/>
    <x v="0"/>
  </r>
  <r>
    <n v="85703"/>
    <x v="14"/>
    <x v="4"/>
    <n v="100"/>
    <n v="100"/>
    <n v="450.33"/>
    <x v="0"/>
    <d v="2024-11-15T00:00:00"/>
    <d v="2024-12-23T00:00:00"/>
    <x v="0"/>
    <x v="0"/>
    <n v="45033"/>
    <x v="0"/>
    <x v="1"/>
    <x v="0"/>
  </r>
  <r>
    <n v="81158"/>
    <x v="16"/>
    <x v="3"/>
    <n v="288"/>
    <n v="80"/>
    <n v="55.38"/>
    <x v="2"/>
    <d v="2024-07-16T00:00:00"/>
    <d v="2024-07-26T00:00:00"/>
    <x v="2"/>
    <x v="0"/>
    <n v="15949.44"/>
    <x v="0"/>
    <x v="0"/>
    <x v="0"/>
  </r>
  <r>
    <n v="23046"/>
    <x v="5"/>
    <x v="2"/>
    <n v="317"/>
    <n v="100"/>
    <n v="90.82"/>
    <x v="0"/>
    <d v="2024-11-06T00:00:00"/>
    <d v="2024-11-19T00:00:00"/>
    <x v="1"/>
    <x v="0"/>
    <n v="28789.94"/>
    <x v="0"/>
    <x v="0"/>
    <x v="0"/>
  </r>
  <r>
    <n v="97886"/>
    <x v="7"/>
    <x v="3"/>
    <n v="407"/>
    <n v="150"/>
    <n v="448.82"/>
    <x v="3"/>
    <d v="2024-08-07T00:00:00"/>
    <d v="2024-08-22T00:00:00"/>
    <x v="2"/>
    <x v="0"/>
    <n v="182669.74"/>
    <x v="0"/>
    <x v="1"/>
    <x v="0"/>
  </r>
  <r>
    <n v="16469"/>
    <x v="5"/>
    <x v="2"/>
    <n v="440"/>
    <n v="30"/>
    <n v="280.60000000000002"/>
    <x v="1"/>
    <d v="2024-01-26T00:00:00"/>
    <d v="2024-02-04T00:00:00"/>
    <x v="2"/>
    <x v="0"/>
    <n v="123464.00000000001"/>
    <x v="0"/>
    <x v="0"/>
    <x v="0"/>
  </r>
  <r>
    <n v="88477"/>
    <x v="12"/>
    <x v="0"/>
    <n v="211"/>
    <n v="20"/>
    <n v="369.44"/>
    <x v="4"/>
    <d v="2024-05-19T00:00:00"/>
    <d v="2024-05-24T00:00:00"/>
    <x v="2"/>
    <x v="0"/>
    <n v="77951.839999999997"/>
    <x v="0"/>
    <x v="0"/>
    <x v="0"/>
  </r>
  <r>
    <n v="69383"/>
    <x v="3"/>
    <x v="2"/>
    <n v="355"/>
    <n v="80"/>
    <n v="268.63"/>
    <x v="1"/>
    <d v="2024-06-09T00:00:00"/>
    <d v="2024-06-19T00:00:00"/>
    <x v="0"/>
    <x v="0"/>
    <n v="95363.65"/>
    <x v="0"/>
    <x v="0"/>
    <x v="0"/>
  </r>
  <r>
    <n v="29216"/>
    <x v="11"/>
    <x v="4"/>
    <n v="12"/>
    <n v="30"/>
    <n v="48.49"/>
    <x v="3"/>
    <d v="2024-11-14T00:00:00"/>
    <d v="2024-11-27T00:00:00"/>
    <x v="1"/>
    <x v="1"/>
    <n v="581.88"/>
    <x v="12"/>
    <x v="1"/>
    <x v="1"/>
  </r>
  <r>
    <n v="77444"/>
    <x v="5"/>
    <x v="2"/>
    <n v="94"/>
    <n v="20"/>
    <n v="426.11"/>
    <x v="0"/>
    <d v="2024-08-23T00:00:00"/>
    <d v="2024-09-10T00:00:00"/>
    <x v="0"/>
    <x v="0"/>
    <n v="40054.340000000004"/>
    <x v="0"/>
    <x v="0"/>
    <x v="0"/>
  </r>
  <r>
    <n v="18007"/>
    <x v="15"/>
    <x v="4"/>
    <n v="34"/>
    <n v="20"/>
    <n v="371.85"/>
    <x v="0"/>
    <d v="2024-02-29T00:00:00"/>
    <d v="2024-04-02T00:00:00"/>
    <x v="0"/>
    <x v="0"/>
    <n v="12642.900000000001"/>
    <x v="0"/>
    <x v="1"/>
    <x v="0"/>
  </r>
  <r>
    <n v="29282"/>
    <x v="13"/>
    <x v="3"/>
    <n v="315"/>
    <n v="100"/>
    <n v="413.44"/>
    <x v="0"/>
    <d v="2024-06-13T00:00:00"/>
    <d v="2024-06-22T00:00:00"/>
    <x v="2"/>
    <x v="0"/>
    <n v="130233.60000000001"/>
    <x v="0"/>
    <x v="0"/>
    <x v="0"/>
  </r>
  <r>
    <n v="53303"/>
    <x v="11"/>
    <x v="4"/>
    <n v="131"/>
    <n v="20"/>
    <n v="439.21"/>
    <x v="0"/>
    <d v="2024-03-29T00:00:00"/>
    <d v="2024-04-20T00:00:00"/>
    <x v="0"/>
    <x v="0"/>
    <n v="57536.509999999995"/>
    <x v="0"/>
    <x v="0"/>
    <x v="0"/>
  </r>
  <r>
    <n v="21246"/>
    <x v="9"/>
    <x v="1"/>
    <n v="62"/>
    <n v="150"/>
    <n v="290.86"/>
    <x v="1"/>
    <d v="2024-05-24T00:00:00"/>
    <d v="2024-06-30T00:00:00"/>
    <x v="2"/>
    <x v="1"/>
    <n v="18033.32"/>
    <x v="13"/>
    <x v="1"/>
    <x v="1"/>
  </r>
  <r>
    <n v="93122"/>
    <x v="7"/>
    <x v="3"/>
    <n v="103"/>
    <n v="40"/>
    <n v="273.70999999999998"/>
    <x v="1"/>
    <d v="2024-07-16T00:00:00"/>
    <d v="2024-07-26T00:00:00"/>
    <x v="1"/>
    <x v="0"/>
    <n v="28192.129999999997"/>
    <x v="0"/>
    <x v="1"/>
    <x v="0"/>
  </r>
  <r>
    <n v="54028"/>
    <x v="16"/>
    <x v="3"/>
    <n v="499"/>
    <n v="100"/>
    <n v="447.48"/>
    <x v="4"/>
    <d v="2024-06-05T00:00:00"/>
    <d v="2024-07-12T00:00:00"/>
    <x v="1"/>
    <x v="0"/>
    <n v="223292.52000000002"/>
    <x v="0"/>
    <x v="0"/>
    <x v="0"/>
  </r>
  <r>
    <n v="53872"/>
    <x v="2"/>
    <x v="1"/>
    <n v="195"/>
    <n v="100"/>
    <n v="358.46"/>
    <x v="4"/>
    <d v="2024-01-05T00:00:00"/>
    <d v="2024-01-19T00:00:00"/>
    <x v="1"/>
    <x v="0"/>
    <n v="69899.7"/>
    <x v="0"/>
    <x v="1"/>
    <x v="0"/>
  </r>
  <r>
    <n v="74772"/>
    <x v="0"/>
    <x v="0"/>
    <n v="215"/>
    <n v="50"/>
    <n v="201.66"/>
    <x v="4"/>
    <d v="2024-06-05T00:00:00"/>
    <d v="2024-06-17T00:00:00"/>
    <x v="1"/>
    <x v="0"/>
    <n v="43356.9"/>
    <x v="0"/>
    <x v="0"/>
    <x v="0"/>
  </r>
  <r>
    <n v="81315"/>
    <x v="1"/>
    <x v="0"/>
    <n v="172"/>
    <n v="30"/>
    <n v="11.04"/>
    <x v="0"/>
    <d v="2024-04-24T00:00:00"/>
    <d v="2024-05-24T00:00:00"/>
    <x v="2"/>
    <x v="0"/>
    <n v="1898.8799999999999"/>
    <x v="0"/>
    <x v="0"/>
    <x v="0"/>
  </r>
  <r>
    <n v="85993"/>
    <x v="11"/>
    <x v="4"/>
    <n v="133"/>
    <n v="150"/>
    <n v="233.69"/>
    <x v="4"/>
    <d v="2024-10-28T00:00:00"/>
    <d v="2024-11-13T00:00:00"/>
    <x v="2"/>
    <x v="1"/>
    <n v="31080.77"/>
    <x v="14"/>
    <x v="1"/>
    <x v="1"/>
  </r>
  <r>
    <n v="49915"/>
    <x v="14"/>
    <x v="4"/>
    <n v="480"/>
    <n v="150"/>
    <n v="364.42"/>
    <x v="2"/>
    <d v="2024-06-19T00:00:00"/>
    <d v="2024-07-05T00:00:00"/>
    <x v="0"/>
    <x v="0"/>
    <n v="174921.60000000001"/>
    <x v="0"/>
    <x v="0"/>
    <x v="0"/>
  </r>
  <r>
    <n v="96066"/>
    <x v="7"/>
    <x v="3"/>
    <n v="126"/>
    <n v="30"/>
    <n v="386.77"/>
    <x v="4"/>
    <d v="2024-10-13T00:00:00"/>
    <d v="2024-10-26T00:00:00"/>
    <x v="2"/>
    <x v="0"/>
    <n v="48733.02"/>
    <x v="0"/>
    <x v="0"/>
    <x v="0"/>
  </r>
  <r>
    <n v="11645"/>
    <x v="2"/>
    <x v="1"/>
    <n v="266"/>
    <n v="150"/>
    <n v="65.790000000000006"/>
    <x v="2"/>
    <d v="2024-04-10T00:00:00"/>
    <d v="2024-05-05T00:00:00"/>
    <x v="2"/>
    <x v="0"/>
    <n v="17500.140000000003"/>
    <x v="0"/>
    <x v="1"/>
    <x v="0"/>
  </r>
  <r>
    <n v="85060"/>
    <x v="8"/>
    <x v="1"/>
    <n v="318"/>
    <n v="100"/>
    <n v="261.82"/>
    <x v="3"/>
    <d v="2024-05-28T00:00:00"/>
    <d v="2024-06-10T00:00:00"/>
    <x v="2"/>
    <x v="0"/>
    <n v="83258.759999999995"/>
    <x v="0"/>
    <x v="0"/>
    <x v="0"/>
  </r>
  <r>
    <n v="83509"/>
    <x v="0"/>
    <x v="0"/>
    <n v="116"/>
    <n v="30"/>
    <n v="170.08"/>
    <x v="1"/>
    <d v="2024-03-03T00:00:00"/>
    <d v="2024-04-01T00:00:00"/>
    <x v="1"/>
    <x v="0"/>
    <n v="19729.280000000002"/>
    <x v="0"/>
    <x v="0"/>
    <x v="0"/>
  </r>
  <r>
    <n v="77526"/>
    <x v="15"/>
    <x v="4"/>
    <n v="417"/>
    <n v="40"/>
    <n v="228.85"/>
    <x v="2"/>
    <d v="2024-12-29T00:00:00"/>
    <d v="2025-01-26T00:00:00"/>
    <x v="2"/>
    <x v="0"/>
    <n v="95430.45"/>
    <x v="0"/>
    <x v="0"/>
    <x v="0"/>
  </r>
  <r>
    <n v="20395"/>
    <x v="7"/>
    <x v="3"/>
    <n v="160"/>
    <n v="20"/>
    <n v="391.35"/>
    <x v="1"/>
    <d v="2024-05-29T00:00:00"/>
    <d v="2024-06-28T00:00:00"/>
    <x v="0"/>
    <x v="0"/>
    <n v="62616"/>
    <x v="0"/>
    <x v="0"/>
    <x v="0"/>
  </r>
  <r>
    <n v="31566"/>
    <x v="9"/>
    <x v="1"/>
    <n v="336"/>
    <n v="50"/>
    <n v="232.2"/>
    <x v="4"/>
    <d v="2024-05-27T00:00:00"/>
    <d v="2024-06-22T00:00:00"/>
    <x v="0"/>
    <x v="0"/>
    <n v="78019.199999999997"/>
    <x v="0"/>
    <x v="0"/>
    <x v="0"/>
  </r>
  <r>
    <n v="12717"/>
    <x v="8"/>
    <x v="1"/>
    <n v="477"/>
    <n v="150"/>
    <n v="216.26"/>
    <x v="4"/>
    <d v="2024-07-29T00:00:00"/>
    <d v="2024-09-03T00:00:00"/>
    <x v="0"/>
    <x v="0"/>
    <n v="103156.01999999999"/>
    <x v="0"/>
    <x v="0"/>
    <x v="0"/>
  </r>
  <r>
    <n v="16645"/>
    <x v="16"/>
    <x v="3"/>
    <n v="285"/>
    <n v="40"/>
    <n v="37.53"/>
    <x v="2"/>
    <d v="2024-03-18T00:00:00"/>
    <d v="2024-03-24T00:00:00"/>
    <x v="0"/>
    <x v="0"/>
    <n v="10696.050000000001"/>
    <x v="0"/>
    <x v="0"/>
    <x v="0"/>
  </r>
  <r>
    <n v="22342"/>
    <x v="11"/>
    <x v="4"/>
    <n v="165"/>
    <n v="40"/>
    <n v="81.84"/>
    <x v="0"/>
    <d v="2024-09-20T00:00:00"/>
    <d v="2024-10-23T00:00:00"/>
    <x v="2"/>
    <x v="0"/>
    <n v="13503.6"/>
    <x v="0"/>
    <x v="0"/>
    <x v="0"/>
  </r>
  <r>
    <n v="36399"/>
    <x v="15"/>
    <x v="4"/>
    <n v="365"/>
    <n v="30"/>
    <n v="207.32"/>
    <x v="1"/>
    <d v="2024-03-27T00:00:00"/>
    <d v="2024-04-28T00:00:00"/>
    <x v="1"/>
    <x v="0"/>
    <n v="75671.8"/>
    <x v="0"/>
    <x v="0"/>
    <x v="0"/>
  </r>
  <r>
    <n v="66373"/>
    <x v="7"/>
    <x v="3"/>
    <n v="320"/>
    <n v="20"/>
    <n v="114.88"/>
    <x v="3"/>
    <d v="2024-09-11T00:00:00"/>
    <d v="2024-09-23T00:00:00"/>
    <x v="1"/>
    <x v="0"/>
    <n v="36761.599999999999"/>
    <x v="0"/>
    <x v="0"/>
    <x v="0"/>
  </r>
  <r>
    <n v="83506"/>
    <x v="6"/>
    <x v="3"/>
    <n v="50"/>
    <n v="20"/>
    <n v="280.58"/>
    <x v="0"/>
    <d v="2024-09-20T00:00:00"/>
    <d v="2024-10-28T00:00:00"/>
    <x v="0"/>
    <x v="0"/>
    <n v="14029"/>
    <x v="0"/>
    <x v="1"/>
    <x v="0"/>
  </r>
  <r>
    <n v="26032"/>
    <x v="13"/>
    <x v="3"/>
    <n v="222"/>
    <n v="150"/>
    <n v="448.69"/>
    <x v="4"/>
    <d v="2024-01-07T00:00:00"/>
    <d v="2024-01-21T00:00:00"/>
    <x v="1"/>
    <x v="0"/>
    <n v="99609.18"/>
    <x v="0"/>
    <x v="1"/>
    <x v="0"/>
  </r>
  <r>
    <n v="33236"/>
    <x v="6"/>
    <x v="3"/>
    <n v="35"/>
    <n v="80"/>
    <n v="213.61"/>
    <x v="2"/>
    <d v="2024-01-02T00:00:00"/>
    <d v="2024-01-07T00:00:00"/>
    <x v="1"/>
    <x v="1"/>
    <n v="7476.35"/>
    <x v="15"/>
    <x v="1"/>
    <x v="1"/>
  </r>
  <r>
    <n v="43572"/>
    <x v="15"/>
    <x v="4"/>
    <n v="385"/>
    <n v="40"/>
    <n v="297.2"/>
    <x v="3"/>
    <d v="2024-01-20T00:00:00"/>
    <d v="2024-01-29T00:00:00"/>
    <x v="2"/>
    <x v="0"/>
    <n v="114422"/>
    <x v="0"/>
    <x v="0"/>
    <x v="0"/>
  </r>
  <r>
    <n v="55648"/>
    <x v="7"/>
    <x v="3"/>
    <n v="354"/>
    <n v="50"/>
    <n v="487.4"/>
    <x v="1"/>
    <d v="2024-12-29T00:00:00"/>
    <d v="2025-01-26T00:00:00"/>
    <x v="2"/>
    <x v="0"/>
    <n v="172539.6"/>
    <x v="0"/>
    <x v="0"/>
    <x v="0"/>
  </r>
  <r>
    <n v="88344"/>
    <x v="5"/>
    <x v="2"/>
    <n v="214"/>
    <n v="20"/>
    <n v="244.97"/>
    <x v="1"/>
    <d v="2024-07-27T00:00:00"/>
    <d v="2024-08-14T00:00:00"/>
    <x v="0"/>
    <x v="0"/>
    <n v="52423.58"/>
    <x v="0"/>
    <x v="0"/>
    <x v="0"/>
  </r>
  <r>
    <n v="86908"/>
    <x v="9"/>
    <x v="1"/>
    <n v="200"/>
    <n v="100"/>
    <n v="324.3"/>
    <x v="1"/>
    <d v="2024-01-04T00:00:00"/>
    <d v="2024-02-03T00:00:00"/>
    <x v="1"/>
    <x v="0"/>
    <n v="64860"/>
    <x v="0"/>
    <x v="1"/>
    <x v="0"/>
  </r>
  <r>
    <n v="49952"/>
    <x v="6"/>
    <x v="3"/>
    <n v="325"/>
    <n v="30"/>
    <n v="267.18"/>
    <x v="4"/>
    <d v="2024-02-11T00:00:00"/>
    <d v="2024-03-20T00:00:00"/>
    <x v="0"/>
    <x v="0"/>
    <n v="86833.5"/>
    <x v="0"/>
    <x v="0"/>
    <x v="0"/>
  </r>
  <r>
    <n v="92565"/>
    <x v="15"/>
    <x v="4"/>
    <n v="116"/>
    <n v="30"/>
    <n v="74.31"/>
    <x v="0"/>
    <d v="2024-01-27T00:00:00"/>
    <d v="2024-03-02T00:00:00"/>
    <x v="2"/>
    <x v="0"/>
    <n v="8619.9600000000009"/>
    <x v="0"/>
    <x v="0"/>
    <x v="0"/>
  </r>
  <r>
    <n v="48709"/>
    <x v="0"/>
    <x v="0"/>
    <n v="308"/>
    <n v="150"/>
    <n v="288.77999999999997"/>
    <x v="0"/>
    <d v="2024-07-08T00:00:00"/>
    <d v="2024-07-14T00:00:00"/>
    <x v="0"/>
    <x v="0"/>
    <n v="88944.239999999991"/>
    <x v="0"/>
    <x v="1"/>
    <x v="0"/>
  </r>
  <r>
    <n v="99599"/>
    <x v="10"/>
    <x v="2"/>
    <n v="291"/>
    <n v="40"/>
    <n v="126.45"/>
    <x v="2"/>
    <d v="2024-05-28T00:00:00"/>
    <d v="2024-06-12T00:00:00"/>
    <x v="0"/>
    <x v="0"/>
    <n v="36796.950000000004"/>
    <x v="0"/>
    <x v="0"/>
    <x v="0"/>
  </r>
  <r>
    <n v="14853"/>
    <x v="3"/>
    <x v="2"/>
    <n v="231"/>
    <n v="40"/>
    <n v="474.91"/>
    <x v="4"/>
    <d v="2024-02-24T00:00:00"/>
    <d v="2024-03-23T00:00:00"/>
    <x v="0"/>
    <x v="0"/>
    <n v="109704.21"/>
    <x v="0"/>
    <x v="0"/>
    <x v="0"/>
  </r>
  <r>
    <n v="57304"/>
    <x v="15"/>
    <x v="4"/>
    <n v="147"/>
    <n v="40"/>
    <n v="299.56"/>
    <x v="1"/>
    <d v="2024-12-02T00:00:00"/>
    <d v="2025-01-09T00:00:00"/>
    <x v="2"/>
    <x v="0"/>
    <n v="44035.32"/>
    <x v="0"/>
    <x v="0"/>
    <x v="0"/>
  </r>
  <r>
    <n v="23350"/>
    <x v="16"/>
    <x v="3"/>
    <n v="200"/>
    <n v="20"/>
    <n v="209.33"/>
    <x v="0"/>
    <d v="2024-03-01T00:00:00"/>
    <d v="2024-03-30T00:00:00"/>
    <x v="1"/>
    <x v="0"/>
    <n v="41866"/>
    <x v="0"/>
    <x v="0"/>
    <x v="0"/>
  </r>
  <r>
    <n v="33051"/>
    <x v="14"/>
    <x v="4"/>
    <n v="107"/>
    <n v="50"/>
    <n v="484.01"/>
    <x v="0"/>
    <d v="2024-04-11T00:00:00"/>
    <d v="2024-05-19T00:00:00"/>
    <x v="0"/>
    <x v="0"/>
    <n v="51789.07"/>
    <x v="0"/>
    <x v="1"/>
    <x v="0"/>
  </r>
  <r>
    <n v="11341"/>
    <x v="12"/>
    <x v="0"/>
    <n v="304"/>
    <n v="80"/>
    <n v="396.06"/>
    <x v="0"/>
    <d v="2024-02-26T00:00:00"/>
    <d v="2024-03-13T00:00:00"/>
    <x v="1"/>
    <x v="0"/>
    <n v="120402.24000000001"/>
    <x v="0"/>
    <x v="0"/>
    <x v="0"/>
  </r>
  <r>
    <n v="25896"/>
    <x v="16"/>
    <x v="3"/>
    <n v="214"/>
    <n v="80"/>
    <n v="347.68"/>
    <x v="1"/>
    <d v="2024-07-16T00:00:00"/>
    <d v="2024-07-28T00:00:00"/>
    <x v="0"/>
    <x v="0"/>
    <n v="74403.520000000004"/>
    <x v="0"/>
    <x v="1"/>
    <x v="0"/>
  </r>
  <r>
    <n v="47641"/>
    <x v="12"/>
    <x v="0"/>
    <n v="58"/>
    <n v="30"/>
    <n v="30.54"/>
    <x v="3"/>
    <d v="2024-01-26T00:00:00"/>
    <d v="2024-03-02T00:00:00"/>
    <x v="1"/>
    <x v="0"/>
    <n v="1771.32"/>
    <x v="0"/>
    <x v="1"/>
    <x v="0"/>
  </r>
  <r>
    <n v="79768"/>
    <x v="14"/>
    <x v="4"/>
    <n v="85"/>
    <n v="30"/>
    <n v="159.86000000000001"/>
    <x v="0"/>
    <d v="2024-11-30T00:00:00"/>
    <d v="2024-12-11T00:00:00"/>
    <x v="2"/>
    <x v="0"/>
    <n v="13588.1"/>
    <x v="0"/>
    <x v="1"/>
    <x v="0"/>
  </r>
  <r>
    <n v="99613"/>
    <x v="3"/>
    <x v="2"/>
    <n v="476"/>
    <n v="30"/>
    <n v="373.81"/>
    <x v="0"/>
    <d v="2024-04-12T00:00:00"/>
    <d v="2024-05-03T00:00:00"/>
    <x v="0"/>
    <x v="0"/>
    <n v="177933.56"/>
    <x v="0"/>
    <x v="0"/>
    <x v="0"/>
  </r>
  <r>
    <n v="88187"/>
    <x v="15"/>
    <x v="4"/>
    <n v="292"/>
    <n v="40"/>
    <n v="173.24"/>
    <x v="3"/>
    <d v="2024-07-01T00:00:00"/>
    <d v="2024-07-28T00:00:00"/>
    <x v="0"/>
    <x v="0"/>
    <n v="50586.080000000002"/>
    <x v="0"/>
    <x v="0"/>
    <x v="0"/>
  </r>
  <r>
    <n v="84038"/>
    <x v="8"/>
    <x v="1"/>
    <n v="209"/>
    <n v="20"/>
    <n v="443.56"/>
    <x v="0"/>
    <d v="2024-04-17T00:00:00"/>
    <d v="2024-04-23T00:00:00"/>
    <x v="2"/>
    <x v="0"/>
    <n v="92704.04"/>
    <x v="0"/>
    <x v="0"/>
    <x v="0"/>
  </r>
  <r>
    <n v="23919"/>
    <x v="11"/>
    <x v="4"/>
    <n v="250"/>
    <n v="150"/>
    <n v="96.81"/>
    <x v="0"/>
    <d v="2024-09-30T00:00:00"/>
    <d v="2024-11-05T00:00:00"/>
    <x v="1"/>
    <x v="0"/>
    <n v="24202.5"/>
    <x v="0"/>
    <x v="1"/>
    <x v="0"/>
  </r>
  <r>
    <n v="95431"/>
    <x v="0"/>
    <x v="0"/>
    <n v="445"/>
    <n v="20"/>
    <n v="203.96"/>
    <x v="2"/>
    <d v="2024-09-01T00:00:00"/>
    <d v="2024-09-21T00:00:00"/>
    <x v="1"/>
    <x v="0"/>
    <n v="90762.2"/>
    <x v="0"/>
    <x v="0"/>
    <x v="0"/>
  </r>
  <r>
    <n v="20816"/>
    <x v="2"/>
    <x v="1"/>
    <n v="413"/>
    <n v="20"/>
    <n v="171.5"/>
    <x v="3"/>
    <d v="2024-12-05T00:00:00"/>
    <d v="2024-12-14T00:00:00"/>
    <x v="1"/>
    <x v="0"/>
    <n v="70829.5"/>
    <x v="0"/>
    <x v="0"/>
    <x v="0"/>
  </r>
  <r>
    <n v="67775"/>
    <x v="13"/>
    <x v="3"/>
    <n v="375"/>
    <n v="100"/>
    <n v="427.15"/>
    <x v="3"/>
    <d v="2024-05-25T00:00:00"/>
    <d v="2024-06-23T00:00:00"/>
    <x v="0"/>
    <x v="0"/>
    <n v="160181.25"/>
    <x v="0"/>
    <x v="0"/>
    <x v="0"/>
  </r>
  <r>
    <n v="10806"/>
    <x v="9"/>
    <x v="1"/>
    <n v="304"/>
    <n v="20"/>
    <n v="341.43"/>
    <x v="0"/>
    <d v="2024-05-19T00:00:00"/>
    <d v="2024-05-29T00:00:00"/>
    <x v="2"/>
    <x v="0"/>
    <n v="103794.72"/>
    <x v="0"/>
    <x v="0"/>
    <x v="0"/>
  </r>
  <r>
    <n v="66979"/>
    <x v="13"/>
    <x v="3"/>
    <n v="152"/>
    <n v="150"/>
    <n v="495.63"/>
    <x v="4"/>
    <d v="2024-02-28T00:00:00"/>
    <d v="2024-03-11T00:00:00"/>
    <x v="1"/>
    <x v="0"/>
    <n v="75335.759999999995"/>
    <x v="0"/>
    <x v="1"/>
    <x v="0"/>
  </r>
  <r>
    <n v="92856"/>
    <x v="6"/>
    <x v="3"/>
    <n v="492"/>
    <n v="100"/>
    <n v="119.18"/>
    <x v="3"/>
    <d v="2024-08-13T00:00:00"/>
    <d v="2024-09-12T00:00:00"/>
    <x v="2"/>
    <x v="0"/>
    <n v="58636.560000000005"/>
    <x v="0"/>
    <x v="0"/>
    <x v="0"/>
  </r>
  <r>
    <n v="86898"/>
    <x v="5"/>
    <x v="2"/>
    <n v="4"/>
    <n v="80"/>
    <n v="316.74"/>
    <x v="2"/>
    <d v="2024-08-02T00:00:00"/>
    <d v="2024-08-15T00:00:00"/>
    <x v="2"/>
    <x v="1"/>
    <n v="1266.96"/>
    <x v="16"/>
    <x v="1"/>
    <x v="1"/>
  </r>
  <r>
    <n v="34578"/>
    <x v="8"/>
    <x v="1"/>
    <n v="378"/>
    <n v="30"/>
    <n v="260.05"/>
    <x v="0"/>
    <d v="2024-12-03T00:00:00"/>
    <d v="2024-12-24T00:00:00"/>
    <x v="2"/>
    <x v="0"/>
    <n v="98298.900000000009"/>
    <x v="0"/>
    <x v="0"/>
    <x v="0"/>
  </r>
  <r>
    <n v="93300"/>
    <x v="7"/>
    <x v="3"/>
    <n v="380"/>
    <n v="150"/>
    <n v="22.26"/>
    <x v="1"/>
    <d v="2024-03-08T00:00:00"/>
    <d v="2024-03-26T00:00:00"/>
    <x v="1"/>
    <x v="0"/>
    <n v="8458.8000000000011"/>
    <x v="0"/>
    <x v="1"/>
    <x v="0"/>
  </r>
  <r>
    <n v="98801"/>
    <x v="9"/>
    <x v="1"/>
    <n v="122"/>
    <n v="50"/>
    <n v="240.96"/>
    <x v="2"/>
    <d v="2024-07-13T00:00:00"/>
    <d v="2024-08-11T00:00:00"/>
    <x v="2"/>
    <x v="0"/>
    <n v="29397.120000000003"/>
    <x v="0"/>
    <x v="1"/>
    <x v="0"/>
  </r>
  <r>
    <n v="43742"/>
    <x v="9"/>
    <x v="1"/>
    <n v="39"/>
    <n v="20"/>
    <n v="277.67"/>
    <x v="0"/>
    <d v="2024-08-13T00:00:00"/>
    <d v="2024-09-10T00:00:00"/>
    <x v="0"/>
    <x v="0"/>
    <n v="10829.130000000001"/>
    <x v="0"/>
    <x v="1"/>
    <x v="0"/>
  </r>
  <r>
    <n v="96988"/>
    <x v="11"/>
    <x v="4"/>
    <n v="453"/>
    <n v="80"/>
    <n v="113.99"/>
    <x v="3"/>
    <d v="2024-10-10T00:00:00"/>
    <d v="2024-10-19T00:00:00"/>
    <x v="2"/>
    <x v="0"/>
    <n v="51637.47"/>
    <x v="0"/>
    <x v="0"/>
    <x v="0"/>
  </r>
  <r>
    <n v="81719"/>
    <x v="7"/>
    <x v="3"/>
    <n v="317"/>
    <n v="80"/>
    <n v="453.72"/>
    <x v="0"/>
    <d v="2024-11-18T00:00:00"/>
    <d v="2024-12-26T00:00:00"/>
    <x v="0"/>
    <x v="0"/>
    <n v="143829.24000000002"/>
    <x v="0"/>
    <x v="0"/>
    <x v="0"/>
  </r>
  <r>
    <n v="75082"/>
    <x v="16"/>
    <x v="3"/>
    <n v="261"/>
    <n v="40"/>
    <n v="434.74"/>
    <x v="3"/>
    <d v="2024-04-01T00:00:00"/>
    <d v="2024-05-08T00:00:00"/>
    <x v="0"/>
    <x v="0"/>
    <n v="113467.14"/>
    <x v="0"/>
    <x v="0"/>
    <x v="0"/>
  </r>
  <r>
    <n v="12469"/>
    <x v="10"/>
    <x v="2"/>
    <n v="344"/>
    <n v="80"/>
    <n v="341.67"/>
    <x v="2"/>
    <d v="2024-07-09T00:00:00"/>
    <d v="2024-08-09T00:00:00"/>
    <x v="1"/>
    <x v="0"/>
    <n v="117534.48000000001"/>
    <x v="0"/>
    <x v="0"/>
    <x v="0"/>
  </r>
  <r>
    <n v="88249"/>
    <x v="6"/>
    <x v="3"/>
    <n v="44"/>
    <n v="30"/>
    <n v="235.41"/>
    <x v="1"/>
    <d v="2024-01-31T00:00:00"/>
    <d v="2024-02-27T00:00:00"/>
    <x v="1"/>
    <x v="0"/>
    <n v="10358.039999999999"/>
    <x v="0"/>
    <x v="1"/>
    <x v="0"/>
  </r>
  <r>
    <n v="67932"/>
    <x v="13"/>
    <x v="3"/>
    <n v="38"/>
    <n v="150"/>
    <n v="5.55"/>
    <x v="4"/>
    <d v="2024-09-14T00:00:00"/>
    <d v="2024-10-02T00:00:00"/>
    <x v="1"/>
    <x v="1"/>
    <n v="210.9"/>
    <x v="17"/>
    <x v="1"/>
    <x v="1"/>
  </r>
  <r>
    <n v="82545"/>
    <x v="14"/>
    <x v="4"/>
    <n v="45"/>
    <n v="40"/>
    <n v="490.69"/>
    <x v="2"/>
    <d v="2024-01-17T00:00:00"/>
    <d v="2024-02-21T00:00:00"/>
    <x v="0"/>
    <x v="0"/>
    <n v="22081.05"/>
    <x v="0"/>
    <x v="1"/>
    <x v="0"/>
  </r>
  <r>
    <n v="23281"/>
    <x v="5"/>
    <x v="2"/>
    <n v="466"/>
    <n v="100"/>
    <n v="14.12"/>
    <x v="2"/>
    <d v="2024-08-20T00:00:00"/>
    <d v="2024-09-25T00:00:00"/>
    <x v="1"/>
    <x v="0"/>
    <n v="6579.92"/>
    <x v="0"/>
    <x v="0"/>
    <x v="0"/>
  </r>
  <r>
    <n v="60192"/>
    <x v="16"/>
    <x v="3"/>
    <n v="277"/>
    <n v="50"/>
    <n v="91.01"/>
    <x v="2"/>
    <d v="2024-08-29T00:00:00"/>
    <d v="2024-09-06T00:00:00"/>
    <x v="2"/>
    <x v="0"/>
    <n v="25209.77"/>
    <x v="0"/>
    <x v="0"/>
    <x v="0"/>
  </r>
  <r>
    <n v="77889"/>
    <x v="2"/>
    <x v="1"/>
    <n v="373"/>
    <n v="20"/>
    <n v="33.67"/>
    <x v="4"/>
    <d v="2024-04-29T00:00:00"/>
    <d v="2024-05-21T00:00:00"/>
    <x v="1"/>
    <x v="0"/>
    <n v="12558.91"/>
    <x v="0"/>
    <x v="0"/>
    <x v="0"/>
  </r>
  <r>
    <n v="41598"/>
    <x v="10"/>
    <x v="2"/>
    <n v="459"/>
    <n v="150"/>
    <n v="37.479999999999997"/>
    <x v="0"/>
    <d v="2024-02-02T00:00:00"/>
    <d v="2024-02-12T00:00:00"/>
    <x v="1"/>
    <x v="0"/>
    <n v="17203.32"/>
    <x v="0"/>
    <x v="0"/>
    <x v="0"/>
  </r>
  <r>
    <n v="24288"/>
    <x v="15"/>
    <x v="4"/>
    <n v="25"/>
    <n v="30"/>
    <n v="140.44999999999999"/>
    <x v="0"/>
    <d v="2024-10-11T00:00:00"/>
    <d v="2024-10-19T00:00:00"/>
    <x v="0"/>
    <x v="1"/>
    <n v="3511.2499999999995"/>
    <x v="18"/>
    <x v="1"/>
    <x v="1"/>
  </r>
  <r>
    <n v="70545"/>
    <x v="9"/>
    <x v="1"/>
    <n v="270"/>
    <n v="150"/>
    <n v="413.83"/>
    <x v="2"/>
    <d v="2024-03-15T00:00:00"/>
    <d v="2024-04-20T00:00:00"/>
    <x v="2"/>
    <x v="0"/>
    <n v="111734.09999999999"/>
    <x v="0"/>
    <x v="1"/>
    <x v="0"/>
  </r>
  <r>
    <n v="63268"/>
    <x v="3"/>
    <x v="2"/>
    <n v="194"/>
    <n v="20"/>
    <n v="481.8"/>
    <x v="4"/>
    <d v="2024-04-01T00:00:00"/>
    <d v="2024-05-04T00:00:00"/>
    <x v="1"/>
    <x v="0"/>
    <n v="93469.2"/>
    <x v="0"/>
    <x v="0"/>
    <x v="0"/>
  </r>
  <r>
    <n v="86961"/>
    <x v="4"/>
    <x v="0"/>
    <n v="146"/>
    <n v="20"/>
    <n v="223.94"/>
    <x v="4"/>
    <d v="2024-09-13T00:00:00"/>
    <d v="2024-10-02T00:00:00"/>
    <x v="1"/>
    <x v="0"/>
    <n v="32695.239999999998"/>
    <x v="0"/>
    <x v="0"/>
    <x v="0"/>
  </r>
  <r>
    <n v="31563"/>
    <x v="8"/>
    <x v="1"/>
    <n v="279"/>
    <n v="50"/>
    <n v="283.56"/>
    <x v="3"/>
    <d v="2024-07-26T00:00:00"/>
    <d v="2024-08-26T00:00:00"/>
    <x v="0"/>
    <x v="0"/>
    <n v="79113.240000000005"/>
    <x v="0"/>
    <x v="0"/>
    <x v="0"/>
  </r>
  <r>
    <n v="71788"/>
    <x v="16"/>
    <x v="3"/>
    <n v="7"/>
    <n v="150"/>
    <n v="229.58"/>
    <x v="2"/>
    <d v="2024-02-19T00:00:00"/>
    <d v="2024-03-01T00:00:00"/>
    <x v="0"/>
    <x v="1"/>
    <n v="1607.0600000000002"/>
    <x v="19"/>
    <x v="1"/>
    <x v="1"/>
  </r>
  <r>
    <n v="21536"/>
    <x v="4"/>
    <x v="0"/>
    <n v="386"/>
    <n v="50"/>
    <n v="399.29"/>
    <x v="2"/>
    <d v="2024-06-01T00:00:00"/>
    <d v="2024-07-05T00:00:00"/>
    <x v="0"/>
    <x v="0"/>
    <n v="154125.94"/>
    <x v="0"/>
    <x v="0"/>
    <x v="0"/>
  </r>
  <r>
    <n v="39759"/>
    <x v="9"/>
    <x v="1"/>
    <n v="213"/>
    <n v="100"/>
    <n v="166.33"/>
    <x v="4"/>
    <d v="2024-12-09T00:00:00"/>
    <d v="2024-12-21T00:00:00"/>
    <x v="0"/>
    <x v="0"/>
    <n v="35428.29"/>
    <x v="0"/>
    <x v="1"/>
    <x v="0"/>
  </r>
  <r>
    <n v="16154"/>
    <x v="13"/>
    <x v="3"/>
    <n v="477"/>
    <n v="30"/>
    <n v="242.57"/>
    <x v="4"/>
    <d v="2024-04-04T00:00:00"/>
    <d v="2024-05-10T00:00:00"/>
    <x v="0"/>
    <x v="0"/>
    <n v="115705.89"/>
    <x v="0"/>
    <x v="0"/>
    <x v="0"/>
  </r>
  <r>
    <n v="49499"/>
    <x v="2"/>
    <x v="1"/>
    <n v="424"/>
    <n v="40"/>
    <n v="242.85"/>
    <x v="3"/>
    <d v="2024-03-28T00:00:00"/>
    <d v="2024-04-18T00:00:00"/>
    <x v="2"/>
    <x v="0"/>
    <n v="102968.4"/>
    <x v="0"/>
    <x v="0"/>
    <x v="0"/>
  </r>
  <r>
    <n v="59153"/>
    <x v="1"/>
    <x v="0"/>
    <n v="160"/>
    <n v="30"/>
    <n v="389.02"/>
    <x v="3"/>
    <d v="2024-08-29T00:00:00"/>
    <d v="2024-10-05T00:00:00"/>
    <x v="0"/>
    <x v="0"/>
    <n v="62243.199999999997"/>
    <x v="0"/>
    <x v="0"/>
    <x v="0"/>
  </r>
  <r>
    <n v="62326"/>
    <x v="8"/>
    <x v="1"/>
    <n v="413"/>
    <n v="20"/>
    <n v="413.13"/>
    <x v="1"/>
    <d v="2024-06-02T00:00:00"/>
    <d v="2024-06-28T00:00:00"/>
    <x v="2"/>
    <x v="0"/>
    <n v="170622.69"/>
    <x v="0"/>
    <x v="0"/>
    <x v="0"/>
  </r>
  <r>
    <n v="67660"/>
    <x v="11"/>
    <x v="4"/>
    <n v="121"/>
    <n v="30"/>
    <n v="411.61"/>
    <x v="0"/>
    <d v="2024-04-15T00:00:00"/>
    <d v="2024-04-30T00:00:00"/>
    <x v="1"/>
    <x v="0"/>
    <n v="49804.810000000005"/>
    <x v="0"/>
    <x v="0"/>
    <x v="0"/>
  </r>
  <r>
    <n v="36289"/>
    <x v="2"/>
    <x v="1"/>
    <n v="72"/>
    <n v="150"/>
    <n v="308.41000000000003"/>
    <x v="2"/>
    <d v="2024-02-10T00:00:00"/>
    <d v="2024-02-26T00:00:00"/>
    <x v="2"/>
    <x v="1"/>
    <n v="22205.52"/>
    <x v="20"/>
    <x v="1"/>
    <x v="1"/>
  </r>
  <r>
    <n v="76435"/>
    <x v="4"/>
    <x v="0"/>
    <n v="110"/>
    <n v="40"/>
    <n v="244.78"/>
    <x v="1"/>
    <d v="2024-03-24T00:00:00"/>
    <d v="2024-04-13T00:00:00"/>
    <x v="2"/>
    <x v="0"/>
    <n v="26925.8"/>
    <x v="0"/>
    <x v="1"/>
    <x v="0"/>
  </r>
  <r>
    <n v="25313"/>
    <x v="15"/>
    <x v="4"/>
    <n v="2"/>
    <n v="150"/>
    <n v="265.57"/>
    <x v="2"/>
    <d v="2024-12-27T00:00:00"/>
    <d v="2025-01-14T00:00:00"/>
    <x v="1"/>
    <x v="1"/>
    <n v="531.14"/>
    <x v="21"/>
    <x v="1"/>
    <x v="1"/>
  </r>
  <r>
    <n v="38380"/>
    <x v="0"/>
    <x v="0"/>
    <n v="24"/>
    <n v="80"/>
    <n v="309.79000000000002"/>
    <x v="4"/>
    <d v="2024-05-26T00:00:00"/>
    <d v="2024-06-07T00:00:00"/>
    <x v="1"/>
    <x v="1"/>
    <n v="7434.9600000000009"/>
    <x v="22"/>
    <x v="1"/>
    <x v="1"/>
  </r>
  <r>
    <n v="12920"/>
    <x v="5"/>
    <x v="2"/>
    <n v="453"/>
    <n v="30"/>
    <n v="328.37"/>
    <x v="0"/>
    <d v="2024-02-06T00:00:00"/>
    <d v="2024-03-13T00:00:00"/>
    <x v="1"/>
    <x v="0"/>
    <n v="148751.61000000002"/>
    <x v="0"/>
    <x v="0"/>
    <x v="0"/>
  </r>
  <r>
    <n v="40027"/>
    <x v="4"/>
    <x v="0"/>
    <n v="242"/>
    <n v="40"/>
    <n v="114.18"/>
    <x v="3"/>
    <d v="2024-07-25T00:00:00"/>
    <d v="2024-08-31T00:00:00"/>
    <x v="2"/>
    <x v="0"/>
    <n v="27631.56"/>
    <x v="0"/>
    <x v="0"/>
    <x v="0"/>
  </r>
  <r>
    <n v="35963"/>
    <x v="6"/>
    <x v="3"/>
    <n v="441"/>
    <n v="80"/>
    <n v="423.89"/>
    <x v="2"/>
    <d v="2024-10-19T00:00:00"/>
    <d v="2024-10-27T00:00:00"/>
    <x v="2"/>
    <x v="0"/>
    <n v="186935.49"/>
    <x v="0"/>
    <x v="0"/>
    <x v="0"/>
  </r>
  <r>
    <n v="32015"/>
    <x v="9"/>
    <x v="1"/>
    <n v="95"/>
    <n v="20"/>
    <n v="222.11"/>
    <x v="2"/>
    <d v="2024-04-26T00:00:00"/>
    <d v="2024-06-03T00:00:00"/>
    <x v="2"/>
    <x v="0"/>
    <n v="21100.45"/>
    <x v="0"/>
    <x v="0"/>
    <x v="0"/>
  </r>
  <r>
    <n v="58364"/>
    <x v="11"/>
    <x v="4"/>
    <n v="294"/>
    <n v="30"/>
    <n v="496.11"/>
    <x v="1"/>
    <d v="2024-07-04T00:00:00"/>
    <d v="2024-07-20T00:00:00"/>
    <x v="0"/>
    <x v="0"/>
    <n v="145856.34"/>
    <x v="0"/>
    <x v="0"/>
    <x v="0"/>
  </r>
  <r>
    <n v="98397"/>
    <x v="9"/>
    <x v="1"/>
    <n v="281"/>
    <n v="50"/>
    <n v="454.97"/>
    <x v="1"/>
    <d v="2024-03-27T00:00:00"/>
    <d v="2024-04-14T00:00:00"/>
    <x v="1"/>
    <x v="0"/>
    <n v="127846.57"/>
    <x v="0"/>
    <x v="0"/>
    <x v="0"/>
  </r>
  <r>
    <n v="80135"/>
    <x v="16"/>
    <x v="3"/>
    <n v="421"/>
    <n v="80"/>
    <n v="221.4"/>
    <x v="3"/>
    <d v="2024-11-11T00:00:00"/>
    <d v="2024-11-29T00:00:00"/>
    <x v="2"/>
    <x v="0"/>
    <n v="93209.400000000009"/>
    <x v="0"/>
    <x v="0"/>
    <x v="0"/>
  </r>
  <r>
    <n v="23760"/>
    <x v="9"/>
    <x v="1"/>
    <n v="344"/>
    <n v="20"/>
    <n v="202.53"/>
    <x v="2"/>
    <d v="2024-06-11T00:00:00"/>
    <d v="2024-06-20T00:00:00"/>
    <x v="0"/>
    <x v="0"/>
    <n v="69670.320000000007"/>
    <x v="0"/>
    <x v="0"/>
    <x v="0"/>
  </r>
  <r>
    <n v="86619"/>
    <x v="5"/>
    <x v="2"/>
    <n v="194"/>
    <n v="100"/>
    <n v="89.03"/>
    <x v="3"/>
    <d v="2024-04-02T00:00:00"/>
    <d v="2024-04-16T00:00:00"/>
    <x v="0"/>
    <x v="0"/>
    <n v="17271.82"/>
    <x v="0"/>
    <x v="1"/>
    <x v="0"/>
  </r>
  <r>
    <n v="95112"/>
    <x v="7"/>
    <x v="3"/>
    <n v="263"/>
    <n v="40"/>
    <n v="474.55"/>
    <x v="0"/>
    <d v="2024-11-08T00:00:00"/>
    <d v="2024-12-02T00:00:00"/>
    <x v="0"/>
    <x v="0"/>
    <n v="124806.65000000001"/>
    <x v="0"/>
    <x v="0"/>
    <x v="0"/>
  </r>
  <r>
    <n v="93310"/>
    <x v="7"/>
    <x v="3"/>
    <n v="164"/>
    <n v="20"/>
    <n v="422.86"/>
    <x v="2"/>
    <d v="2024-02-13T00:00:00"/>
    <d v="2024-03-16T00:00:00"/>
    <x v="1"/>
    <x v="0"/>
    <n v="69349.040000000008"/>
    <x v="0"/>
    <x v="0"/>
    <x v="0"/>
  </r>
  <r>
    <n v="10281"/>
    <x v="7"/>
    <x v="3"/>
    <n v="369"/>
    <n v="100"/>
    <n v="33.26"/>
    <x v="4"/>
    <d v="2024-10-19T00:00:00"/>
    <d v="2024-11-12T00:00:00"/>
    <x v="0"/>
    <x v="0"/>
    <n v="12272.939999999999"/>
    <x v="0"/>
    <x v="0"/>
    <x v="0"/>
  </r>
  <r>
    <n v="35611"/>
    <x v="5"/>
    <x v="2"/>
    <n v="484"/>
    <n v="80"/>
    <n v="48.84"/>
    <x v="1"/>
    <d v="2024-06-09T00:00:00"/>
    <d v="2024-06-27T00:00:00"/>
    <x v="0"/>
    <x v="0"/>
    <n v="23638.560000000001"/>
    <x v="0"/>
    <x v="0"/>
    <x v="0"/>
  </r>
  <r>
    <n v="25398"/>
    <x v="15"/>
    <x v="4"/>
    <n v="298"/>
    <n v="100"/>
    <n v="476.15"/>
    <x v="0"/>
    <d v="2024-11-01T00:00:00"/>
    <d v="2024-12-04T00:00:00"/>
    <x v="2"/>
    <x v="0"/>
    <n v="141892.69999999998"/>
    <x v="0"/>
    <x v="1"/>
    <x v="0"/>
  </r>
  <r>
    <n v="11969"/>
    <x v="4"/>
    <x v="0"/>
    <n v="339"/>
    <n v="150"/>
    <n v="19.84"/>
    <x v="1"/>
    <d v="2024-10-27T00:00:00"/>
    <d v="2024-11-16T00:00:00"/>
    <x v="1"/>
    <x v="0"/>
    <n v="6725.76"/>
    <x v="0"/>
    <x v="1"/>
    <x v="0"/>
  </r>
  <r>
    <n v="58320"/>
    <x v="14"/>
    <x v="4"/>
    <n v="128"/>
    <n v="150"/>
    <n v="337.94"/>
    <x v="1"/>
    <d v="2024-12-17T00:00:00"/>
    <d v="2024-12-26T00:00:00"/>
    <x v="1"/>
    <x v="1"/>
    <n v="43256.32"/>
    <x v="23"/>
    <x v="1"/>
    <x v="1"/>
  </r>
  <r>
    <n v="60138"/>
    <x v="11"/>
    <x v="4"/>
    <n v="113"/>
    <n v="30"/>
    <n v="310.83"/>
    <x v="3"/>
    <d v="2024-05-15T00:00:00"/>
    <d v="2024-05-31T00:00:00"/>
    <x v="2"/>
    <x v="0"/>
    <n v="35123.79"/>
    <x v="0"/>
    <x v="0"/>
    <x v="0"/>
  </r>
  <r>
    <n v="36984"/>
    <x v="0"/>
    <x v="0"/>
    <n v="0"/>
    <n v="40"/>
    <n v="470.73"/>
    <x v="1"/>
    <d v="2024-05-21T00:00:00"/>
    <d v="2024-05-30T00:00:00"/>
    <x v="2"/>
    <x v="1"/>
    <n v="0"/>
    <x v="9"/>
    <x v="1"/>
    <x v="1"/>
  </r>
  <r>
    <n v="82460"/>
    <x v="4"/>
    <x v="0"/>
    <n v="497"/>
    <n v="100"/>
    <n v="162.47"/>
    <x v="3"/>
    <d v="2024-06-09T00:00:00"/>
    <d v="2024-07-08T00:00:00"/>
    <x v="0"/>
    <x v="0"/>
    <n v="80747.59"/>
    <x v="0"/>
    <x v="0"/>
    <x v="0"/>
  </r>
  <r>
    <n v="14114"/>
    <x v="6"/>
    <x v="3"/>
    <n v="488"/>
    <n v="40"/>
    <n v="439.87"/>
    <x v="1"/>
    <d v="2024-04-11T00:00:00"/>
    <d v="2024-04-19T00:00:00"/>
    <x v="2"/>
    <x v="0"/>
    <n v="214656.56"/>
    <x v="0"/>
    <x v="0"/>
    <x v="0"/>
  </r>
  <r>
    <n v="61924"/>
    <x v="16"/>
    <x v="3"/>
    <n v="278"/>
    <n v="40"/>
    <n v="435.11"/>
    <x v="3"/>
    <d v="2024-05-08T00:00:00"/>
    <d v="2024-06-05T00:00:00"/>
    <x v="2"/>
    <x v="0"/>
    <n v="120960.58"/>
    <x v="0"/>
    <x v="0"/>
    <x v="0"/>
  </r>
  <r>
    <n v="32443"/>
    <x v="6"/>
    <x v="3"/>
    <n v="315"/>
    <n v="80"/>
    <n v="227.1"/>
    <x v="1"/>
    <d v="2024-10-31T00:00:00"/>
    <d v="2024-12-06T00:00:00"/>
    <x v="1"/>
    <x v="0"/>
    <n v="71536.5"/>
    <x v="0"/>
    <x v="0"/>
    <x v="0"/>
  </r>
  <r>
    <n v="32612"/>
    <x v="5"/>
    <x v="2"/>
    <n v="461"/>
    <n v="30"/>
    <n v="380.88"/>
    <x v="1"/>
    <d v="2024-09-21T00:00:00"/>
    <d v="2024-09-28T00:00:00"/>
    <x v="2"/>
    <x v="0"/>
    <n v="175585.68"/>
    <x v="0"/>
    <x v="0"/>
    <x v="0"/>
  </r>
  <r>
    <n v="63551"/>
    <x v="0"/>
    <x v="0"/>
    <n v="220"/>
    <n v="30"/>
    <n v="58.91"/>
    <x v="4"/>
    <d v="2024-05-12T00:00:00"/>
    <d v="2024-06-19T00:00:00"/>
    <x v="1"/>
    <x v="0"/>
    <n v="12960.199999999999"/>
    <x v="0"/>
    <x v="0"/>
    <x v="0"/>
  </r>
  <r>
    <n v="43174"/>
    <x v="1"/>
    <x v="0"/>
    <n v="270"/>
    <n v="40"/>
    <n v="383.62"/>
    <x v="0"/>
    <d v="2024-11-21T00:00:00"/>
    <d v="2024-12-16T00:00:00"/>
    <x v="1"/>
    <x v="0"/>
    <n v="103577.4"/>
    <x v="0"/>
    <x v="0"/>
    <x v="0"/>
  </r>
  <r>
    <n v="55379"/>
    <x v="7"/>
    <x v="3"/>
    <n v="398"/>
    <n v="20"/>
    <n v="329.07"/>
    <x v="4"/>
    <d v="2024-02-20T00:00:00"/>
    <d v="2024-03-10T00:00:00"/>
    <x v="0"/>
    <x v="0"/>
    <n v="130969.86"/>
    <x v="0"/>
    <x v="0"/>
    <x v="0"/>
  </r>
  <r>
    <n v="52652"/>
    <x v="5"/>
    <x v="2"/>
    <n v="333"/>
    <n v="80"/>
    <n v="310.58999999999997"/>
    <x v="2"/>
    <d v="2024-02-21T00:00:00"/>
    <d v="2024-03-23T00:00:00"/>
    <x v="1"/>
    <x v="0"/>
    <n v="103426.46999999999"/>
    <x v="0"/>
    <x v="0"/>
    <x v="0"/>
  </r>
  <r>
    <n v="96365"/>
    <x v="11"/>
    <x v="4"/>
    <n v="145"/>
    <n v="30"/>
    <n v="139.94999999999999"/>
    <x v="0"/>
    <d v="2024-05-11T00:00:00"/>
    <d v="2024-06-10T00:00:00"/>
    <x v="1"/>
    <x v="0"/>
    <n v="20292.75"/>
    <x v="0"/>
    <x v="0"/>
    <x v="0"/>
  </r>
  <r>
    <n v="22149"/>
    <x v="4"/>
    <x v="0"/>
    <n v="38"/>
    <n v="80"/>
    <n v="96.37"/>
    <x v="3"/>
    <d v="2024-11-07T00:00:00"/>
    <d v="2024-12-01T00:00:00"/>
    <x v="0"/>
    <x v="1"/>
    <n v="3662.0600000000004"/>
    <x v="24"/>
    <x v="1"/>
    <x v="1"/>
  </r>
  <r>
    <n v="98789"/>
    <x v="15"/>
    <x v="4"/>
    <n v="378"/>
    <n v="80"/>
    <n v="302.8"/>
    <x v="2"/>
    <d v="2024-04-27T00:00:00"/>
    <d v="2024-05-22T00:00:00"/>
    <x v="0"/>
    <x v="0"/>
    <n v="114458.40000000001"/>
    <x v="0"/>
    <x v="0"/>
    <x v="0"/>
  </r>
  <r>
    <n v="81831"/>
    <x v="14"/>
    <x v="4"/>
    <n v="270"/>
    <n v="30"/>
    <n v="91.51"/>
    <x v="3"/>
    <d v="2024-04-30T00:00:00"/>
    <d v="2024-05-12T00:00:00"/>
    <x v="2"/>
    <x v="0"/>
    <n v="24707.7"/>
    <x v="0"/>
    <x v="0"/>
    <x v="0"/>
  </r>
  <r>
    <n v="98920"/>
    <x v="10"/>
    <x v="2"/>
    <n v="67"/>
    <n v="30"/>
    <n v="367.32"/>
    <x v="1"/>
    <d v="2024-04-09T00:00:00"/>
    <d v="2024-04-23T00:00:00"/>
    <x v="1"/>
    <x v="0"/>
    <n v="24610.44"/>
    <x v="0"/>
    <x v="1"/>
    <x v="0"/>
  </r>
  <r>
    <n v="27633"/>
    <x v="4"/>
    <x v="0"/>
    <n v="480"/>
    <n v="150"/>
    <n v="295.37"/>
    <x v="3"/>
    <d v="2024-06-23T00:00:00"/>
    <d v="2024-08-01T00:00:00"/>
    <x v="1"/>
    <x v="0"/>
    <n v="141777.60000000001"/>
    <x v="0"/>
    <x v="0"/>
    <x v="0"/>
  </r>
  <r>
    <n v="67993"/>
    <x v="16"/>
    <x v="3"/>
    <n v="149"/>
    <n v="80"/>
    <n v="322.77999999999997"/>
    <x v="3"/>
    <d v="2024-06-08T00:00:00"/>
    <d v="2024-06-23T00:00:00"/>
    <x v="2"/>
    <x v="0"/>
    <n v="48094.219999999994"/>
    <x v="0"/>
    <x v="1"/>
    <x v="0"/>
  </r>
  <r>
    <n v="14358"/>
    <x v="16"/>
    <x v="3"/>
    <n v="440"/>
    <n v="100"/>
    <n v="75.180000000000007"/>
    <x v="4"/>
    <d v="2024-11-15T00:00:00"/>
    <d v="2024-12-24T00:00:00"/>
    <x v="2"/>
    <x v="0"/>
    <n v="33079.200000000004"/>
    <x v="0"/>
    <x v="0"/>
    <x v="0"/>
  </r>
  <r>
    <n v="72438"/>
    <x v="5"/>
    <x v="2"/>
    <n v="373"/>
    <n v="80"/>
    <n v="360.21"/>
    <x v="2"/>
    <d v="2024-08-28T00:00:00"/>
    <d v="2024-09-12T00:00:00"/>
    <x v="2"/>
    <x v="0"/>
    <n v="134358.32999999999"/>
    <x v="0"/>
    <x v="0"/>
    <x v="0"/>
  </r>
  <r>
    <n v="83379"/>
    <x v="5"/>
    <x v="2"/>
    <n v="101"/>
    <n v="30"/>
    <n v="453.23"/>
    <x v="0"/>
    <d v="2024-04-18T00:00:00"/>
    <d v="2024-05-25T00:00:00"/>
    <x v="0"/>
    <x v="0"/>
    <n v="45776.23"/>
    <x v="0"/>
    <x v="0"/>
    <x v="0"/>
  </r>
  <r>
    <n v="80587"/>
    <x v="9"/>
    <x v="1"/>
    <n v="69"/>
    <n v="20"/>
    <n v="310.49"/>
    <x v="4"/>
    <d v="2024-09-25T00:00:00"/>
    <d v="2024-10-01T00:00:00"/>
    <x v="1"/>
    <x v="0"/>
    <n v="21423.81"/>
    <x v="0"/>
    <x v="0"/>
    <x v="0"/>
  </r>
  <r>
    <n v="84069"/>
    <x v="7"/>
    <x v="3"/>
    <n v="229"/>
    <n v="30"/>
    <n v="341.67"/>
    <x v="1"/>
    <d v="2024-10-26T00:00:00"/>
    <d v="2024-11-02T00:00:00"/>
    <x v="1"/>
    <x v="0"/>
    <n v="78242.430000000008"/>
    <x v="0"/>
    <x v="0"/>
    <x v="0"/>
  </r>
  <r>
    <n v="10661"/>
    <x v="4"/>
    <x v="0"/>
    <n v="101"/>
    <n v="20"/>
    <n v="497.76"/>
    <x v="2"/>
    <d v="2024-10-12T00:00:00"/>
    <d v="2024-10-24T00:00:00"/>
    <x v="2"/>
    <x v="0"/>
    <n v="50273.760000000002"/>
    <x v="0"/>
    <x v="0"/>
    <x v="0"/>
  </r>
  <r>
    <n v="98733"/>
    <x v="0"/>
    <x v="0"/>
    <n v="332"/>
    <n v="80"/>
    <n v="346.55"/>
    <x v="3"/>
    <d v="2024-11-06T00:00:00"/>
    <d v="2024-11-26T00:00:00"/>
    <x v="1"/>
    <x v="0"/>
    <n v="115054.6"/>
    <x v="0"/>
    <x v="0"/>
    <x v="0"/>
  </r>
  <r>
    <n v="91437"/>
    <x v="0"/>
    <x v="0"/>
    <n v="399"/>
    <n v="50"/>
    <n v="490.71"/>
    <x v="4"/>
    <d v="2024-01-03T00:00:00"/>
    <d v="2024-01-23T00:00:00"/>
    <x v="1"/>
    <x v="0"/>
    <n v="195793.28999999998"/>
    <x v="0"/>
    <x v="0"/>
    <x v="0"/>
  </r>
  <r>
    <n v="92205"/>
    <x v="12"/>
    <x v="0"/>
    <n v="103"/>
    <n v="100"/>
    <n v="496.28"/>
    <x v="4"/>
    <d v="2024-12-25T00:00:00"/>
    <d v="2024-12-30T00:00:00"/>
    <x v="2"/>
    <x v="0"/>
    <n v="51116.84"/>
    <x v="0"/>
    <x v="1"/>
    <x v="0"/>
  </r>
  <r>
    <n v="26163"/>
    <x v="15"/>
    <x v="4"/>
    <n v="287"/>
    <n v="20"/>
    <n v="306.2"/>
    <x v="3"/>
    <d v="2024-02-07T00:00:00"/>
    <d v="2024-03-16T00:00:00"/>
    <x v="1"/>
    <x v="0"/>
    <n v="87879.4"/>
    <x v="0"/>
    <x v="0"/>
    <x v="0"/>
  </r>
  <r>
    <n v="94416"/>
    <x v="14"/>
    <x v="4"/>
    <n v="65"/>
    <n v="20"/>
    <n v="48.38"/>
    <x v="0"/>
    <d v="2024-09-05T00:00:00"/>
    <d v="2024-09-18T00:00:00"/>
    <x v="1"/>
    <x v="0"/>
    <n v="3144.7000000000003"/>
    <x v="0"/>
    <x v="0"/>
    <x v="0"/>
  </r>
  <r>
    <n v="93362"/>
    <x v="4"/>
    <x v="0"/>
    <n v="406"/>
    <n v="30"/>
    <n v="302.29000000000002"/>
    <x v="0"/>
    <d v="2024-11-06T00:00:00"/>
    <d v="2024-11-16T00:00:00"/>
    <x v="1"/>
    <x v="0"/>
    <n v="122729.74"/>
    <x v="0"/>
    <x v="0"/>
    <x v="0"/>
  </r>
  <r>
    <n v="97468"/>
    <x v="0"/>
    <x v="0"/>
    <n v="243"/>
    <n v="30"/>
    <n v="253.07"/>
    <x v="0"/>
    <d v="2024-02-18T00:00:00"/>
    <d v="2024-03-11T00:00:00"/>
    <x v="2"/>
    <x v="0"/>
    <n v="61496.009999999995"/>
    <x v="0"/>
    <x v="0"/>
    <x v="0"/>
  </r>
  <r>
    <n v="83800"/>
    <x v="11"/>
    <x v="4"/>
    <n v="461"/>
    <n v="100"/>
    <n v="74.930000000000007"/>
    <x v="4"/>
    <d v="2024-01-07T00:00:00"/>
    <d v="2024-01-25T00:00:00"/>
    <x v="1"/>
    <x v="0"/>
    <n v="34542.730000000003"/>
    <x v="0"/>
    <x v="0"/>
    <x v="0"/>
  </r>
  <r>
    <n v="58895"/>
    <x v="15"/>
    <x v="4"/>
    <n v="129"/>
    <n v="40"/>
    <n v="176.32"/>
    <x v="1"/>
    <d v="2024-10-02T00:00:00"/>
    <d v="2024-10-24T00:00:00"/>
    <x v="0"/>
    <x v="0"/>
    <n v="22745.279999999999"/>
    <x v="0"/>
    <x v="0"/>
    <x v="0"/>
  </r>
  <r>
    <n v="41552"/>
    <x v="14"/>
    <x v="4"/>
    <n v="252"/>
    <n v="100"/>
    <n v="160.30000000000001"/>
    <x v="4"/>
    <d v="2024-04-04T00:00:00"/>
    <d v="2024-04-22T00:00:00"/>
    <x v="1"/>
    <x v="0"/>
    <n v="40395.600000000006"/>
    <x v="0"/>
    <x v="1"/>
    <x v="0"/>
  </r>
  <r>
    <n v="56659"/>
    <x v="10"/>
    <x v="2"/>
    <n v="389"/>
    <n v="20"/>
    <n v="334.82"/>
    <x v="4"/>
    <d v="2024-01-25T00:00:00"/>
    <d v="2024-02-13T00:00:00"/>
    <x v="0"/>
    <x v="0"/>
    <n v="130244.98"/>
    <x v="0"/>
    <x v="0"/>
    <x v="0"/>
  </r>
  <r>
    <n v="87866"/>
    <x v="4"/>
    <x v="0"/>
    <n v="476"/>
    <n v="50"/>
    <n v="426.47"/>
    <x v="1"/>
    <d v="2024-06-08T00:00:00"/>
    <d v="2024-07-11T00:00:00"/>
    <x v="1"/>
    <x v="0"/>
    <n v="202999.72"/>
    <x v="0"/>
    <x v="0"/>
    <x v="0"/>
  </r>
  <r>
    <n v="65677"/>
    <x v="3"/>
    <x v="2"/>
    <n v="498"/>
    <n v="80"/>
    <n v="391.48"/>
    <x v="0"/>
    <d v="2024-09-22T00:00:00"/>
    <d v="2024-10-21T00:00:00"/>
    <x v="2"/>
    <x v="0"/>
    <n v="194957.04"/>
    <x v="0"/>
    <x v="0"/>
    <x v="0"/>
  </r>
  <r>
    <n v="39794"/>
    <x v="6"/>
    <x v="3"/>
    <n v="55"/>
    <n v="150"/>
    <n v="491.92"/>
    <x v="4"/>
    <d v="2024-03-23T00:00:00"/>
    <d v="2024-04-05T00:00:00"/>
    <x v="0"/>
    <x v="1"/>
    <n v="27055.600000000002"/>
    <x v="25"/>
    <x v="1"/>
    <x v="1"/>
  </r>
  <r>
    <n v="56851"/>
    <x v="4"/>
    <x v="0"/>
    <n v="493"/>
    <n v="40"/>
    <n v="92.99"/>
    <x v="3"/>
    <d v="2024-09-08T00:00:00"/>
    <d v="2024-10-15T00:00:00"/>
    <x v="0"/>
    <x v="0"/>
    <n v="45844.07"/>
    <x v="0"/>
    <x v="0"/>
    <x v="0"/>
  </r>
  <r>
    <n v="36715"/>
    <x v="1"/>
    <x v="0"/>
    <n v="220"/>
    <n v="50"/>
    <n v="329.58"/>
    <x v="4"/>
    <d v="2024-08-18T00:00:00"/>
    <d v="2024-09-26T00:00:00"/>
    <x v="0"/>
    <x v="0"/>
    <n v="72507.599999999991"/>
    <x v="0"/>
    <x v="0"/>
    <x v="0"/>
  </r>
  <r>
    <n v="33177"/>
    <x v="13"/>
    <x v="3"/>
    <n v="182"/>
    <n v="30"/>
    <n v="71.23"/>
    <x v="1"/>
    <d v="2024-09-02T00:00:00"/>
    <d v="2024-09-21T00:00:00"/>
    <x v="1"/>
    <x v="0"/>
    <n v="12963.86"/>
    <x v="0"/>
    <x v="0"/>
    <x v="0"/>
  </r>
  <r>
    <n v="57076"/>
    <x v="16"/>
    <x v="3"/>
    <n v="12"/>
    <n v="80"/>
    <n v="417.98"/>
    <x v="4"/>
    <d v="2024-07-31T00:00:00"/>
    <d v="2024-08-22T00:00:00"/>
    <x v="0"/>
    <x v="1"/>
    <n v="5015.76"/>
    <x v="26"/>
    <x v="1"/>
    <x v="1"/>
  </r>
  <r>
    <n v="20749"/>
    <x v="10"/>
    <x v="2"/>
    <n v="187"/>
    <n v="40"/>
    <n v="229.92"/>
    <x v="2"/>
    <d v="2024-11-03T00:00:00"/>
    <d v="2024-12-03T00:00:00"/>
    <x v="2"/>
    <x v="0"/>
    <n v="42995.040000000001"/>
    <x v="0"/>
    <x v="0"/>
    <x v="0"/>
  </r>
  <r>
    <n v="36035"/>
    <x v="1"/>
    <x v="0"/>
    <n v="251"/>
    <n v="30"/>
    <n v="240.63"/>
    <x v="4"/>
    <d v="2024-08-20T00:00:00"/>
    <d v="2024-09-22T00:00:00"/>
    <x v="2"/>
    <x v="0"/>
    <n v="60398.13"/>
    <x v="0"/>
    <x v="0"/>
    <x v="0"/>
  </r>
  <r>
    <n v="13191"/>
    <x v="14"/>
    <x v="4"/>
    <n v="41"/>
    <n v="80"/>
    <n v="70.91"/>
    <x v="3"/>
    <d v="2024-07-10T00:00:00"/>
    <d v="2024-07-31T00:00:00"/>
    <x v="0"/>
    <x v="1"/>
    <n v="2907.31"/>
    <x v="27"/>
    <x v="1"/>
    <x v="1"/>
  </r>
  <r>
    <n v="38602"/>
    <x v="2"/>
    <x v="1"/>
    <n v="59"/>
    <n v="80"/>
    <n v="143.29"/>
    <x v="3"/>
    <d v="2024-08-29T00:00:00"/>
    <d v="2024-09-23T00:00:00"/>
    <x v="1"/>
    <x v="1"/>
    <n v="8454.1099999999988"/>
    <x v="28"/>
    <x v="1"/>
    <x v="1"/>
  </r>
  <r>
    <n v="80476"/>
    <x v="9"/>
    <x v="1"/>
    <n v="343"/>
    <n v="80"/>
    <n v="79.33"/>
    <x v="3"/>
    <d v="2024-03-27T00:00:00"/>
    <d v="2024-04-08T00:00:00"/>
    <x v="1"/>
    <x v="0"/>
    <n v="27210.19"/>
    <x v="0"/>
    <x v="0"/>
    <x v="0"/>
  </r>
  <r>
    <n v="93588"/>
    <x v="10"/>
    <x v="2"/>
    <n v="108"/>
    <n v="40"/>
    <n v="40.270000000000003"/>
    <x v="2"/>
    <d v="2024-05-31T00:00:00"/>
    <d v="2024-06-21T00:00:00"/>
    <x v="0"/>
    <x v="0"/>
    <n v="4349.1600000000008"/>
    <x v="0"/>
    <x v="1"/>
    <x v="0"/>
  </r>
  <r>
    <n v="74027"/>
    <x v="15"/>
    <x v="4"/>
    <n v="365"/>
    <n v="50"/>
    <n v="178.1"/>
    <x v="0"/>
    <d v="2024-07-29T00:00:00"/>
    <d v="2024-08-09T00:00:00"/>
    <x v="1"/>
    <x v="0"/>
    <n v="65006.5"/>
    <x v="0"/>
    <x v="0"/>
    <x v="0"/>
  </r>
  <r>
    <n v="52533"/>
    <x v="14"/>
    <x v="4"/>
    <n v="260"/>
    <n v="100"/>
    <n v="416.11"/>
    <x v="2"/>
    <d v="2024-01-08T00:00:00"/>
    <d v="2024-01-22T00:00:00"/>
    <x v="0"/>
    <x v="0"/>
    <n v="108188.6"/>
    <x v="0"/>
    <x v="1"/>
    <x v="0"/>
  </r>
  <r>
    <n v="36189"/>
    <x v="8"/>
    <x v="1"/>
    <n v="449"/>
    <n v="150"/>
    <n v="106.82"/>
    <x v="3"/>
    <d v="2024-02-18T00:00:00"/>
    <d v="2024-02-26T00:00:00"/>
    <x v="0"/>
    <x v="0"/>
    <n v="47962.18"/>
    <x v="0"/>
    <x v="1"/>
    <x v="0"/>
  </r>
  <r>
    <n v="95667"/>
    <x v="2"/>
    <x v="1"/>
    <n v="118"/>
    <n v="100"/>
    <n v="448.43"/>
    <x v="2"/>
    <d v="2024-09-22T00:00:00"/>
    <d v="2024-10-17T00:00:00"/>
    <x v="1"/>
    <x v="0"/>
    <n v="52914.74"/>
    <x v="0"/>
    <x v="1"/>
    <x v="0"/>
  </r>
  <r>
    <n v="74379"/>
    <x v="11"/>
    <x v="4"/>
    <n v="268"/>
    <n v="80"/>
    <n v="460.55"/>
    <x v="1"/>
    <d v="2024-10-14T00:00:00"/>
    <d v="2024-11-19T00:00:00"/>
    <x v="1"/>
    <x v="0"/>
    <n v="123427.40000000001"/>
    <x v="0"/>
    <x v="0"/>
    <x v="0"/>
  </r>
  <r>
    <n v="65419"/>
    <x v="15"/>
    <x v="4"/>
    <n v="272"/>
    <n v="30"/>
    <n v="116.18"/>
    <x v="1"/>
    <d v="2024-06-01T00:00:00"/>
    <d v="2024-06-19T00:00:00"/>
    <x v="0"/>
    <x v="0"/>
    <n v="31600.960000000003"/>
    <x v="0"/>
    <x v="0"/>
    <x v="0"/>
  </r>
  <r>
    <n v="74946"/>
    <x v="11"/>
    <x v="4"/>
    <n v="499"/>
    <n v="100"/>
    <n v="464.52"/>
    <x v="3"/>
    <d v="2024-06-20T00:00:00"/>
    <d v="2024-07-26T00:00:00"/>
    <x v="0"/>
    <x v="0"/>
    <n v="231795.47999999998"/>
    <x v="0"/>
    <x v="0"/>
    <x v="0"/>
  </r>
  <r>
    <n v="38044"/>
    <x v="5"/>
    <x v="2"/>
    <n v="31"/>
    <n v="100"/>
    <n v="431.38"/>
    <x v="4"/>
    <d v="2024-09-24T00:00:00"/>
    <d v="2024-10-16T00:00:00"/>
    <x v="2"/>
    <x v="1"/>
    <n v="13372.78"/>
    <x v="29"/>
    <x v="1"/>
    <x v="1"/>
  </r>
  <r>
    <n v="33387"/>
    <x v="1"/>
    <x v="0"/>
    <n v="202"/>
    <n v="100"/>
    <n v="377.83"/>
    <x v="4"/>
    <d v="2024-12-10T00:00:00"/>
    <d v="2025-01-05T00:00:00"/>
    <x v="0"/>
    <x v="0"/>
    <n v="76321.66"/>
    <x v="0"/>
    <x v="1"/>
    <x v="0"/>
  </r>
  <r>
    <n v="56486"/>
    <x v="11"/>
    <x v="4"/>
    <n v="28"/>
    <n v="80"/>
    <n v="364.36"/>
    <x v="2"/>
    <d v="2024-10-09T00:00:00"/>
    <d v="2024-11-13T00:00:00"/>
    <x v="0"/>
    <x v="1"/>
    <n v="10202.08"/>
    <x v="30"/>
    <x v="1"/>
    <x v="1"/>
  </r>
  <r>
    <n v="91942"/>
    <x v="10"/>
    <x v="2"/>
    <n v="188"/>
    <n v="20"/>
    <n v="256.64"/>
    <x v="4"/>
    <d v="2024-07-09T00:00:00"/>
    <d v="2024-08-01T00:00:00"/>
    <x v="2"/>
    <x v="0"/>
    <n v="48248.32"/>
    <x v="0"/>
    <x v="0"/>
    <x v="0"/>
  </r>
  <r>
    <n v="75095"/>
    <x v="12"/>
    <x v="0"/>
    <n v="280"/>
    <n v="80"/>
    <n v="84.24"/>
    <x v="3"/>
    <d v="2024-12-27T00:00:00"/>
    <d v="2025-01-16T00:00:00"/>
    <x v="0"/>
    <x v="0"/>
    <n v="23587.199999999997"/>
    <x v="0"/>
    <x v="0"/>
    <x v="0"/>
  </r>
  <r>
    <n v="78056"/>
    <x v="10"/>
    <x v="2"/>
    <n v="387"/>
    <n v="40"/>
    <n v="203.74"/>
    <x v="1"/>
    <d v="2024-12-27T00:00:00"/>
    <d v="2025-02-03T00:00:00"/>
    <x v="0"/>
    <x v="0"/>
    <n v="78847.38"/>
    <x v="0"/>
    <x v="0"/>
    <x v="0"/>
  </r>
  <r>
    <n v="20805"/>
    <x v="3"/>
    <x v="2"/>
    <n v="65"/>
    <n v="20"/>
    <n v="190.75"/>
    <x v="2"/>
    <d v="2024-03-26T00:00:00"/>
    <d v="2024-04-25T00:00:00"/>
    <x v="0"/>
    <x v="0"/>
    <n v="12398.75"/>
    <x v="0"/>
    <x v="0"/>
    <x v="0"/>
  </r>
  <r>
    <n v="15110"/>
    <x v="2"/>
    <x v="1"/>
    <n v="436"/>
    <n v="20"/>
    <n v="340.8"/>
    <x v="0"/>
    <d v="2024-08-30T00:00:00"/>
    <d v="2024-10-04T00:00:00"/>
    <x v="0"/>
    <x v="0"/>
    <n v="148588.80000000002"/>
    <x v="0"/>
    <x v="0"/>
    <x v="0"/>
  </r>
  <r>
    <n v="33705"/>
    <x v="15"/>
    <x v="4"/>
    <n v="380"/>
    <n v="50"/>
    <n v="362.43"/>
    <x v="4"/>
    <d v="2024-01-24T00:00:00"/>
    <d v="2024-03-03T00:00:00"/>
    <x v="2"/>
    <x v="0"/>
    <n v="137723.4"/>
    <x v="0"/>
    <x v="0"/>
    <x v="0"/>
  </r>
  <r>
    <n v="71627"/>
    <x v="13"/>
    <x v="3"/>
    <n v="487"/>
    <n v="150"/>
    <n v="6.59"/>
    <x v="3"/>
    <d v="2024-02-07T00:00:00"/>
    <d v="2024-02-15T00:00:00"/>
    <x v="0"/>
    <x v="0"/>
    <n v="3209.33"/>
    <x v="0"/>
    <x v="0"/>
    <x v="0"/>
  </r>
  <r>
    <n v="26087"/>
    <x v="0"/>
    <x v="0"/>
    <n v="118"/>
    <n v="150"/>
    <n v="243.08"/>
    <x v="4"/>
    <d v="2024-01-14T00:00:00"/>
    <d v="2024-01-21T00:00:00"/>
    <x v="2"/>
    <x v="1"/>
    <n v="28683.440000000002"/>
    <x v="31"/>
    <x v="1"/>
    <x v="1"/>
  </r>
  <r>
    <n v="24226"/>
    <x v="1"/>
    <x v="0"/>
    <n v="375"/>
    <n v="100"/>
    <n v="245.87"/>
    <x v="2"/>
    <d v="2024-06-06T00:00:00"/>
    <d v="2024-06-28T00:00:00"/>
    <x v="1"/>
    <x v="0"/>
    <n v="92201.25"/>
    <x v="0"/>
    <x v="0"/>
    <x v="0"/>
  </r>
  <r>
    <n v="76077"/>
    <x v="9"/>
    <x v="1"/>
    <n v="365"/>
    <n v="40"/>
    <n v="33.979999999999997"/>
    <x v="1"/>
    <d v="2024-04-18T00:00:00"/>
    <d v="2024-05-04T00:00:00"/>
    <x v="2"/>
    <x v="0"/>
    <n v="12402.699999999999"/>
    <x v="0"/>
    <x v="0"/>
    <x v="0"/>
  </r>
  <r>
    <n v="38854"/>
    <x v="6"/>
    <x v="3"/>
    <n v="355"/>
    <n v="40"/>
    <n v="222.9"/>
    <x v="3"/>
    <d v="2024-08-15T00:00:00"/>
    <d v="2024-09-18T00:00:00"/>
    <x v="1"/>
    <x v="0"/>
    <n v="79129.5"/>
    <x v="0"/>
    <x v="0"/>
    <x v="0"/>
  </r>
  <r>
    <n v="26184"/>
    <x v="2"/>
    <x v="1"/>
    <n v="318"/>
    <n v="50"/>
    <n v="35.96"/>
    <x v="2"/>
    <d v="2024-09-07T00:00:00"/>
    <d v="2024-09-22T00:00:00"/>
    <x v="2"/>
    <x v="0"/>
    <n v="11435.28"/>
    <x v="0"/>
    <x v="0"/>
    <x v="0"/>
  </r>
  <r>
    <n v="40254"/>
    <x v="16"/>
    <x v="3"/>
    <n v="400"/>
    <n v="100"/>
    <n v="319.91000000000003"/>
    <x v="2"/>
    <d v="2024-08-27T00:00:00"/>
    <d v="2024-09-27T00:00:00"/>
    <x v="1"/>
    <x v="0"/>
    <n v="127964.00000000001"/>
    <x v="0"/>
    <x v="0"/>
    <x v="0"/>
  </r>
  <r>
    <n v="44865"/>
    <x v="2"/>
    <x v="1"/>
    <n v="399"/>
    <n v="80"/>
    <n v="96.32"/>
    <x v="0"/>
    <d v="2024-03-01T00:00:00"/>
    <d v="2024-03-15T00:00:00"/>
    <x v="0"/>
    <x v="0"/>
    <n v="38431.68"/>
    <x v="0"/>
    <x v="0"/>
    <x v="0"/>
  </r>
  <r>
    <n v="93820"/>
    <x v="10"/>
    <x v="2"/>
    <n v="349"/>
    <n v="100"/>
    <n v="295.31"/>
    <x v="0"/>
    <d v="2024-07-16T00:00:00"/>
    <d v="2024-08-06T00:00:00"/>
    <x v="0"/>
    <x v="0"/>
    <n v="103063.19"/>
    <x v="0"/>
    <x v="0"/>
    <x v="0"/>
  </r>
  <r>
    <n v="17999"/>
    <x v="5"/>
    <x v="2"/>
    <n v="34"/>
    <n v="100"/>
    <n v="116.64"/>
    <x v="4"/>
    <d v="2024-03-09T00:00:00"/>
    <d v="2024-04-11T00:00:00"/>
    <x v="0"/>
    <x v="1"/>
    <n v="3965.76"/>
    <x v="2"/>
    <x v="1"/>
    <x v="1"/>
  </r>
  <r>
    <n v="39309"/>
    <x v="13"/>
    <x v="3"/>
    <n v="191"/>
    <n v="80"/>
    <n v="354.48"/>
    <x v="1"/>
    <d v="2024-03-30T00:00:00"/>
    <d v="2024-04-07T00:00:00"/>
    <x v="1"/>
    <x v="0"/>
    <n v="67705.680000000008"/>
    <x v="0"/>
    <x v="1"/>
    <x v="0"/>
  </r>
  <r>
    <n v="77155"/>
    <x v="8"/>
    <x v="1"/>
    <n v="99"/>
    <n v="100"/>
    <n v="33.35"/>
    <x v="3"/>
    <d v="2024-06-22T00:00:00"/>
    <d v="2024-07-27T00:00:00"/>
    <x v="0"/>
    <x v="1"/>
    <n v="3301.65"/>
    <x v="32"/>
    <x v="1"/>
    <x v="1"/>
  </r>
  <r>
    <n v="83997"/>
    <x v="4"/>
    <x v="0"/>
    <n v="413"/>
    <n v="100"/>
    <n v="134.54"/>
    <x v="1"/>
    <d v="2024-06-11T00:00:00"/>
    <d v="2024-07-13T00:00:00"/>
    <x v="2"/>
    <x v="0"/>
    <n v="55565.02"/>
    <x v="0"/>
    <x v="0"/>
    <x v="0"/>
  </r>
  <r>
    <n v="50785"/>
    <x v="14"/>
    <x v="4"/>
    <n v="204"/>
    <n v="100"/>
    <n v="37.36"/>
    <x v="1"/>
    <d v="2024-10-27T00:00:00"/>
    <d v="2024-11-20T00:00:00"/>
    <x v="1"/>
    <x v="0"/>
    <n v="7621.44"/>
    <x v="0"/>
    <x v="1"/>
    <x v="0"/>
  </r>
  <r>
    <n v="24289"/>
    <x v="8"/>
    <x v="1"/>
    <n v="195"/>
    <n v="30"/>
    <n v="208.49"/>
    <x v="0"/>
    <d v="2024-01-07T00:00:00"/>
    <d v="2024-01-17T00:00:00"/>
    <x v="1"/>
    <x v="0"/>
    <n v="40655.550000000003"/>
    <x v="0"/>
    <x v="0"/>
    <x v="0"/>
  </r>
  <r>
    <n v="38228"/>
    <x v="13"/>
    <x v="3"/>
    <n v="153"/>
    <n v="50"/>
    <n v="394.92"/>
    <x v="0"/>
    <d v="2024-05-21T00:00:00"/>
    <d v="2024-06-15T00:00:00"/>
    <x v="1"/>
    <x v="0"/>
    <n v="60422.76"/>
    <x v="0"/>
    <x v="0"/>
    <x v="0"/>
  </r>
  <r>
    <n v="39055"/>
    <x v="14"/>
    <x v="4"/>
    <n v="471"/>
    <n v="20"/>
    <n v="234.65"/>
    <x v="2"/>
    <d v="2024-12-10T00:00:00"/>
    <d v="2025-01-04T00:00:00"/>
    <x v="0"/>
    <x v="0"/>
    <n v="110520.15000000001"/>
    <x v="0"/>
    <x v="0"/>
    <x v="0"/>
  </r>
  <r>
    <n v="29446"/>
    <x v="16"/>
    <x v="3"/>
    <n v="160"/>
    <n v="30"/>
    <n v="361.4"/>
    <x v="3"/>
    <d v="2024-11-22T00:00:00"/>
    <d v="2024-12-18T00:00:00"/>
    <x v="0"/>
    <x v="0"/>
    <n v="57824"/>
    <x v="0"/>
    <x v="0"/>
    <x v="0"/>
  </r>
  <r>
    <n v="55232"/>
    <x v="16"/>
    <x v="3"/>
    <n v="353"/>
    <n v="50"/>
    <n v="362.79"/>
    <x v="3"/>
    <d v="2024-06-17T00:00:00"/>
    <d v="2024-07-13T00:00:00"/>
    <x v="2"/>
    <x v="0"/>
    <n v="128064.87000000001"/>
    <x v="0"/>
    <x v="0"/>
    <x v="0"/>
  </r>
  <r>
    <n v="75633"/>
    <x v="14"/>
    <x v="4"/>
    <n v="329"/>
    <n v="80"/>
    <n v="74.78"/>
    <x v="0"/>
    <d v="2024-01-22T00:00:00"/>
    <d v="2024-01-28T00:00:00"/>
    <x v="0"/>
    <x v="0"/>
    <n v="24602.62"/>
    <x v="0"/>
    <x v="0"/>
    <x v="0"/>
  </r>
  <r>
    <n v="77263"/>
    <x v="1"/>
    <x v="0"/>
    <n v="494"/>
    <n v="100"/>
    <n v="404.17"/>
    <x v="0"/>
    <d v="2024-05-17T00:00:00"/>
    <d v="2024-06-25T00:00:00"/>
    <x v="1"/>
    <x v="0"/>
    <n v="199659.98"/>
    <x v="0"/>
    <x v="0"/>
    <x v="0"/>
  </r>
  <r>
    <n v="15774"/>
    <x v="9"/>
    <x v="1"/>
    <n v="276"/>
    <n v="50"/>
    <n v="274.7"/>
    <x v="4"/>
    <d v="2024-03-08T00:00:00"/>
    <d v="2024-04-03T00:00:00"/>
    <x v="1"/>
    <x v="0"/>
    <n v="75817.2"/>
    <x v="0"/>
    <x v="0"/>
    <x v="0"/>
  </r>
  <r>
    <n v="49961"/>
    <x v="1"/>
    <x v="0"/>
    <n v="269"/>
    <n v="40"/>
    <n v="473.59"/>
    <x v="3"/>
    <d v="2024-06-16T00:00:00"/>
    <d v="2024-07-18T00:00:00"/>
    <x v="1"/>
    <x v="0"/>
    <n v="127395.70999999999"/>
    <x v="0"/>
    <x v="0"/>
    <x v="0"/>
  </r>
  <r>
    <n v="60729"/>
    <x v="14"/>
    <x v="4"/>
    <n v="247"/>
    <n v="100"/>
    <n v="175.11"/>
    <x v="2"/>
    <d v="2024-02-13T00:00:00"/>
    <d v="2024-03-21T00:00:00"/>
    <x v="1"/>
    <x v="0"/>
    <n v="43252.170000000006"/>
    <x v="0"/>
    <x v="1"/>
    <x v="0"/>
  </r>
  <r>
    <n v="12551"/>
    <x v="12"/>
    <x v="0"/>
    <n v="88"/>
    <n v="40"/>
    <n v="193.31"/>
    <x v="2"/>
    <d v="2024-07-15T00:00:00"/>
    <d v="2024-07-30T00:00:00"/>
    <x v="2"/>
    <x v="0"/>
    <n v="17011.28"/>
    <x v="0"/>
    <x v="1"/>
    <x v="0"/>
  </r>
  <r>
    <n v="31038"/>
    <x v="1"/>
    <x v="0"/>
    <n v="296"/>
    <n v="50"/>
    <n v="141.84"/>
    <x v="1"/>
    <d v="2024-03-12T00:00:00"/>
    <d v="2024-03-25T00:00:00"/>
    <x v="2"/>
    <x v="0"/>
    <n v="41984.639999999999"/>
    <x v="0"/>
    <x v="0"/>
    <x v="0"/>
  </r>
  <r>
    <n v="21116"/>
    <x v="1"/>
    <x v="0"/>
    <n v="453"/>
    <n v="50"/>
    <n v="87.19"/>
    <x v="0"/>
    <d v="2024-12-01T00:00:00"/>
    <d v="2024-12-08T00:00:00"/>
    <x v="1"/>
    <x v="0"/>
    <n v="39497.07"/>
    <x v="0"/>
    <x v="0"/>
    <x v="0"/>
  </r>
  <r>
    <n v="43380"/>
    <x v="15"/>
    <x v="4"/>
    <n v="39"/>
    <n v="100"/>
    <n v="74.650000000000006"/>
    <x v="2"/>
    <d v="2024-05-08T00:00:00"/>
    <d v="2024-05-20T00:00:00"/>
    <x v="1"/>
    <x v="1"/>
    <n v="2911.3500000000004"/>
    <x v="33"/>
    <x v="1"/>
    <x v="1"/>
  </r>
  <r>
    <n v="72987"/>
    <x v="7"/>
    <x v="3"/>
    <n v="477"/>
    <n v="100"/>
    <n v="484.04"/>
    <x v="0"/>
    <d v="2024-10-01T00:00:00"/>
    <d v="2024-11-06T00:00:00"/>
    <x v="2"/>
    <x v="0"/>
    <n v="230887.08000000002"/>
    <x v="0"/>
    <x v="0"/>
    <x v="0"/>
  </r>
  <r>
    <n v="66481"/>
    <x v="9"/>
    <x v="1"/>
    <n v="108"/>
    <n v="150"/>
    <n v="65.599999999999994"/>
    <x v="2"/>
    <d v="2024-06-06T00:00:00"/>
    <d v="2024-06-23T00:00:00"/>
    <x v="2"/>
    <x v="1"/>
    <n v="7084.7999999999993"/>
    <x v="24"/>
    <x v="1"/>
    <x v="1"/>
  </r>
  <r>
    <n v="65426"/>
    <x v="15"/>
    <x v="4"/>
    <n v="58"/>
    <n v="150"/>
    <n v="69.260000000000005"/>
    <x v="3"/>
    <d v="2024-11-20T00:00:00"/>
    <d v="2024-12-19T00:00:00"/>
    <x v="0"/>
    <x v="1"/>
    <n v="4017.0800000000004"/>
    <x v="34"/>
    <x v="1"/>
    <x v="1"/>
  </r>
  <r>
    <n v="59416"/>
    <x v="4"/>
    <x v="0"/>
    <n v="153"/>
    <n v="100"/>
    <n v="192.62"/>
    <x v="2"/>
    <d v="2024-08-14T00:00:00"/>
    <d v="2024-09-15T00:00:00"/>
    <x v="2"/>
    <x v="0"/>
    <n v="29470.86"/>
    <x v="0"/>
    <x v="1"/>
    <x v="0"/>
  </r>
  <r>
    <n v="53732"/>
    <x v="11"/>
    <x v="4"/>
    <n v="210"/>
    <n v="50"/>
    <n v="160.6"/>
    <x v="1"/>
    <d v="2024-12-29T00:00:00"/>
    <d v="2025-01-11T00:00:00"/>
    <x v="2"/>
    <x v="0"/>
    <n v="33726"/>
    <x v="0"/>
    <x v="0"/>
    <x v="0"/>
  </r>
  <r>
    <n v="35556"/>
    <x v="5"/>
    <x v="2"/>
    <n v="473"/>
    <n v="80"/>
    <n v="60.91"/>
    <x v="0"/>
    <d v="2024-08-05T00:00:00"/>
    <d v="2024-09-11T00:00:00"/>
    <x v="2"/>
    <x v="0"/>
    <n v="28810.429999999997"/>
    <x v="0"/>
    <x v="0"/>
    <x v="0"/>
  </r>
  <r>
    <n v="16416"/>
    <x v="9"/>
    <x v="1"/>
    <n v="430"/>
    <n v="30"/>
    <n v="375.67"/>
    <x v="4"/>
    <d v="2024-10-05T00:00:00"/>
    <d v="2024-10-31T00:00:00"/>
    <x v="1"/>
    <x v="0"/>
    <n v="161538.1"/>
    <x v="0"/>
    <x v="0"/>
    <x v="0"/>
  </r>
  <r>
    <n v="84663"/>
    <x v="3"/>
    <x v="2"/>
    <n v="288"/>
    <n v="50"/>
    <n v="370.95"/>
    <x v="2"/>
    <d v="2024-03-06T00:00:00"/>
    <d v="2024-04-14T00:00:00"/>
    <x v="1"/>
    <x v="0"/>
    <n v="106833.59999999999"/>
    <x v="0"/>
    <x v="0"/>
    <x v="0"/>
  </r>
  <r>
    <n v="97960"/>
    <x v="8"/>
    <x v="1"/>
    <n v="455"/>
    <n v="150"/>
    <n v="143.24"/>
    <x v="4"/>
    <d v="2024-07-09T00:00:00"/>
    <d v="2024-07-16T00:00:00"/>
    <x v="1"/>
    <x v="0"/>
    <n v="65174.200000000004"/>
    <x v="0"/>
    <x v="0"/>
    <x v="0"/>
  </r>
  <r>
    <n v="60939"/>
    <x v="8"/>
    <x v="1"/>
    <n v="436"/>
    <n v="100"/>
    <n v="380.83"/>
    <x v="4"/>
    <d v="2024-02-08T00:00:00"/>
    <d v="2024-02-21T00:00:00"/>
    <x v="1"/>
    <x v="0"/>
    <n v="166041.88"/>
    <x v="0"/>
    <x v="0"/>
    <x v="0"/>
  </r>
  <r>
    <n v="25223"/>
    <x v="15"/>
    <x v="4"/>
    <n v="224"/>
    <n v="100"/>
    <n v="337.01"/>
    <x v="2"/>
    <d v="2024-03-31T00:00:00"/>
    <d v="2024-05-08T00:00:00"/>
    <x v="0"/>
    <x v="0"/>
    <n v="75490.239999999991"/>
    <x v="0"/>
    <x v="1"/>
    <x v="0"/>
  </r>
  <r>
    <n v="33383"/>
    <x v="3"/>
    <x v="2"/>
    <n v="29"/>
    <n v="150"/>
    <n v="59.81"/>
    <x v="1"/>
    <d v="2024-03-24T00:00:00"/>
    <d v="2024-04-22T00:00:00"/>
    <x v="2"/>
    <x v="1"/>
    <n v="1734.49"/>
    <x v="35"/>
    <x v="1"/>
    <x v="1"/>
  </r>
  <r>
    <n v="69675"/>
    <x v="9"/>
    <x v="1"/>
    <n v="109"/>
    <n v="40"/>
    <n v="413.89"/>
    <x v="2"/>
    <d v="2024-10-01T00:00:00"/>
    <d v="2024-10-14T00:00:00"/>
    <x v="0"/>
    <x v="0"/>
    <n v="45114.01"/>
    <x v="0"/>
    <x v="1"/>
    <x v="0"/>
  </r>
  <r>
    <n v="60085"/>
    <x v="9"/>
    <x v="1"/>
    <n v="123"/>
    <n v="150"/>
    <n v="268.67"/>
    <x v="4"/>
    <d v="2024-10-01T00:00:00"/>
    <d v="2024-10-19T00:00:00"/>
    <x v="0"/>
    <x v="1"/>
    <n v="33046.410000000003"/>
    <x v="36"/>
    <x v="1"/>
    <x v="1"/>
  </r>
  <r>
    <n v="56733"/>
    <x v="1"/>
    <x v="0"/>
    <n v="464"/>
    <n v="100"/>
    <n v="27.83"/>
    <x v="0"/>
    <d v="2024-06-09T00:00:00"/>
    <d v="2024-07-08T00:00:00"/>
    <x v="0"/>
    <x v="0"/>
    <n v="12913.119999999999"/>
    <x v="0"/>
    <x v="0"/>
    <x v="0"/>
  </r>
  <r>
    <n v="60139"/>
    <x v="10"/>
    <x v="2"/>
    <n v="442"/>
    <n v="100"/>
    <n v="372.88"/>
    <x v="1"/>
    <d v="2024-07-14T00:00:00"/>
    <d v="2024-07-22T00:00:00"/>
    <x v="0"/>
    <x v="0"/>
    <n v="164812.96"/>
    <x v="0"/>
    <x v="0"/>
    <x v="0"/>
  </r>
  <r>
    <n v="45292"/>
    <x v="13"/>
    <x v="3"/>
    <n v="85"/>
    <n v="20"/>
    <n v="494.57"/>
    <x v="3"/>
    <d v="2024-09-11T00:00:00"/>
    <d v="2024-10-01T00:00:00"/>
    <x v="2"/>
    <x v="0"/>
    <n v="42038.45"/>
    <x v="0"/>
    <x v="0"/>
    <x v="0"/>
  </r>
  <r>
    <n v="60500"/>
    <x v="12"/>
    <x v="0"/>
    <n v="266"/>
    <n v="100"/>
    <n v="428.57"/>
    <x v="2"/>
    <d v="2024-09-11T00:00:00"/>
    <d v="2024-10-06T00:00:00"/>
    <x v="0"/>
    <x v="0"/>
    <n v="113999.62"/>
    <x v="0"/>
    <x v="1"/>
    <x v="0"/>
  </r>
  <r>
    <n v="96497"/>
    <x v="10"/>
    <x v="2"/>
    <n v="200"/>
    <n v="80"/>
    <n v="21.16"/>
    <x v="3"/>
    <d v="2024-02-04T00:00:00"/>
    <d v="2024-02-25T00:00:00"/>
    <x v="0"/>
    <x v="0"/>
    <n v="4232"/>
    <x v="0"/>
    <x v="1"/>
    <x v="0"/>
  </r>
  <r>
    <n v="36649"/>
    <x v="4"/>
    <x v="0"/>
    <n v="75"/>
    <n v="100"/>
    <n v="388.07"/>
    <x v="2"/>
    <d v="2024-12-26T00:00:00"/>
    <d v="2025-01-18T00:00:00"/>
    <x v="0"/>
    <x v="1"/>
    <n v="29105.25"/>
    <x v="11"/>
    <x v="1"/>
    <x v="1"/>
  </r>
  <r>
    <n v="28230"/>
    <x v="6"/>
    <x v="3"/>
    <n v="37"/>
    <n v="50"/>
    <n v="395.46"/>
    <x v="2"/>
    <d v="2024-06-27T00:00:00"/>
    <d v="2024-07-05T00:00:00"/>
    <x v="2"/>
    <x v="1"/>
    <n v="14632.019999999999"/>
    <x v="37"/>
    <x v="1"/>
    <x v="1"/>
  </r>
  <r>
    <n v="21190"/>
    <x v="0"/>
    <x v="0"/>
    <n v="66"/>
    <n v="100"/>
    <n v="135.02000000000001"/>
    <x v="3"/>
    <d v="2024-06-10T00:00:00"/>
    <d v="2024-07-11T00:00:00"/>
    <x v="0"/>
    <x v="1"/>
    <n v="8911.3200000000015"/>
    <x v="38"/>
    <x v="1"/>
    <x v="1"/>
  </r>
  <r>
    <n v="50583"/>
    <x v="2"/>
    <x v="1"/>
    <n v="400"/>
    <n v="80"/>
    <n v="238.88"/>
    <x v="0"/>
    <d v="2024-08-05T00:00:00"/>
    <d v="2024-09-05T00:00:00"/>
    <x v="2"/>
    <x v="0"/>
    <n v="95552"/>
    <x v="0"/>
    <x v="0"/>
    <x v="0"/>
  </r>
  <r>
    <n v="93375"/>
    <x v="8"/>
    <x v="1"/>
    <n v="92"/>
    <n v="80"/>
    <n v="243.61"/>
    <x v="4"/>
    <d v="2024-05-21T00:00:00"/>
    <d v="2024-06-29T00:00:00"/>
    <x v="0"/>
    <x v="0"/>
    <n v="22412.120000000003"/>
    <x v="0"/>
    <x v="1"/>
    <x v="0"/>
  </r>
  <r>
    <n v="47418"/>
    <x v="16"/>
    <x v="3"/>
    <n v="485"/>
    <n v="20"/>
    <n v="8.7899999999999991"/>
    <x v="2"/>
    <d v="2024-07-08T00:00:00"/>
    <d v="2024-07-20T00:00:00"/>
    <x v="0"/>
    <x v="0"/>
    <n v="4263.1499999999996"/>
    <x v="0"/>
    <x v="0"/>
    <x v="0"/>
  </r>
  <r>
    <n v="15463"/>
    <x v="15"/>
    <x v="4"/>
    <n v="340"/>
    <n v="80"/>
    <n v="288.16000000000003"/>
    <x v="4"/>
    <d v="2024-11-13T00:00:00"/>
    <d v="2024-11-26T00:00:00"/>
    <x v="0"/>
    <x v="0"/>
    <n v="97974.400000000009"/>
    <x v="0"/>
    <x v="0"/>
    <x v="0"/>
  </r>
  <r>
    <n v="32207"/>
    <x v="8"/>
    <x v="1"/>
    <n v="343"/>
    <n v="80"/>
    <n v="175.89"/>
    <x v="0"/>
    <d v="2024-07-01T00:00:00"/>
    <d v="2024-07-18T00:00:00"/>
    <x v="2"/>
    <x v="0"/>
    <n v="60330.27"/>
    <x v="0"/>
    <x v="0"/>
    <x v="0"/>
  </r>
  <r>
    <n v="54363"/>
    <x v="3"/>
    <x v="2"/>
    <n v="332"/>
    <n v="150"/>
    <n v="140.99"/>
    <x v="4"/>
    <d v="2024-01-01T00:00:00"/>
    <d v="2024-01-24T00:00:00"/>
    <x v="0"/>
    <x v="0"/>
    <n v="46808.68"/>
    <x v="0"/>
    <x v="1"/>
    <x v="0"/>
  </r>
  <r>
    <n v="13321"/>
    <x v="7"/>
    <x v="3"/>
    <n v="444"/>
    <n v="20"/>
    <n v="412.78"/>
    <x v="4"/>
    <d v="2024-04-12T00:00:00"/>
    <d v="2024-05-14T00:00:00"/>
    <x v="0"/>
    <x v="0"/>
    <n v="183274.31999999998"/>
    <x v="0"/>
    <x v="0"/>
    <x v="0"/>
  </r>
  <r>
    <n v="33377"/>
    <x v="5"/>
    <x v="2"/>
    <n v="342"/>
    <n v="100"/>
    <n v="132.52000000000001"/>
    <x v="1"/>
    <d v="2024-08-02T00:00:00"/>
    <d v="2024-08-26T00:00:00"/>
    <x v="2"/>
    <x v="0"/>
    <n v="45321.840000000004"/>
    <x v="0"/>
    <x v="0"/>
    <x v="0"/>
  </r>
  <r>
    <n v="88931"/>
    <x v="4"/>
    <x v="0"/>
    <n v="160"/>
    <n v="150"/>
    <n v="333.02"/>
    <x v="3"/>
    <d v="2024-05-26T00:00:00"/>
    <d v="2024-06-27T00:00:00"/>
    <x v="0"/>
    <x v="0"/>
    <n v="53283.199999999997"/>
    <x v="0"/>
    <x v="1"/>
    <x v="0"/>
  </r>
  <r>
    <n v="96120"/>
    <x v="4"/>
    <x v="0"/>
    <n v="242"/>
    <n v="150"/>
    <n v="376.18"/>
    <x v="1"/>
    <d v="2024-09-14T00:00:00"/>
    <d v="2024-10-17T00:00:00"/>
    <x v="2"/>
    <x v="0"/>
    <n v="91035.56"/>
    <x v="0"/>
    <x v="1"/>
    <x v="0"/>
  </r>
  <r>
    <n v="56619"/>
    <x v="3"/>
    <x v="2"/>
    <n v="460"/>
    <n v="30"/>
    <n v="253.57"/>
    <x v="0"/>
    <d v="2024-02-20T00:00:00"/>
    <d v="2024-03-04T00:00:00"/>
    <x v="2"/>
    <x v="0"/>
    <n v="116642.2"/>
    <x v="0"/>
    <x v="0"/>
    <x v="0"/>
  </r>
  <r>
    <n v="88928"/>
    <x v="10"/>
    <x v="2"/>
    <n v="1"/>
    <n v="80"/>
    <n v="37.89"/>
    <x v="3"/>
    <d v="2024-12-15T00:00:00"/>
    <d v="2024-12-21T00:00:00"/>
    <x v="2"/>
    <x v="1"/>
    <n v="37.89"/>
    <x v="10"/>
    <x v="1"/>
    <x v="1"/>
  </r>
  <r>
    <n v="47437"/>
    <x v="12"/>
    <x v="0"/>
    <n v="234"/>
    <n v="20"/>
    <n v="46.77"/>
    <x v="3"/>
    <d v="2024-12-22T00:00:00"/>
    <d v="2025-01-16T00:00:00"/>
    <x v="1"/>
    <x v="0"/>
    <n v="10944.18"/>
    <x v="0"/>
    <x v="0"/>
    <x v="0"/>
  </r>
  <r>
    <n v="46268"/>
    <x v="9"/>
    <x v="1"/>
    <n v="407"/>
    <n v="20"/>
    <n v="38.36"/>
    <x v="3"/>
    <d v="2024-10-03T00:00:00"/>
    <d v="2024-10-25T00:00:00"/>
    <x v="0"/>
    <x v="0"/>
    <n v="15612.52"/>
    <x v="0"/>
    <x v="0"/>
    <x v="0"/>
  </r>
  <r>
    <n v="62395"/>
    <x v="11"/>
    <x v="4"/>
    <n v="187"/>
    <n v="50"/>
    <n v="400.2"/>
    <x v="3"/>
    <d v="2024-07-13T00:00:00"/>
    <d v="2024-08-14T00:00:00"/>
    <x v="1"/>
    <x v="0"/>
    <n v="74837.399999999994"/>
    <x v="0"/>
    <x v="0"/>
    <x v="0"/>
  </r>
  <r>
    <n v="98503"/>
    <x v="5"/>
    <x v="2"/>
    <n v="312"/>
    <n v="100"/>
    <n v="354.27"/>
    <x v="2"/>
    <d v="2024-06-15T00:00:00"/>
    <d v="2024-07-23T00:00:00"/>
    <x v="0"/>
    <x v="0"/>
    <n v="110532.23999999999"/>
    <x v="0"/>
    <x v="0"/>
    <x v="0"/>
  </r>
  <r>
    <n v="50379"/>
    <x v="0"/>
    <x v="0"/>
    <n v="55"/>
    <n v="20"/>
    <n v="176.21"/>
    <x v="1"/>
    <d v="2024-05-27T00:00:00"/>
    <d v="2024-06-19T00:00:00"/>
    <x v="1"/>
    <x v="0"/>
    <n v="9691.5500000000011"/>
    <x v="0"/>
    <x v="1"/>
    <x v="0"/>
  </r>
  <r>
    <n v="89239"/>
    <x v="3"/>
    <x v="2"/>
    <n v="478"/>
    <n v="40"/>
    <n v="207.77"/>
    <x v="1"/>
    <d v="2024-10-31T00:00:00"/>
    <d v="2024-11-09T00:00:00"/>
    <x v="2"/>
    <x v="0"/>
    <n v="99314.06"/>
    <x v="0"/>
    <x v="0"/>
    <x v="0"/>
  </r>
  <r>
    <n v="52359"/>
    <x v="9"/>
    <x v="1"/>
    <n v="387"/>
    <n v="20"/>
    <n v="74.569999999999993"/>
    <x v="0"/>
    <d v="2024-11-20T00:00:00"/>
    <d v="2024-12-24T00:00:00"/>
    <x v="1"/>
    <x v="0"/>
    <n v="28858.589999999997"/>
    <x v="0"/>
    <x v="0"/>
    <x v="0"/>
  </r>
  <r>
    <n v="87362"/>
    <x v="10"/>
    <x v="2"/>
    <n v="259"/>
    <n v="30"/>
    <n v="24.3"/>
    <x v="1"/>
    <d v="2024-12-28T00:00:00"/>
    <d v="2025-01-28T00:00:00"/>
    <x v="2"/>
    <x v="0"/>
    <n v="6293.7"/>
    <x v="0"/>
    <x v="0"/>
    <x v="0"/>
  </r>
  <r>
    <n v="37734"/>
    <x v="10"/>
    <x v="2"/>
    <n v="398"/>
    <n v="80"/>
    <n v="148.18"/>
    <x v="2"/>
    <d v="2024-05-01T00:00:00"/>
    <d v="2024-06-09T00:00:00"/>
    <x v="2"/>
    <x v="0"/>
    <n v="58975.64"/>
    <x v="0"/>
    <x v="0"/>
    <x v="0"/>
  </r>
  <r>
    <n v="69500"/>
    <x v="0"/>
    <x v="0"/>
    <n v="368"/>
    <n v="80"/>
    <n v="147.76"/>
    <x v="2"/>
    <d v="2024-05-05T00:00:00"/>
    <d v="2024-05-26T00:00:00"/>
    <x v="0"/>
    <x v="0"/>
    <n v="54375.679999999993"/>
    <x v="0"/>
    <x v="0"/>
    <x v="0"/>
  </r>
  <r>
    <n v="60098"/>
    <x v="16"/>
    <x v="3"/>
    <n v="304"/>
    <n v="80"/>
    <n v="273.14"/>
    <x v="0"/>
    <d v="2024-12-07T00:00:00"/>
    <d v="2025-01-03T00:00:00"/>
    <x v="2"/>
    <x v="0"/>
    <n v="83034.559999999998"/>
    <x v="0"/>
    <x v="0"/>
    <x v="0"/>
  </r>
  <r>
    <n v="10358"/>
    <x v="14"/>
    <x v="4"/>
    <n v="50"/>
    <n v="30"/>
    <n v="33.54"/>
    <x v="2"/>
    <d v="2024-01-21T00:00:00"/>
    <d v="2024-02-05T00:00:00"/>
    <x v="1"/>
    <x v="0"/>
    <n v="1677"/>
    <x v="0"/>
    <x v="1"/>
    <x v="0"/>
  </r>
  <r>
    <n v="36762"/>
    <x v="9"/>
    <x v="1"/>
    <n v="279"/>
    <n v="80"/>
    <n v="224.8"/>
    <x v="2"/>
    <d v="2024-04-20T00:00:00"/>
    <d v="2024-05-28T00:00:00"/>
    <x v="1"/>
    <x v="0"/>
    <n v="62719.200000000004"/>
    <x v="0"/>
    <x v="0"/>
    <x v="0"/>
  </r>
  <r>
    <n v="94754"/>
    <x v="16"/>
    <x v="3"/>
    <n v="98"/>
    <n v="50"/>
    <n v="153.74"/>
    <x v="4"/>
    <d v="2024-08-01T00:00:00"/>
    <d v="2024-08-29T00:00:00"/>
    <x v="1"/>
    <x v="0"/>
    <n v="15066.52"/>
    <x v="0"/>
    <x v="1"/>
    <x v="0"/>
  </r>
  <r>
    <n v="85774"/>
    <x v="7"/>
    <x v="3"/>
    <n v="283"/>
    <n v="80"/>
    <n v="240.4"/>
    <x v="0"/>
    <d v="2024-06-12T00:00:00"/>
    <d v="2024-07-05T00:00:00"/>
    <x v="0"/>
    <x v="0"/>
    <n v="68033.2"/>
    <x v="0"/>
    <x v="0"/>
    <x v="0"/>
  </r>
  <r>
    <n v="54789"/>
    <x v="15"/>
    <x v="4"/>
    <n v="309"/>
    <n v="80"/>
    <n v="231.94"/>
    <x v="0"/>
    <d v="2024-09-02T00:00:00"/>
    <d v="2024-09-27T00:00:00"/>
    <x v="1"/>
    <x v="0"/>
    <n v="71669.460000000006"/>
    <x v="0"/>
    <x v="0"/>
    <x v="0"/>
  </r>
  <r>
    <n v="76418"/>
    <x v="0"/>
    <x v="0"/>
    <n v="464"/>
    <n v="50"/>
    <n v="236.06"/>
    <x v="0"/>
    <d v="2024-01-12T00:00:00"/>
    <d v="2024-01-22T00:00:00"/>
    <x v="2"/>
    <x v="0"/>
    <n v="109531.84"/>
    <x v="0"/>
    <x v="0"/>
    <x v="0"/>
  </r>
  <r>
    <n v="38064"/>
    <x v="1"/>
    <x v="0"/>
    <n v="307"/>
    <n v="100"/>
    <n v="296.42"/>
    <x v="0"/>
    <d v="2024-09-06T00:00:00"/>
    <d v="2024-09-21T00:00:00"/>
    <x v="1"/>
    <x v="0"/>
    <n v="91000.94"/>
    <x v="0"/>
    <x v="0"/>
    <x v="0"/>
  </r>
  <r>
    <n v="31083"/>
    <x v="9"/>
    <x v="1"/>
    <n v="241"/>
    <n v="20"/>
    <n v="433.46"/>
    <x v="0"/>
    <d v="2024-08-06T00:00:00"/>
    <d v="2024-08-28T00:00:00"/>
    <x v="1"/>
    <x v="0"/>
    <n v="104463.86"/>
    <x v="0"/>
    <x v="0"/>
    <x v="0"/>
  </r>
  <r>
    <n v="92035"/>
    <x v="12"/>
    <x v="0"/>
    <n v="364"/>
    <n v="40"/>
    <n v="104.23"/>
    <x v="4"/>
    <d v="2024-11-24T00:00:00"/>
    <d v="2024-12-06T00:00:00"/>
    <x v="0"/>
    <x v="0"/>
    <n v="37939.72"/>
    <x v="0"/>
    <x v="0"/>
    <x v="0"/>
  </r>
  <r>
    <n v="35518"/>
    <x v="8"/>
    <x v="1"/>
    <n v="224"/>
    <n v="40"/>
    <n v="159.38999999999999"/>
    <x v="4"/>
    <d v="2024-11-18T00:00:00"/>
    <d v="2024-11-27T00:00:00"/>
    <x v="1"/>
    <x v="0"/>
    <n v="35703.360000000001"/>
    <x v="0"/>
    <x v="0"/>
    <x v="0"/>
  </r>
  <r>
    <n v="32313"/>
    <x v="11"/>
    <x v="4"/>
    <n v="348"/>
    <n v="100"/>
    <n v="362.74"/>
    <x v="4"/>
    <d v="2024-02-23T00:00:00"/>
    <d v="2024-03-08T00:00:00"/>
    <x v="2"/>
    <x v="0"/>
    <n v="126233.52"/>
    <x v="0"/>
    <x v="0"/>
    <x v="0"/>
  </r>
  <r>
    <n v="87842"/>
    <x v="9"/>
    <x v="1"/>
    <n v="183"/>
    <n v="100"/>
    <n v="478.94"/>
    <x v="1"/>
    <d v="2024-10-29T00:00:00"/>
    <d v="2024-12-07T00:00:00"/>
    <x v="2"/>
    <x v="0"/>
    <n v="87646.02"/>
    <x v="0"/>
    <x v="1"/>
    <x v="0"/>
  </r>
  <r>
    <n v="19764"/>
    <x v="9"/>
    <x v="1"/>
    <n v="29"/>
    <n v="150"/>
    <n v="26.86"/>
    <x v="3"/>
    <d v="2024-10-18T00:00:00"/>
    <d v="2024-11-16T00:00:00"/>
    <x v="1"/>
    <x v="1"/>
    <n v="778.93999999999994"/>
    <x v="35"/>
    <x v="1"/>
    <x v="1"/>
  </r>
  <r>
    <n v="30131"/>
    <x v="16"/>
    <x v="3"/>
    <n v="231"/>
    <n v="80"/>
    <n v="411.85"/>
    <x v="0"/>
    <d v="2024-07-19T00:00:00"/>
    <d v="2024-07-24T00:00:00"/>
    <x v="2"/>
    <x v="0"/>
    <n v="95137.35"/>
    <x v="0"/>
    <x v="1"/>
    <x v="0"/>
  </r>
  <r>
    <n v="29810"/>
    <x v="2"/>
    <x v="1"/>
    <n v="429"/>
    <n v="100"/>
    <n v="206.73"/>
    <x v="0"/>
    <d v="2024-12-23T00:00:00"/>
    <d v="2025-01-07T00:00:00"/>
    <x v="2"/>
    <x v="0"/>
    <n v="88687.17"/>
    <x v="0"/>
    <x v="0"/>
    <x v="0"/>
  </r>
  <r>
    <n v="80721"/>
    <x v="0"/>
    <x v="0"/>
    <n v="172"/>
    <n v="30"/>
    <n v="8.01"/>
    <x v="3"/>
    <d v="2024-03-23T00:00:00"/>
    <d v="2024-04-12T00:00:00"/>
    <x v="1"/>
    <x v="0"/>
    <n v="1377.72"/>
    <x v="0"/>
    <x v="0"/>
    <x v="0"/>
  </r>
  <r>
    <n v="78487"/>
    <x v="11"/>
    <x v="4"/>
    <n v="379"/>
    <n v="100"/>
    <n v="29.86"/>
    <x v="0"/>
    <d v="2024-01-13T00:00:00"/>
    <d v="2024-02-17T00:00:00"/>
    <x v="2"/>
    <x v="0"/>
    <n v="11316.94"/>
    <x v="0"/>
    <x v="0"/>
    <x v="0"/>
  </r>
  <r>
    <n v="43204"/>
    <x v="6"/>
    <x v="3"/>
    <n v="52"/>
    <n v="150"/>
    <n v="116.88"/>
    <x v="4"/>
    <d v="2024-08-20T00:00:00"/>
    <d v="2024-09-23T00:00:00"/>
    <x v="0"/>
    <x v="1"/>
    <n v="6077.76"/>
    <x v="7"/>
    <x v="1"/>
    <x v="1"/>
  </r>
  <r>
    <n v="26566"/>
    <x v="10"/>
    <x v="2"/>
    <n v="274"/>
    <n v="20"/>
    <n v="381.01"/>
    <x v="1"/>
    <d v="2024-01-31T00:00:00"/>
    <d v="2024-02-21T00:00:00"/>
    <x v="2"/>
    <x v="0"/>
    <n v="104396.73999999999"/>
    <x v="0"/>
    <x v="0"/>
    <x v="0"/>
  </r>
  <r>
    <n v="26237"/>
    <x v="1"/>
    <x v="0"/>
    <n v="53"/>
    <n v="50"/>
    <n v="320.36"/>
    <x v="2"/>
    <d v="2024-01-14T00:00:00"/>
    <d v="2024-02-15T00:00:00"/>
    <x v="0"/>
    <x v="0"/>
    <n v="16979.080000000002"/>
    <x v="0"/>
    <x v="1"/>
    <x v="0"/>
  </r>
  <r>
    <n v="22237"/>
    <x v="0"/>
    <x v="0"/>
    <n v="58"/>
    <n v="150"/>
    <n v="361.72"/>
    <x v="1"/>
    <d v="2024-01-12T00:00:00"/>
    <d v="2024-02-16T00:00:00"/>
    <x v="2"/>
    <x v="1"/>
    <n v="20979.760000000002"/>
    <x v="34"/>
    <x v="1"/>
    <x v="1"/>
  </r>
  <r>
    <n v="68608"/>
    <x v="15"/>
    <x v="4"/>
    <n v="74"/>
    <n v="20"/>
    <n v="375.58"/>
    <x v="1"/>
    <d v="2024-03-19T00:00:00"/>
    <d v="2024-04-23T00:00:00"/>
    <x v="0"/>
    <x v="0"/>
    <n v="27792.92"/>
    <x v="0"/>
    <x v="0"/>
    <x v="0"/>
  </r>
  <r>
    <n v="68161"/>
    <x v="11"/>
    <x v="4"/>
    <n v="95"/>
    <n v="100"/>
    <n v="354.95"/>
    <x v="3"/>
    <d v="2024-12-08T00:00:00"/>
    <d v="2025-01-05T00:00:00"/>
    <x v="2"/>
    <x v="1"/>
    <n v="33720.25"/>
    <x v="18"/>
    <x v="1"/>
    <x v="1"/>
  </r>
  <r>
    <n v="81274"/>
    <x v="7"/>
    <x v="3"/>
    <n v="376"/>
    <n v="80"/>
    <n v="465.79"/>
    <x v="0"/>
    <d v="2024-04-30T00:00:00"/>
    <d v="2024-05-05T00:00:00"/>
    <x v="0"/>
    <x v="0"/>
    <n v="175137.04"/>
    <x v="0"/>
    <x v="0"/>
    <x v="0"/>
  </r>
  <r>
    <n v="12224"/>
    <x v="5"/>
    <x v="2"/>
    <n v="427"/>
    <n v="50"/>
    <n v="395.52"/>
    <x v="2"/>
    <d v="2024-11-02T00:00:00"/>
    <d v="2024-11-19T00:00:00"/>
    <x v="1"/>
    <x v="0"/>
    <n v="168887.03999999998"/>
    <x v="0"/>
    <x v="0"/>
    <x v="0"/>
  </r>
  <r>
    <n v="54760"/>
    <x v="16"/>
    <x v="3"/>
    <n v="185"/>
    <n v="150"/>
    <n v="249.44"/>
    <x v="1"/>
    <d v="2024-11-11T00:00:00"/>
    <d v="2024-12-12T00:00:00"/>
    <x v="1"/>
    <x v="0"/>
    <n v="46146.400000000001"/>
    <x v="0"/>
    <x v="1"/>
    <x v="0"/>
  </r>
  <r>
    <n v="64040"/>
    <x v="16"/>
    <x v="3"/>
    <n v="234"/>
    <n v="80"/>
    <n v="95.49"/>
    <x v="3"/>
    <d v="2024-01-24T00:00:00"/>
    <d v="2024-02-08T00:00:00"/>
    <x v="0"/>
    <x v="0"/>
    <n v="22344.66"/>
    <x v="0"/>
    <x v="1"/>
    <x v="0"/>
  </r>
  <r>
    <n v="35599"/>
    <x v="12"/>
    <x v="0"/>
    <n v="210"/>
    <n v="50"/>
    <n v="499.74"/>
    <x v="3"/>
    <d v="2024-04-10T00:00:00"/>
    <d v="2024-05-12T00:00:00"/>
    <x v="1"/>
    <x v="0"/>
    <n v="104945.40000000001"/>
    <x v="0"/>
    <x v="0"/>
    <x v="0"/>
  </r>
  <r>
    <n v="37364"/>
    <x v="11"/>
    <x v="4"/>
    <n v="226"/>
    <n v="50"/>
    <n v="6.43"/>
    <x v="4"/>
    <d v="2024-01-13T00:00:00"/>
    <d v="2024-02-04T00:00:00"/>
    <x v="1"/>
    <x v="0"/>
    <n v="1453.1799999999998"/>
    <x v="0"/>
    <x v="0"/>
    <x v="0"/>
  </r>
  <r>
    <n v="93692"/>
    <x v="14"/>
    <x v="4"/>
    <n v="328"/>
    <n v="100"/>
    <n v="238.78"/>
    <x v="1"/>
    <d v="2024-04-09T00:00:00"/>
    <d v="2024-05-06T00:00:00"/>
    <x v="0"/>
    <x v="0"/>
    <n v="78319.839999999997"/>
    <x v="0"/>
    <x v="0"/>
    <x v="0"/>
  </r>
  <r>
    <n v="57591"/>
    <x v="4"/>
    <x v="0"/>
    <n v="2"/>
    <n v="50"/>
    <n v="487.42"/>
    <x v="3"/>
    <d v="2024-05-28T00:00:00"/>
    <d v="2024-06-29T00:00:00"/>
    <x v="0"/>
    <x v="1"/>
    <n v="974.84"/>
    <x v="39"/>
    <x v="1"/>
    <x v="1"/>
  </r>
  <r>
    <n v="65860"/>
    <x v="12"/>
    <x v="0"/>
    <n v="226"/>
    <n v="80"/>
    <n v="33.76"/>
    <x v="2"/>
    <d v="2024-04-27T00:00:00"/>
    <d v="2024-05-11T00:00:00"/>
    <x v="1"/>
    <x v="0"/>
    <n v="7629.7599999999993"/>
    <x v="0"/>
    <x v="1"/>
    <x v="0"/>
  </r>
  <r>
    <n v="52965"/>
    <x v="13"/>
    <x v="3"/>
    <n v="45"/>
    <n v="80"/>
    <n v="192.65"/>
    <x v="3"/>
    <d v="2024-10-06T00:00:00"/>
    <d v="2024-10-12T00:00:00"/>
    <x v="2"/>
    <x v="1"/>
    <n v="8669.25"/>
    <x v="40"/>
    <x v="1"/>
    <x v="1"/>
  </r>
  <r>
    <n v="46021"/>
    <x v="15"/>
    <x v="4"/>
    <n v="408"/>
    <n v="40"/>
    <n v="205.12"/>
    <x v="2"/>
    <d v="2024-01-17T00:00:00"/>
    <d v="2024-02-02T00:00:00"/>
    <x v="0"/>
    <x v="0"/>
    <n v="83688.960000000006"/>
    <x v="0"/>
    <x v="0"/>
    <x v="0"/>
  </r>
  <r>
    <n v="30307"/>
    <x v="10"/>
    <x v="2"/>
    <n v="227"/>
    <n v="30"/>
    <n v="261.92"/>
    <x v="2"/>
    <d v="2024-08-17T00:00:00"/>
    <d v="2024-08-22T00:00:00"/>
    <x v="1"/>
    <x v="0"/>
    <n v="59455.840000000004"/>
    <x v="0"/>
    <x v="0"/>
    <x v="0"/>
  </r>
  <r>
    <n v="40116"/>
    <x v="2"/>
    <x v="1"/>
    <n v="459"/>
    <n v="40"/>
    <n v="289.8"/>
    <x v="4"/>
    <d v="2024-06-18T00:00:00"/>
    <d v="2024-07-22T00:00:00"/>
    <x v="0"/>
    <x v="0"/>
    <n v="133018.20000000001"/>
    <x v="0"/>
    <x v="0"/>
    <x v="0"/>
  </r>
  <r>
    <n v="56607"/>
    <x v="9"/>
    <x v="1"/>
    <n v="441"/>
    <n v="150"/>
    <n v="177.31"/>
    <x v="0"/>
    <d v="2024-05-05T00:00:00"/>
    <d v="2024-05-21T00:00:00"/>
    <x v="0"/>
    <x v="0"/>
    <n v="78193.710000000006"/>
    <x v="0"/>
    <x v="1"/>
    <x v="0"/>
  </r>
  <r>
    <n v="98839"/>
    <x v="0"/>
    <x v="0"/>
    <n v="134"/>
    <n v="50"/>
    <n v="424.3"/>
    <x v="3"/>
    <d v="2024-06-08T00:00:00"/>
    <d v="2024-06-23T00:00:00"/>
    <x v="1"/>
    <x v="0"/>
    <n v="56856.200000000004"/>
    <x v="0"/>
    <x v="1"/>
    <x v="0"/>
  </r>
  <r>
    <n v="12204"/>
    <x v="8"/>
    <x v="1"/>
    <n v="213"/>
    <n v="40"/>
    <n v="154.94"/>
    <x v="1"/>
    <d v="2024-07-13T00:00:00"/>
    <d v="2024-08-15T00:00:00"/>
    <x v="2"/>
    <x v="0"/>
    <n v="33002.22"/>
    <x v="0"/>
    <x v="0"/>
    <x v="0"/>
  </r>
  <r>
    <n v="31607"/>
    <x v="0"/>
    <x v="0"/>
    <n v="78"/>
    <n v="50"/>
    <n v="239.54"/>
    <x v="3"/>
    <d v="2024-08-05T00:00:00"/>
    <d v="2024-08-13T00:00:00"/>
    <x v="1"/>
    <x v="0"/>
    <n v="18684.12"/>
    <x v="0"/>
    <x v="1"/>
    <x v="0"/>
  </r>
  <r>
    <n v="65835"/>
    <x v="7"/>
    <x v="3"/>
    <n v="95"/>
    <n v="50"/>
    <n v="274.52"/>
    <x v="3"/>
    <d v="2024-05-22T00:00:00"/>
    <d v="2024-06-27T00:00:00"/>
    <x v="0"/>
    <x v="0"/>
    <n v="26079.399999999998"/>
    <x v="0"/>
    <x v="1"/>
    <x v="0"/>
  </r>
  <r>
    <n v="56473"/>
    <x v="5"/>
    <x v="2"/>
    <n v="491"/>
    <n v="150"/>
    <n v="74.7"/>
    <x v="0"/>
    <d v="2024-01-26T00:00:00"/>
    <d v="2024-02-24T00:00:00"/>
    <x v="0"/>
    <x v="0"/>
    <n v="36677.700000000004"/>
    <x v="0"/>
    <x v="0"/>
    <x v="0"/>
  </r>
  <r>
    <n v="84218"/>
    <x v="3"/>
    <x v="2"/>
    <n v="460"/>
    <n v="80"/>
    <n v="266"/>
    <x v="3"/>
    <d v="2024-03-08T00:00:00"/>
    <d v="2024-04-12T00:00:00"/>
    <x v="0"/>
    <x v="0"/>
    <n v="122360"/>
    <x v="0"/>
    <x v="0"/>
    <x v="0"/>
  </r>
  <r>
    <n v="90360"/>
    <x v="4"/>
    <x v="0"/>
    <n v="215"/>
    <n v="100"/>
    <n v="237.64"/>
    <x v="1"/>
    <d v="2024-02-16T00:00:00"/>
    <d v="2024-03-22T00:00:00"/>
    <x v="2"/>
    <x v="0"/>
    <n v="51092.6"/>
    <x v="0"/>
    <x v="1"/>
    <x v="0"/>
  </r>
  <r>
    <n v="86721"/>
    <x v="2"/>
    <x v="1"/>
    <n v="4"/>
    <n v="50"/>
    <n v="317.31"/>
    <x v="0"/>
    <d v="2024-09-04T00:00:00"/>
    <d v="2024-10-11T00:00:00"/>
    <x v="2"/>
    <x v="1"/>
    <n v="1269.24"/>
    <x v="4"/>
    <x v="1"/>
    <x v="1"/>
  </r>
  <r>
    <n v="98509"/>
    <x v="13"/>
    <x v="3"/>
    <n v="276"/>
    <n v="100"/>
    <n v="42.74"/>
    <x v="1"/>
    <d v="2024-10-20T00:00:00"/>
    <d v="2024-11-15T00:00:00"/>
    <x v="2"/>
    <x v="0"/>
    <n v="11796.24"/>
    <x v="0"/>
    <x v="1"/>
    <x v="0"/>
  </r>
  <r>
    <n v="53527"/>
    <x v="11"/>
    <x v="4"/>
    <n v="396"/>
    <n v="150"/>
    <n v="26.73"/>
    <x v="2"/>
    <d v="2024-01-06T00:00:00"/>
    <d v="2024-02-08T00:00:00"/>
    <x v="0"/>
    <x v="0"/>
    <n v="10585.08"/>
    <x v="0"/>
    <x v="1"/>
    <x v="0"/>
  </r>
  <r>
    <n v="23979"/>
    <x v="10"/>
    <x v="2"/>
    <n v="208"/>
    <n v="40"/>
    <n v="397.61"/>
    <x v="2"/>
    <d v="2024-01-11T00:00:00"/>
    <d v="2024-02-15T00:00:00"/>
    <x v="2"/>
    <x v="0"/>
    <n v="82702.880000000005"/>
    <x v="0"/>
    <x v="0"/>
    <x v="0"/>
  </r>
  <r>
    <n v="51316"/>
    <x v="9"/>
    <x v="1"/>
    <n v="251"/>
    <n v="40"/>
    <n v="490.67"/>
    <x v="3"/>
    <d v="2024-11-27T00:00:00"/>
    <d v="2024-12-12T00:00:00"/>
    <x v="2"/>
    <x v="0"/>
    <n v="123158.17"/>
    <x v="0"/>
    <x v="0"/>
    <x v="0"/>
  </r>
  <r>
    <n v="68627"/>
    <x v="3"/>
    <x v="2"/>
    <n v="310"/>
    <n v="100"/>
    <n v="313.06"/>
    <x v="2"/>
    <d v="2024-06-02T00:00:00"/>
    <d v="2024-06-12T00:00:00"/>
    <x v="1"/>
    <x v="0"/>
    <n v="97048.6"/>
    <x v="0"/>
    <x v="0"/>
    <x v="0"/>
  </r>
  <r>
    <n v="65745"/>
    <x v="6"/>
    <x v="3"/>
    <n v="124"/>
    <n v="30"/>
    <n v="350.66"/>
    <x v="1"/>
    <d v="2024-10-25T00:00:00"/>
    <d v="2024-11-14T00:00:00"/>
    <x v="1"/>
    <x v="0"/>
    <n v="43481.840000000004"/>
    <x v="0"/>
    <x v="0"/>
    <x v="0"/>
  </r>
  <r>
    <n v="66746"/>
    <x v="13"/>
    <x v="3"/>
    <n v="7"/>
    <n v="100"/>
    <n v="360.57"/>
    <x v="3"/>
    <d v="2024-04-03T00:00:00"/>
    <d v="2024-04-08T00:00:00"/>
    <x v="1"/>
    <x v="1"/>
    <n v="2523.9899999999998"/>
    <x v="41"/>
    <x v="1"/>
    <x v="1"/>
  </r>
  <r>
    <n v="94388"/>
    <x v="1"/>
    <x v="0"/>
    <n v="241"/>
    <n v="100"/>
    <n v="428.33"/>
    <x v="1"/>
    <d v="2024-02-13T00:00:00"/>
    <d v="2024-02-26T00:00:00"/>
    <x v="0"/>
    <x v="0"/>
    <n v="103227.53"/>
    <x v="0"/>
    <x v="1"/>
    <x v="0"/>
  </r>
  <r>
    <n v="30022"/>
    <x v="1"/>
    <x v="0"/>
    <n v="155"/>
    <n v="30"/>
    <n v="403.35"/>
    <x v="0"/>
    <d v="2024-08-03T00:00:00"/>
    <d v="2024-08-09T00:00:00"/>
    <x v="2"/>
    <x v="0"/>
    <n v="62519.25"/>
    <x v="0"/>
    <x v="0"/>
    <x v="0"/>
  </r>
  <r>
    <n v="78323"/>
    <x v="6"/>
    <x v="3"/>
    <n v="376"/>
    <n v="80"/>
    <n v="243.04"/>
    <x v="3"/>
    <d v="2024-05-20T00:00:00"/>
    <d v="2024-06-03T00:00:00"/>
    <x v="2"/>
    <x v="0"/>
    <n v="91383.039999999994"/>
    <x v="0"/>
    <x v="0"/>
    <x v="0"/>
  </r>
  <r>
    <n v="95744"/>
    <x v="5"/>
    <x v="2"/>
    <n v="498"/>
    <n v="20"/>
    <n v="27.23"/>
    <x v="0"/>
    <d v="2024-04-02T00:00:00"/>
    <d v="2024-04-13T00:00:00"/>
    <x v="0"/>
    <x v="0"/>
    <n v="13560.54"/>
    <x v="0"/>
    <x v="0"/>
    <x v="0"/>
  </r>
  <r>
    <n v="63521"/>
    <x v="3"/>
    <x v="2"/>
    <n v="112"/>
    <n v="150"/>
    <n v="290.68"/>
    <x v="4"/>
    <d v="2024-07-24T00:00:00"/>
    <d v="2024-08-14T00:00:00"/>
    <x v="0"/>
    <x v="1"/>
    <n v="32556.16"/>
    <x v="42"/>
    <x v="1"/>
    <x v="1"/>
  </r>
  <r>
    <n v="25417"/>
    <x v="0"/>
    <x v="0"/>
    <n v="90"/>
    <n v="30"/>
    <n v="330.03"/>
    <x v="1"/>
    <d v="2024-04-23T00:00:00"/>
    <d v="2024-04-28T00:00:00"/>
    <x v="0"/>
    <x v="0"/>
    <n v="29702.699999999997"/>
    <x v="0"/>
    <x v="1"/>
    <x v="0"/>
  </r>
  <r>
    <n v="44681"/>
    <x v="1"/>
    <x v="0"/>
    <n v="342"/>
    <n v="30"/>
    <n v="420.71"/>
    <x v="3"/>
    <d v="2024-02-10T00:00:00"/>
    <d v="2024-02-19T00:00:00"/>
    <x v="0"/>
    <x v="0"/>
    <n v="143882.82"/>
    <x v="0"/>
    <x v="0"/>
    <x v="0"/>
  </r>
  <r>
    <n v="12871"/>
    <x v="14"/>
    <x v="4"/>
    <n v="424"/>
    <n v="80"/>
    <n v="218.53"/>
    <x v="0"/>
    <d v="2024-09-12T00:00:00"/>
    <d v="2024-09-27T00:00:00"/>
    <x v="0"/>
    <x v="0"/>
    <n v="92656.72"/>
    <x v="0"/>
    <x v="0"/>
    <x v="0"/>
  </r>
  <r>
    <n v="55607"/>
    <x v="5"/>
    <x v="2"/>
    <n v="370"/>
    <n v="40"/>
    <n v="76.19"/>
    <x v="4"/>
    <d v="2024-07-17T00:00:00"/>
    <d v="2024-07-28T00:00:00"/>
    <x v="0"/>
    <x v="0"/>
    <n v="28190.3"/>
    <x v="0"/>
    <x v="0"/>
    <x v="0"/>
  </r>
  <r>
    <n v="49464"/>
    <x v="12"/>
    <x v="0"/>
    <n v="361"/>
    <n v="50"/>
    <n v="251.28"/>
    <x v="0"/>
    <d v="2024-04-25T00:00:00"/>
    <d v="2024-05-28T00:00:00"/>
    <x v="1"/>
    <x v="0"/>
    <n v="90712.08"/>
    <x v="0"/>
    <x v="0"/>
    <x v="0"/>
  </r>
  <r>
    <n v="55095"/>
    <x v="4"/>
    <x v="0"/>
    <n v="474"/>
    <n v="50"/>
    <n v="151.13999999999999"/>
    <x v="4"/>
    <d v="2024-07-13T00:00:00"/>
    <d v="2024-08-10T00:00:00"/>
    <x v="2"/>
    <x v="0"/>
    <n v="71640.36"/>
    <x v="0"/>
    <x v="0"/>
    <x v="0"/>
  </r>
  <r>
    <n v="17415"/>
    <x v="7"/>
    <x v="3"/>
    <n v="23"/>
    <n v="30"/>
    <n v="413.27"/>
    <x v="2"/>
    <d v="2024-10-16T00:00:00"/>
    <d v="2024-11-12T00:00:00"/>
    <x v="1"/>
    <x v="1"/>
    <n v="9505.2099999999991"/>
    <x v="43"/>
    <x v="1"/>
    <x v="1"/>
  </r>
  <r>
    <n v="44148"/>
    <x v="16"/>
    <x v="3"/>
    <n v="350"/>
    <n v="100"/>
    <n v="275.62"/>
    <x v="3"/>
    <d v="2024-06-17T00:00:00"/>
    <d v="2024-06-27T00:00:00"/>
    <x v="2"/>
    <x v="0"/>
    <n v="96467"/>
    <x v="0"/>
    <x v="0"/>
    <x v="0"/>
  </r>
  <r>
    <n v="87787"/>
    <x v="16"/>
    <x v="3"/>
    <n v="211"/>
    <n v="40"/>
    <n v="441.95"/>
    <x v="2"/>
    <d v="2024-12-07T00:00:00"/>
    <d v="2024-12-15T00:00:00"/>
    <x v="2"/>
    <x v="0"/>
    <n v="93251.45"/>
    <x v="0"/>
    <x v="0"/>
    <x v="0"/>
  </r>
  <r>
    <n v="45517"/>
    <x v="3"/>
    <x v="2"/>
    <n v="419"/>
    <n v="150"/>
    <n v="210.89"/>
    <x v="4"/>
    <d v="2024-12-08T00:00:00"/>
    <d v="2025-01-11T00:00:00"/>
    <x v="0"/>
    <x v="0"/>
    <n v="88362.909999999989"/>
    <x v="0"/>
    <x v="1"/>
    <x v="0"/>
  </r>
  <r>
    <n v="37127"/>
    <x v="3"/>
    <x v="2"/>
    <n v="205"/>
    <n v="20"/>
    <n v="188.62"/>
    <x v="4"/>
    <d v="2024-02-16T00:00:00"/>
    <d v="2024-03-07T00:00:00"/>
    <x v="2"/>
    <x v="0"/>
    <n v="38667.1"/>
    <x v="0"/>
    <x v="0"/>
    <x v="0"/>
  </r>
  <r>
    <n v="40881"/>
    <x v="7"/>
    <x v="3"/>
    <n v="240"/>
    <n v="40"/>
    <n v="210.16"/>
    <x v="3"/>
    <d v="2024-07-20T00:00:00"/>
    <d v="2024-08-25T00:00:00"/>
    <x v="0"/>
    <x v="0"/>
    <n v="50438.400000000001"/>
    <x v="0"/>
    <x v="0"/>
    <x v="0"/>
  </r>
  <r>
    <n v="21156"/>
    <x v="5"/>
    <x v="2"/>
    <n v="213"/>
    <n v="20"/>
    <n v="184.05"/>
    <x v="4"/>
    <d v="2024-02-17T00:00:00"/>
    <d v="2024-03-17T00:00:00"/>
    <x v="2"/>
    <x v="0"/>
    <n v="39202.65"/>
    <x v="0"/>
    <x v="0"/>
    <x v="0"/>
  </r>
  <r>
    <n v="30583"/>
    <x v="8"/>
    <x v="1"/>
    <n v="190"/>
    <n v="20"/>
    <n v="90.18"/>
    <x v="0"/>
    <d v="2024-03-21T00:00:00"/>
    <d v="2024-04-18T00:00:00"/>
    <x v="2"/>
    <x v="0"/>
    <n v="17134.2"/>
    <x v="0"/>
    <x v="0"/>
    <x v="0"/>
  </r>
  <r>
    <n v="29873"/>
    <x v="9"/>
    <x v="1"/>
    <n v="406"/>
    <n v="30"/>
    <n v="365.85"/>
    <x v="0"/>
    <d v="2024-05-05T00:00:00"/>
    <d v="2024-05-26T00:00:00"/>
    <x v="0"/>
    <x v="0"/>
    <n v="148535.1"/>
    <x v="0"/>
    <x v="0"/>
    <x v="0"/>
  </r>
  <r>
    <n v="46176"/>
    <x v="16"/>
    <x v="3"/>
    <n v="140"/>
    <n v="100"/>
    <n v="171.13"/>
    <x v="3"/>
    <d v="2024-11-03T00:00:00"/>
    <d v="2024-11-10T00:00:00"/>
    <x v="1"/>
    <x v="0"/>
    <n v="23958.2"/>
    <x v="0"/>
    <x v="1"/>
    <x v="0"/>
  </r>
  <r>
    <n v="43919"/>
    <x v="6"/>
    <x v="3"/>
    <n v="191"/>
    <n v="20"/>
    <n v="159.43"/>
    <x v="2"/>
    <d v="2024-09-27T00:00:00"/>
    <d v="2024-11-02T00:00:00"/>
    <x v="2"/>
    <x v="0"/>
    <n v="30451.13"/>
    <x v="0"/>
    <x v="0"/>
    <x v="0"/>
  </r>
  <r>
    <n v="60445"/>
    <x v="9"/>
    <x v="1"/>
    <n v="42"/>
    <n v="50"/>
    <n v="66.569999999999993"/>
    <x v="1"/>
    <d v="2024-03-18T00:00:00"/>
    <d v="2024-04-24T00:00:00"/>
    <x v="0"/>
    <x v="1"/>
    <n v="2795.9399999999996"/>
    <x v="44"/>
    <x v="1"/>
    <x v="1"/>
  </r>
  <r>
    <n v="28624"/>
    <x v="1"/>
    <x v="0"/>
    <n v="314"/>
    <n v="80"/>
    <n v="409.48"/>
    <x v="4"/>
    <d v="2024-06-16T00:00:00"/>
    <d v="2024-07-09T00:00:00"/>
    <x v="1"/>
    <x v="0"/>
    <n v="128576.72"/>
    <x v="0"/>
    <x v="0"/>
    <x v="0"/>
  </r>
  <r>
    <n v="14986"/>
    <x v="7"/>
    <x v="3"/>
    <n v="319"/>
    <n v="100"/>
    <n v="278.58999999999997"/>
    <x v="0"/>
    <d v="2024-07-22T00:00:00"/>
    <d v="2024-08-11T00:00:00"/>
    <x v="2"/>
    <x v="0"/>
    <n v="88870.209999999992"/>
    <x v="0"/>
    <x v="0"/>
    <x v="0"/>
  </r>
  <r>
    <n v="53526"/>
    <x v="9"/>
    <x v="1"/>
    <n v="451"/>
    <n v="50"/>
    <n v="148.57"/>
    <x v="0"/>
    <d v="2024-01-22T00:00:00"/>
    <d v="2024-02-03T00:00:00"/>
    <x v="2"/>
    <x v="0"/>
    <n v="67005.069999999992"/>
    <x v="0"/>
    <x v="0"/>
    <x v="0"/>
  </r>
  <r>
    <n v="10112"/>
    <x v="3"/>
    <x v="2"/>
    <n v="209"/>
    <n v="50"/>
    <n v="338.64"/>
    <x v="2"/>
    <d v="2024-05-03T00:00:00"/>
    <d v="2024-06-09T00:00:00"/>
    <x v="2"/>
    <x v="0"/>
    <n v="70775.759999999995"/>
    <x v="0"/>
    <x v="0"/>
    <x v="0"/>
  </r>
  <r>
    <n v="20808"/>
    <x v="6"/>
    <x v="3"/>
    <n v="388"/>
    <n v="40"/>
    <n v="208.77"/>
    <x v="2"/>
    <d v="2024-04-06T00:00:00"/>
    <d v="2024-04-15T00:00:00"/>
    <x v="2"/>
    <x v="0"/>
    <n v="81002.760000000009"/>
    <x v="0"/>
    <x v="0"/>
    <x v="0"/>
  </r>
  <r>
    <n v="96741"/>
    <x v="13"/>
    <x v="3"/>
    <n v="375"/>
    <n v="40"/>
    <n v="181.15"/>
    <x v="4"/>
    <d v="2024-02-19T00:00:00"/>
    <d v="2024-03-13T00:00:00"/>
    <x v="1"/>
    <x v="0"/>
    <n v="67931.25"/>
    <x v="0"/>
    <x v="0"/>
    <x v="0"/>
  </r>
  <r>
    <n v="13765"/>
    <x v="11"/>
    <x v="4"/>
    <n v="46"/>
    <n v="150"/>
    <n v="472.5"/>
    <x v="0"/>
    <d v="2024-05-20T00:00:00"/>
    <d v="2024-06-13T00:00:00"/>
    <x v="2"/>
    <x v="1"/>
    <n v="21735"/>
    <x v="45"/>
    <x v="1"/>
    <x v="1"/>
  </r>
  <r>
    <n v="35991"/>
    <x v="7"/>
    <x v="3"/>
    <n v="403"/>
    <n v="80"/>
    <n v="166"/>
    <x v="1"/>
    <d v="2024-11-14T00:00:00"/>
    <d v="2024-11-28T00:00:00"/>
    <x v="2"/>
    <x v="0"/>
    <n v="66898"/>
    <x v="0"/>
    <x v="0"/>
    <x v="0"/>
  </r>
  <r>
    <n v="35917"/>
    <x v="13"/>
    <x v="3"/>
    <n v="16"/>
    <n v="30"/>
    <n v="485.48"/>
    <x v="3"/>
    <d v="2024-11-20T00:00:00"/>
    <d v="2024-12-22T00:00:00"/>
    <x v="0"/>
    <x v="1"/>
    <n v="7767.68"/>
    <x v="46"/>
    <x v="1"/>
    <x v="1"/>
  </r>
  <r>
    <n v="38230"/>
    <x v="11"/>
    <x v="4"/>
    <n v="467"/>
    <n v="20"/>
    <n v="106.2"/>
    <x v="0"/>
    <d v="2024-06-25T00:00:00"/>
    <d v="2024-07-11T00:00:00"/>
    <x v="1"/>
    <x v="0"/>
    <n v="49595.4"/>
    <x v="0"/>
    <x v="0"/>
    <x v="0"/>
  </r>
  <r>
    <n v="86361"/>
    <x v="11"/>
    <x v="4"/>
    <n v="344"/>
    <n v="40"/>
    <n v="137.91999999999999"/>
    <x v="1"/>
    <d v="2024-05-03T00:00:00"/>
    <d v="2024-05-31T00:00:00"/>
    <x v="1"/>
    <x v="0"/>
    <n v="47444.479999999996"/>
    <x v="0"/>
    <x v="0"/>
    <x v="0"/>
  </r>
  <r>
    <n v="74619"/>
    <x v="10"/>
    <x v="2"/>
    <n v="494"/>
    <n v="100"/>
    <n v="38.83"/>
    <x v="0"/>
    <d v="2024-02-10T00:00:00"/>
    <d v="2024-03-05T00:00:00"/>
    <x v="1"/>
    <x v="0"/>
    <n v="19182.02"/>
    <x v="0"/>
    <x v="0"/>
    <x v="0"/>
  </r>
  <r>
    <n v="11306"/>
    <x v="11"/>
    <x v="4"/>
    <n v="308"/>
    <n v="30"/>
    <n v="353.38"/>
    <x v="1"/>
    <d v="2024-05-13T00:00:00"/>
    <d v="2024-06-01T00:00:00"/>
    <x v="0"/>
    <x v="0"/>
    <n v="108841.04"/>
    <x v="0"/>
    <x v="0"/>
    <x v="0"/>
  </r>
  <r>
    <n v="50387"/>
    <x v="2"/>
    <x v="1"/>
    <n v="232"/>
    <n v="40"/>
    <n v="139.19"/>
    <x v="3"/>
    <d v="2024-09-14T00:00:00"/>
    <d v="2024-10-17T00:00:00"/>
    <x v="1"/>
    <x v="0"/>
    <n v="32292.079999999998"/>
    <x v="0"/>
    <x v="0"/>
    <x v="0"/>
  </r>
  <r>
    <n v="11813"/>
    <x v="14"/>
    <x v="4"/>
    <n v="265"/>
    <n v="80"/>
    <n v="472.64"/>
    <x v="2"/>
    <d v="2024-05-29T00:00:00"/>
    <d v="2024-06-23T00:00:00"/>
    <x v="2"/>
    <x v="0"/>
    <n v="125249.59999999999"/>
    <x v="0"/>
    <x v="0"/>
    <x v="0"/>
  </r>
  <r>
    <n v="92736"/>
    <x v="8"/>
    <x v="1"/>
    <n v="283"/>
    <n v="20"/>
    <n v="12.62"/>
    <x v="3"/>
    <d v="2024-03-08T00:00:00"/>
    <d v="2024-03-19T00:00:00"/>
    <x v="1"/>
    <x v="0"/>
    <n v="3571.4599999999996"/>
    <x v="0"/>
    <x v="0"/>
    <x v="0"/>
  </r>
  <r>
    <n v="34351"/>
    <x v="2"/>
    <x v="1"/>
    <n v="419"/>
    <n v="20"/>
    <n v="420.7"/>
    <x v="3"/>
    <d v="2024-04-15T00:00:00"/>
    <d v="2024-05-21T00:00:00"/>
    <x v="2"/>
    <x v="0"/>
    <n v="176273.3"/>
    <x v="0"/>
    <x v="0"/>
    <x v="0"/>
  </r>
  <r>
    <n v="70686"/>
    <x v="15"/>
    <x v="4"/>
    <n v="53"/>
    <n v="30"/>
    <n v="50.85"/>
    <x v="2"/>
    <d v="2024-12-06T00:00:00"/>
    <d v="2025-01-04T00:00:00"/>
    <x v="0"/>
    <x v="0"/>
    <n v="2695.05"/>
    <x v="0"/>
    <x v="1"/>
    <x v="0"/>
  </r>
  <r>
    <n v="14138"/>
    <x v="10"/>
    <x v="2"/>
    <n v="410"/>
    <n v="30"/>
    <n v="498.15"/>
    <x v="3"/>
    <d v="2024-12-13T00:00:00"/>
    <d v="2025-01-03T00:00:00"/>
    <x v="0"/>
    <x v="0"/>
    <n v="204241.5"/>
    <x v="0"/>
    <x v="0"/>
    <x v="0"/>
  </r>
  <r>
    <n v="11134"/>
    <x v="11"/>
    <x v="4"/>
    <n v="211"/>
    <n v="80"/>
    <n v="50.24"/>
    <x v="2"/>
    <d v="2024-09-01T00:00:00"/>
    <d v="2024-09-28T00:00:00"/>
    <x v="1"/>
    <x v="0"/>
    <n v="10600.640000000001"/>
    <x v="0"/>
    <x v="1"/>
    <x v="0"/>
  </r>
  <r>
    <n v="83788"/>
    <x v="8"/>
    <x v="1"/>
    <n v="365"/>
    <n v="80"/>
    <n v="43.19"/>
    <x v="1"/>
    <d v="2024-10-16T00:00:00"/>
    <d v="2024-10-31T00:00:00"/>
    <x v="1"/>
    <x v="0"/>
    <n v="15764.349999999999"/>
    <x v="0"/>
    <x v="0"/>
    <x v="0"/>
  </r>
  <r>
    <n v="36149"/>
    <x v="14"/>
    <x v="4"/>
    <n v="330"/>
    <n v="30"/>
    <n v="189.24"/>
    <x v="0"/>
    <d v="2024-05-17T00:00:00"/>
    <d v="2024-06-08T00:00:00"/>
    <x v="1"/>
    <x v="0"/>
    <n v="62449.200000000004"/>
    <x v="0"/>
    <x v="0"/>
    <x v="0"/>
  </r>
  <r>
    <n v="43458"/>
    <x v="7"/>
    <x v="3"/>
    <n v="173"/>
    <n v="40"/>
    <n v="310.31"/>
    <x v="1"/>
    <d v="2024-11-16T00:00:00"/>
    <d v="2024-12-17T00:00:00"/>
    <x v="0"/>
    <x v="0"/>
    <n v="53683.63"/>
    <x v="0"/>
    <x v="0"/>
    <x v="0"/>
  </r>
  <r>
    <n v="96664"/>
    <x v="8"/>
    <x v="1"/>
    <n v="389"/>
    <n v="40"/>
    <n v="271.47000000000003"/>
    <x v="1"/>
    <d v="2024-10-10T00:00:00"/>
    <d v="2024-11-16T00:00:00"/>
    <x v="1"/>
    <x v="0"/>
    <n v="105601.83000000002"/>
    <x v="0"/>
    <x v="0"/>
    <x v="0"/>
  </r>
  <r>
    <n v="57195"/>
    <x v="13"/>
    <x v="3"/>
    <n v="444"/>
    <n v="30"/>
    <n v="127.95"/>
    <x v="1"/>
    <d v="2024-07-06T00:00:00"/>
    <d v="2024-07-25T00:00:00"/>
    <x v="2"/>
    <x v="0"/>
    <n v="56809.8"/>
    <x v="0"/>
    <x v="0"/>
    <x v="0"/>
  </r>
  <r>
    <n v="64122"/>
    <x v="5"/>
    <x v="2"/>
    <n v="184"/>
    <n v="80"/>
    <n v="154.02000000000001"/>
    <x v="2"/>
    <d v="2024-09-12T00:00:00"/>
    <d v="2024-09-23T00:00:00"/>
    <x v="1"/>
    <x v="0"/>
    <n v="28339.68"/>
    <x v="0"/>
    <x v="1"/>
    <x v="0"/>
  </r>
  <r>
    <n v="77173"/>
    <x v="9"/>
    <x v="1"/>
    <n v="2"/>
    <n v="100"/>
    <n v="10.69"/>
    <x v="4"/>
    <d v="2024-04-30T00:00:00"/>
    <d v="2024-05-05T00:00:00"/>
    <x v="0"/>
    <x v="1"/>
    <n v="21.38"/>
    <x v="7"/>
    <x v="1"/>
    <x v="1"/>
  </r>
  <r>
    <n v="25954"/>
    <x v="16"/>
    <x v="3"/>
    <n v="201"/>
    <n v="50"/>
    <n v="333.79"/>
    <x v="0"/>
    <d v="2024-04-18T00:00:00"/>
    <d v="2024-05-12T00:00:00"/>
    <x v="0"/>
    <x v="0"/>
    <n v="67091.790000000008"/>
    <x v="0"/>
    <x v="0"/>
    <x v="0"/>
  </r>
  <r>
    <n v="81832"/>
    <x v="9"/>
    <x v="1"/>
    <n v="311"/>
    <n v="30"/>
    <n v="270.10000000000002"/>
    <x v="4"/>
    <d v="2024-10-03T00:00:00"/>
    <d v="2024-10-31T00:00:00"/>
    <x v="1"/>
    <x v="0"/>
    <n v="84001.1"/>
    <x v="0"/>
    <x v="0"/>
    <x v="0"/>
  </r>
  <r>
    <n v="40816"/>
    <x v="7"/>
    <x v="3"/>
    <n v="109"/>
    <n v="30"/>
    <n v="189.89"/>
    <x v="3"/>
    <d v="2024-11-09T00:00:00"/>
    <d v="2024-11-29T00:00:00"/>
    <x v="0"/>
    <x v="0"/>
    <n v="20698.009999999998"/>
    <x v="0"/>
    <x v="0"/>
    <x v="0"/>
  </r>
  <r>
    <n v="42854"/>
    <x v="16"/>
    <x v="3"/>
    <n v="5"/>
    <n v="40"/>
    <n v="415.29"/>
    <x v="3"/>
    <d v="2024-02-08T00:00:00"/>
    <d v="2024-03-05T00:00:00"/>
    <x v="1"/>
    <x v="1"/>
    <n v="2076.4500000000003"/>
    <x v="40"/>
    <x v="1"/>
    <x v="1"/>
  </r>
  <r>
    <n v="33199"/>
    <x v="5"/>
    <x v="2"/>
    <n v="312"/>
    <n v="150"/>
    <n v="307.22000000000003"/>
    <x v="2"/>
    <d v="2024-10-11T00:00:00"/>
    <d v="2024-11-07T00:00:00"/>
    <x v="1"/>
    <x v="0"/>
    <n v="95852.640000000014"/>
    <x v="0"/>
    <x v="1"/>
    <x v="0"/>
  </r>
  <r>
    <n v="23917"/>
    <x v="16"/>
    <x v="3"/>
    <n v="246"/>
    <n v="80"/>
    <n v="360.78"/>
    <x v="3"/>
    <d v="2024-05-13T00:00:00"/>
    <d v="2024-06-04T00:00:00"/>
    <x v="2"/>
    <x v="0"/>
    <n v="88751.87999999999"/>
    <x v="0"/>
    <x v="0"/>
    <x v="0"/>
  </r>
  <r>
    <n v="53939"/>
    <x v="2"/>
    <x v="1"/>
    <n v="234"/>
    <n v="30"/>
    <n v="441.42"/>
    <x v="1"/>
    <d v="2024-05-01T00:00:00"/>
    <d v="2024-05-15T00:00:00"/>
    <x v="0"/>
    <x v="0"/>
    <n v="103292.28"/>
    <x v="0"/>
    <x v="0"/>
    <x v="0"/>
  </r>
  <r>
    <n v="57221"/>
    <x v="15"/>
    <x v="4"/>
    <n v="205"/>
    <n v="150"/>
    <n v="33.58"/>
    <x v="2"/>
    <d v="2024-09-02T00:00:00"/>
    <d v="2024-09-25T00:00:00"/>
    <x v="1"/>
    <x v="0"/>
    <n v="6883.9"/>
    <x v="0"/>
    <x v="1"/>
    <x v="0"/>
  </r>
  <r>
    <n v="90201"/>
    <x v="16"/>
    <x v="3"/>
    <n v="174"/>
    <n v="20"/>
    <n v="217.33"/>
    <x v="1"/>
    <d v="2024-01-19T00:00:00"/>
    <d v="2024-01-26T00:00:00"/>
    <x v="0"/>
    <x v="0"/>
    <n v="37815.420000000006"/>
    <x v="0"/>
    <x v="0"/>
    <x v="0"/>
  </r>
  <r>
    <n v="20799"/>
    <x v="13"/>
    <x v="3"/>
    <n v="353"/>
    <n v="40"/>
    <n v="275.61"/>
    <x v="3"/>
    <d v="2024-04-02T00:00:00"/>
    <d v="2024-04-19T00:00:00"/>
    <x v="0"/>
    <x v="0"/>
    <n v="97290.33"/>
    <x v="0"/>
    <x v="0"/>
    <x v="0"/>
  </r>
  <r>
    <n v="71744"/>
    <x v="16"/>
    <x v="3"/>
    <n v="294"/>
    <n v="30"/>
    <n v="258.58"/>
    <x v="0"/>
    <d v="2024-09-25T00:00:00"/>
    <d v="2024-10-04T00:00:00"/>
    <x v="1"/>
    <x v="0"/>
    <n v="76022.51999999999"/>
    <x v="0"/>
    <x v="0"/>
    <x v="0"/>
  </r>
  <r>
    <n v="49082"/>
    <x v="14"/>
    <x v="4"/>
    <n v="102"/>
    <n v="80"/>
    <n v="389.36"/>
    <x v="3"/>
    <d v="2024-03-02T00:00:00"/>
    <d v="2024-03-23T00:00:00"/>
    <x v="1"/>
    <x v="0"/>
    <n v="39714.720000000001"/>
    <x v="0"/>
    <x v="1"/>
    <x v="0"/>
  </r>
  <r>
    <n v="52056"/>
    <x v="6"/>
    <x v="3"/>
    <n v="206"/>
    <n v="80"/>
    <n v="316.07"/>
    <x v="3"/>
    <d v="2024-10-08T00:00:00"/>
    <d v="2024-10-28T00:00:00"/>
    <x v="0"/>
    <x v="0"/>
    <n v="65110.42"/>
    <x v="0"/>
    <x v="1"/>
    <x v="0"/>
  </r>
  <r>
    <n v="10717"/>
    <x v="2"/>
    <x v="1"/>
    <n v="335"/>
    <n v="20"/>
    <n v="245.12"/>
    <x v="4"/>
    <d v="2024-04-27T00:00:00"/>
    <d v="2024-05-08T00:00:00"/>
    <x v="1"/>
    <x v="0"/>
    <n v="82115.199999999997"/>
    <x v="0"/>
    <x v="0"/>
    <x v="0"/>
  </r>
  <r>
    <n v="44872"/>
    <x v="5"/>
    <x v="2"/>
    <n v="424"/>
    <n v="80"/>
    <n v="244.75"/>
    <x v="1"/>
    <d v="2024-05-18T00:00:00"/>
    <d v="2024-06-21T00:00:00"/>
    <x v="1"/>
    <x v="0"/>
    <n v="103774"/>
    <x v="0"/>
    <x v="0"/>
    <x v="0"/>
  </r>
  <r>
    <n v="35307"/>
    <x v="11"/>
    <x v="4"/>
    <n v="5"/>
    <n v="50"/>
    <n v="94.95"/>
    <x v="2"/>
    <d v="2024-12-25T00:00:00"/>
    <d v="2025-01-13T00:00:00"/>
    <x v="0"/>
    <x v="1"/>
    <n v="474.75"/>
    <x v="15"/>
    <x v="1"/>
    <x v="1"/>
  </r>
  <r>
    <n v="97999"/>
    <x v="8"/>
    <x v="1"/>
    <n v="81"/>
    <n v="30"/>
    <n v="259.12"/>
    <x v="4"/>
    <d v="2024-11-30T00:00:00"/>
    <d v="2024-12-24T00:00:00"/>
    <x v="1"/>
    <x v="0"/>
    <n v="20988.720000000001"/>
    <x v="0"/>
    <x v="1"/>
    <x v="0"/>
  </r>
  <r>
    <n v="32010"/>
    <x v="14"/>
    <x v="4"/>
    <n v="322"/>
    <n v="40"/>
    <n v="39.65"/>
    <x v="2"/>
    <d v="2024-07-24T00:00:00"/>
    <d v="2024-08-01T00:00:00"/>
    <x v="1"/>
    <x v="0"/>
    <n v="12767.3"/>
    <x v="0"/>
    <x v="0"/>
    <x v="0"/>
  </r>
  <r>
    <n v="24683"/>
    <x v="15"/>
    <x v="4"/>
    <n v="106"/>
    <n v="40"/>
    <n v="192.72"/>
    <x v="2"/>
    <d v="2024-03-02T00:00:00"/>
    <d v="2024-03-15T00:00:00"/>
    <x v="2"/>
    <x v="0"/>
    <n v="20428.32"/>
    <x v="0"/>
    <x v="1"/>
    <x v="0"/>
  </r>
  <r>
    <n v="21577"/>
    <x v="7"/>
    <x v="3"/>
    <n v="206"/>
    <n v="20"/>
    <n v="292.60000000000002"/>
    <x v="2"/>
    <d v="2024-07-19T00:00:00"/>
    <d v="2024-08-24T00:00:00"/>
    <x v="0"/>
    <x v="0"/>
    <n v="60275.600000000006"/>
    <x v="0"/>
    <x v="0"/>
    <x v="0"/>
  </r>
  <r>
    <n v="45710"/>
    <x v="10"/>
    <x v="2"/>
    <n v="210"/>
    <n v="50"/>
    <n v="372.42"/>
    <x v="2"/>
    <d v="2024-03-11T00:00:00"/>
    <d v="2024-04-12T00:00:00"/>
    <x v="2"/>
    <x v="0"/>
    <n v="78208.2"/>
    <x v="0"/>
    <x v="0"/>
    <x v="0"/>
  </r>
  <r>
    <n v="76025"/>
    <x v="13"/>
    <x v="3"/>
    <n v="400"/>
    <n v="150"/>
    <n v="304.68"/>
    <x v="4"/>
    <d v="2024-10-03T00:00:00"/>
    <d v="2024-11-02T00:00:00"/>
    <x v="0"/>
    <x v="0"/>
    <n v="121872"/>
    <x v="0"/>
    <x v="1"/>
    <x v="0"/>
  </r>
  <r>
    <n v="26999"/>
    <x v="11"/>
    <x v="4"/>
    <n v="444"/>
    <n v="80"/>
    <n v="357.82"/>
    <x v="0"/>
    <d v="2024-01-16T00:00:00"/>
    <d v="2024-01-28T00:00:00"/>
    <x v="0"/>
    <x v="0"/>
    <n v="158872.07999999999"/>
    <x v="0"/>
    <x v="0"/>
    <x v="0"/>
  </r>
  <r>
    <n v="31839"/>
    <x v="6"/>
    <x v="3"/>
    <n v="385"/>
    <n v="100"/>
    <n v="434.98"/>
    <x v="3"/>
    <d v="2024-05-17T00:00:00"/>
    <d v="2024-06-01T00:00:00"/>
    <x v="2"/>
    <x v="0"/>
    <n v="167467.30000000002"/>
    <x v="0"/>
    <x v="0"/>
    <x v="0"/>
  </r>
  <r>
    <n v="26767"/>
    <x v="11"/>
    <x v="4"/>
    <n v="395"/>
    <n v="40"/>
    <n v="411.81"/>
    <x v="3"/>
    <d v="2024-05-25T00:00:00"/>
    <d v="2024-06-30T00:00:00"/>
    <x v="1"/>
    <x v="0"/>
    <n v="162664.95000000001"/>
    <x v="0"/>
    <x v="0"/>
    <x v="0"/>
  </r>
  <r>
    <n v="47019"/>
    <x v="5"/>
    <x v="2"/>
    <n v="450"/>
    <n v="100"/>
    <n v="116.4"/>
    <x v="4"/>
    <d v="2024-06-21T00:00:00"/>
    <d v="2024-07-27T00:00:00"/>
    <x v="2"/>
    <x v="0"/>
    <n v="52380"/>
    <x v="0"/>
    <x v="0"/>
    <x v="0"/>
  </r>
  <r>
    <n v="34031"/>
    <x v="6"/>
    <x v="3"/>
    <n v="355"/>
    <n v="150"/>
    <n v="135.99"/>
    <x v="2"/>
    <d v="2024-07-25T00:00:00"/>
    <d v="2024-08-02T00:00:00"/>
    <x v="2"/>
    <x v="0"/>
    <n v="48276.450000000004"/>
    <x v="0"/>
    <x v="1"/>
    <x v="0"/>
  </r>
  <r>
    <n v="76629"/>
    <x v="7"/>
    <x v="3"/>
    <n v="203"/>
    <n v="20"/>
    <n v="219.01"/>
    <x v="4"/>
    <d v="2024-09-13T00:00:00"/>
    <d v="2024-10-09T00:00:00"/>
    <x v="0"/>
    <x v="0"/>
    <n v="44459.03"/>
    <x v="0"/>
    <x v="0"/>
    <x v="0"/>
  </r>
  <r>
    <n v="12103"/>
    <x v="3"/>
    <x v="2"/>
    <n v="4"/>
    <n v="50"/>
    <n v="24.29"/>
    <x v="0"/>
    <d v="2024-06-26T00:00:00"/>
    <d v="2024-07-06T00:00:00"/>
    <x v="1"/>
    <x v="1"/>
    <n v="97.16"/>
    <x v="4"/>
    <x v="1"/>
    <x v="1"/>
  </r>
  <r>
    <n v="77914"/>
    <x v="6"/>
    <x v="3"/>
    <n v="103"/>
    <n v="80"/>
    <n v="413.58"/>
    <x v="3"/>
    <d v="2024-09-14T00:00:00"/>
    <d v="2024-09-26T00:00:00"/>
    <x v="2"/>
    <x v="0"/>
    <n v="42598.74"/>
    <x v="0"/>
    <x v="1"/>
    <x v="0"/>
  </r>
  <r>
    <n v="84842"/>
    <x v="7"/>
    <x v="3"/>
    <n v="37"/>
    <n v="40"/>
    <n v="499.45"/>
    <x v="4"/>
    <d v="2024-10-25T00:00:00"/>
    <d v="2024-11-29T00:00:00"/>
    <x v="2"/>
    <x v="1"/>
    <n v="18479.649999999998"/>
    <x v="47"/>
    <x v="1"/>
    <x v="1"/>
  </r>
  <r>
    <n v="73344"/>
    <x v="10"/>
    <x v="2"/>
    <n v="346"/>
    <n v="40"/>
    <n v="287.73"/>
    <x v="0"/>
    <d v="2024-09-09T00:00:00"/>
    <d v="2024-09-26T00:00:00"/>
    <x v="1"/>
    <x v="0"/>
    <n v="99554.58"/>
    <x v="0"/>
    <x v="0"/>
    <x v="0"/>
  </r>
  <r>
    <n v="42933"/>
    <x v="10"/>
    <x v="2"/>
    <n v="498"/>
    <n v="100"/>
    <n v="285.26"/>
    <x v="1"/>
    <d v="2024-10-30T00:00:00"/>
    <d v="2024-12-08T00:00:00"/>
    <x v="0"/>
    <x v="0"/>
    <n v="142059.47999999998"/>
    <x v="0"/>
    <x v="0"/>
    <x v="0"/>
  </r>
  <r>
    <n v="56287"/>
    <x v="1"/>
    <x v="0"/>
    <n v="182"/>
    <n v="150"/>
    <n v="258.26"/>
    <x v="4"/>
    <d v="2024-12-20T00:00:00"/>
    <d v="2024-12-27T00:00:00"/>
    <x v="0"/>
    <x v="0"/>
    <n v="47003.32"/>
    <x v="0"/>
    <x v="1"/>
    <x v="0"/>
  </r>
  <r>
    <n v="20922"/>
    <x v="13"/>
    <x v="3"/>
    <n v="338"/>
    <n v="20"/>
    <n v="39.32"/>
    <x v="1"/>
    <d v="2024-01-29T00:00:00"/>
    <d v="2024-02-21T00:00:00"/>
    <x v="2"/>
    <x v="0"/>
    <n v="13290.16"/>
    <x v="0"/>
    <x v="0"/>
    <x v="0"/>
  </r>
  <r>
    <n v="43418"/>
    <x v="6"/>
    <x v="3"/>
    <n v="152"/>
    <n v="50"/>
    <n v="286.89"/>
    <x v="1"/>
    <d v="2024-12-08T00:00:00"/>
    <d v="2025-01-05T00:00:00"/>
    <x v="1"/>
    <x v="0"/>
    <n v="43607.28"/>
    <x v="0"/>
    <x v="0"/>
    <x v="0"/>
  </r>
  <r>
    <n v="40257"/>
    <x v="0"/>
    <x v="0"/>
    <n v="190"/>
    <n v="40"/>
    <n v="237.3"/>
    <x v="2"/>
    <d v="2024-05-28T00:00:00"/>
    <d v="2024-06-13T00:00:00"/>
    <x v="2"/>
    <x v="0"/>
    <n v="45087"/>
    <x v="0"/>
    <x v="0"/>
    <x v="0"/>
  </r>
  <r>
    <n v="40908"/>
    <x v="2"/>
    <x v="1"/>
    <n v="467"/>
    <n v="100"/>
    <n v="298.61"/>
    <x v="1"/>
    <d v="2024-07-21T00:00:00"/>
    <d v="2024-08-26T00:00:00"/>
    <x v="1"/>
    <x v="0"/>
    <n v="139450.87"/>
    <x v="0"/>
    <x v="0"/>
    <x v="0"/>
  </r>
  <r>
    <n v="88824"/>
    <x v="15"/>
    <x v="4"/>
    <n v="74"/>
    <n v="80"/>
    <n v="317.66000000000003"/>
    <x v="1"/>
    <d v="2024-12-08T00:00:00"/>
    <d v="2025-01-06T00:00:00"/>
    <x v="2"/>
    <x v="1"/>
    <n v="23506.84"/>
    <x v="48"/>
    <x v="1"/>
    <x v="1"/>
  </r>
  <r>
    <n v="71845"/>
    <x v="10"/>
    <x v="2"/>
    <n v="63"/>
    <n v="150"/>
    <n v="301.64999999999998"/>
    <x v="1"/>
    <d v="2024-05-22T00:00:00"/>
    <d v="2024-06-07T00:00:00"/>
    <x v="1"/>
    <x v="1"/>
    <n v="19003.949999999997"/>
    <x v="49"/>
    <x v="1"/>
    <x v="1"/>
  </r>
  <r>
    <n v="84102"/>
    <x v="8"/>
    <x v="1"/>
    <n v="429"/>
    <n v="100"/>
    <n v="35"/>
    <x v="0"/>
    <d v="2024-04-21T00:00:00"/>
    <d v="2024-05-28T00:00:00"/>
    <x v="1"/>
    <x v="0"/>
    <n v="15015"/>
    <x v="0"/>
    <x v="0"/>
    <x v="0"/>
  </r>
  <r>
    <n v="13255"/>
    <x v="1"/>
    <x v="0"/>
    <n v="117"/>
    <n v="50"/>
    <n v="480.66"/>
    <x v="1"/>
    <d v="2024-05-10T00:00:00"/>
    <d v="2024-06-11T00:00:00"/>
    <x v="2"/>
    <x v="0"/>
    <n v="56237.22"/>
    <x v="0"/>
    <x v="1"/>
    <x v="0"/>
  </r>
  <r>
    <n v="34519"/>
    <x v="16"/>
    <x v="3"/>
    <n v="321"/>
    <n v="80"/>
    <n v="417.73"/>
    <x v="2"/>
    <d v="2024-11-17T00:00:00"/>
    <d v="2024-12-17T00:00:00"/>
    <x v="1"/>
    <x v="0"/>
    <n v="134091.33000000002"/>
    <x v="0"/>
    <x v="0"/>
    <x v="0"/>
  </r>
  <r>
    <n v="49350"/>
    <x v="1"/>
    <x v="0"/>
    <n v="28"/>
    <n v="30"/>
    <n v="46.86"/>
    <x v="0"/>
    <d v="2024-05-07T00:00:00"/>
    <d v="2024-05-31T00:00:00"/>
    <x v="1"/>
    <x v="1"/>
    <n v="1312.08"/>
    <x v="6"/>
    <x v="1"/>
    <x v="1"/>
  </r>
  <r>
    <n v="74418"/>
    <x v="6"/>
    <x v="3"/>
    <n v="238"/>
    <n v="40"/>
    <n v="370.03"/>
    <x v="0"/>
    <d v="2024-03-28T00:00:00"/>
    <d v="2024-04-10T00:00:00"/>
    <x v="0"/>
    <x v="0"/>
    <n v="88067.14"/>
    <x v="0"/>
    <x v="0"/>
    <x v="0"/>
  </r>
  <r>
    <n v="37230"/>
    <x v="14"/>
    <x v="4"/>
    <n v="238"/>
    <n v="150"/>
    <n v="486.82"/>
    <x v="4"/>
    <d v="2024-09-20T00:00:00"/>
    <d v="2024-10-09T00:00:00"/>
    <x v="2"/>
    <x v="0"/>
    <n v="115863.16"/>
    <x v="0"/>
    <x v="1"/>
    <x v="0"/>
  </r>
  <r>
    <n v="97954"/>
    <x v="1"/>
    <x v="0"/>
    <n v="230"/>
    <n v="80"/>
    <n v="487.79"/>
    <x v="0"/>
    <d v="2024-09-29T00:00:00"/>
    <d v="2024-11-02T00:00:00"/>
    <x v="2"/>
    <x v="0"/>
    <n v="112191.70000000001"/>
    <x v="0"/>
    <x v="1"/>
    <x v="0"/>
  </r>
  <r>
    <n v="55619"/>
    <x v="15"/>
    <x v="4"/>
    <n v="363"/>
    <n v="30"/>
    <n v="118.54"/>
    <x v="4"/>
    <d v="2024-10-02T00:00:00"/>
    <d v="2024-10-30T00:00:00"/>
    <x v="1"/>
    <x v="0"/>
    <n v="43030.020000000004"/>
    <x v="0"/>
    <x v="0"/>
    <x v="0"/>
  </r>
  <r>
    <n v="35479"/>
    <x v="13"/>
    <x v="3"/>
    <n v="295"/>
    <n v="50"/>
    <n v="142.79"/>
    <x v="4"/>
    <d v="2024-12-25T00:00:00"/>
    <d v="2025-01-09T00:00:00"/>
    <x v="2"/>
    <x v="0"/>
    <n v="42123.049999999996"/>
    <x v="0"/>
    <x v="0"/>
    <x v="0"/>
  </r>
  <r>
    <n v="26351"/>
    <x v="4"/>
    <x v="0"/>
    <n v="38"/>
    <n v="50"/>
    <n v="180.88"/>
    <x v="2"/>
    <d v="2024-05-04T00:00:00"/>
    <d v="2024-05-21T00:00:00"/>
    <x v="0"/>
    <x v="1"/>
    <n v="6873.44"/>
    <x v="50"/>
    <x v="1"/>
    <x v="1"/>
  </r>
  <r>
    <n v="87694"/>
    <x v="11"/>
    <x v="4"/>
    <n v="3"/>
    <n v="150"/>
    <n v="389.52"/>
    <x v="1"/>
    <d v="2024-06-14T00:00:00"/>
    <d v="2024-07-12T00:00:00"/>
    <x v="1"/>
    <x v="1"/>
    <n v="1168.56"/>
    <x v="51"/>
    <x v="1"/>
    <x v="1"/>
  </r>
  <r>
    <n v="33906"/>
    <x v="5"/>
    <x v="2"/>
    <n v="95"/>
    <n v="100"/>
    <n v="72.89"/>
    <x v="2"/>
    <d v="2024-09-22T00:00:00"/>
    <d v="2024-10-20T00:00:00"/>
    <x v="2"/>
    <x v="1"/>
    <n v="6924.55"/>
    <x v="18"/>
    <x v="1"/>
    <x v="1"/>
  </r>
  <r>
    <n v="80744"/>
    <x v="8"/>
    <x v="1"/>
    <n v="246"/>
    <n v="150"/>
    <n v="156.69999999999999"/>
    <x v="1"/>
    <d v="2024-11-08T00:00:00"/>
    <d v="2024-12-16T00:00:00"/>
    <x v="1"/>
    <x v="0"/>
    <n v="38548.199999999997"/>
    <x v="0"/>
    <x v="1"/>
    <x v="0"/>
  </r>
  <r>
    <n v="53856"/>
    <x v="1"/>
    <x v="0"/>
    <n v="400"/>
    <n v="150"/>
    <n v="103.63"/>
    <x v="3"/>
    <d v="2024-11-14T00:00:00"/>
    <d v="2024-12-01T00:00:00"/>
    <x v="2"/>
    <x v="0"/>
    <n v="41452"/>
    <x v="0"/>
    <x v="1"/>
    <x v="0"/>
  </r>
  <r>
    <n v="16587"/>
    <x v="10"/>
    <x v="2"/>
    <n v="81"/>
    <n v="80"/>
    <n v="372.11"/>
    <x v="3"/>
    <d v="2024-11-27T00:00:00"/>
    <d v="2024-12-20T00:00:00"/>
    <x v="1"/>
    <x v="0"/>
    <n v="30140.91"/>
    <x v="0"/>
    <x v="1"/>
    <x v="0"/>
  </r>
  <r>
    <n v="77568"/>
    <x v="15"/>
    <x v="4"/>
    <n v="294"/>
    <n v="50"/>
    <n v="210.99"/>
    <x v="4"/>
    <d v="2024-08-11T00:00:00"/>
    <d v="2024-08-28T00:00:00"/>
    <x v="2"/>
    <x v="0"/>
    <n v="62031.060000000005"/>
    <x v="0"/>
    <x v="0"/>
    <x v="0"/>
  </r>
  <r>
    <n v="98059"/>
    <x v="10"/>
    <x v="2"/>
    <n v="187"/>
    <n v="30"/>
    <n v="435.46"/>
    <x v="3"/>
    <d v="2024-11-05T00:00:00"/>
    <d v="2024-11-13T00:00:00"/>
    <x v="0"/>
    <x v="0"/>
    <n v="81431.01999999999"/>
    <x v="0"/>
    <x v="0"/>
    <x v="0"/>
  </r>
  <r>
    <n v="64722"/>
    <x v="5"/>
    <x v="2"/>
    <n v="190"/>
    <n v="100"/>
    <n v="428.08"/>
    <x v="2"/>
    <d v="2024-02-22T00:00:00"/>
    <d v="2024-03-27T00:00:00"/>
    <x v="1"/>
    <x v="0"/>
    <n v="81335.199999999997"/>
    <x v="0"/>
    <x v="1"/>
    <x v="0"/>
  </r>
  <r>
    <n v="73293"/>
    <x v="13"/>
    <x v="3"/>
    <n v="225"/>
    <n v="100"/>
    <n v="303.91000000000003"/>
    <x v="3"/>
    <d v="2024-07-18T00:00:00"/>
    <d v="2024-07-30T00:00:00"/>
    <x v="2"/>
    <x v="0"/>
    <n v="68379.75"/>
    <x v="0"/>
    <x v="1"/>
    <x v="0"/>
  </r>
  <r>
    <n v="59500"/>
    <x v="5"/>
    <x v="2"/>
    <n v="386"/>
    <n v="40"/>
    <n v="172.05"/>
    <x v="4"/>
    <d v="2024-11-10T00:00:00"/>
    <d v="2024-12-15T00:00:00"/>
    <x v="2"/>
    <x v="0"/>
    <n v="66411.3"/>
    <x v="0"/>
    <x v="0"/>
    <x v="0"/>
  </r>
  <r>
    <n v="29942"/>
    <x v="0"/>
    <x v="0"/>
    <n v="126"/>
    <n v="20"/>
    <n v="130.06"/>
    <x v="2"/>
    <d v="2024-07-31T00:00:00"/>
    <d v="2024-08-24T00:00:00"/>
    <x v="0"/>
    <x v="0"/>
    <n v="16387.560000000001"/>
    <x v="0"/>
    <x v="0"/>
    <x v="0"/>
  </r>
  <r>
    <n v="52933"/>
    <x v="6"/>
    <x v="3"/>
    <n v="425"/>
    <n v="30"/>
    <n v="31.49"/>
    <x v="2"/>
    <d v="2024-07-23T00:00:00"/>
    <d v="2024-08-13T00:00:00"/>
    <x v="0"/>
    <x v="0"/>
    <n v="13383.25"/>
    <x v="0"/>
    <x v="0"/>
    <x v="0"/>
  </r>
  <r>
    <n v="96124"/>
    <x v="9"/>
    <x v="1"/>
    <n v="460"/>
    <n v="20"/>
    <n v="150.5"/>
    <x v="0"/>
    <d v="2024-11-23T00:00:00"/>
    <d v="2024-12-24T00:00:00"/>
    <x v="2"/>
    <x v="0"/>
    <n v="69230"/>
    <x v="0"/>
    <x v="0"/>
    <x v="0"/>
  </r>
  <r>
    <n v="92806"/>
    <x v="10"/>
    <x v="2"/>
    <n v="422"/>
    <n v="80"/>
    <n v="235.82"/>
    <x v="1"/>
    <d v="2024-07-07T00:00:00"/>
    <d v="2024-07-27T00:00:00"/>
    <x v="2"/>
    <x v="0"/>
    <n v="99516.04"/>
    <x v="0"/>
    <x v="0"/>
    <x v="0"/>
  </r>
  <r>
    <n v="43885"/>
    <x v="15"/>
    <x v="4"/>
    <n v="400"/>
    <n v="100"/>
    <n v="499.78"/>
    <x v="1"/>
    <d v="2024-04-05T00:00:00"/>
    <d v="2024-05-08T00:00:00"/>
    <x v="0"/>
    <x v="0"/>
    <n v="199912"/>
    <x v="0"/>
    <x v="0"/>
    <x v="0"/>
  </r>
  <r>
    <n v="82307"/>
    <x v="10"/>
    <x v="2"/>
    <n v="93"/>
    <n v="80"/>
    <n v="27.5"/>
    <x v="3"/>
    <d v="2024-12-02T00:00:00"/>
    <d v="2024-12-25T00:00:00"/>
    <x v="2"/>
    <x v="0"/>
    <n v="2557.5"/>
    <x v="0"/>
    <x v="1"/>
    <x v="0"/>
  </r>
  <r>
    <n v="44485"/>
    <x v="12"/>
    <x v="0"/>
    <n v="52"/>
    <n v="150"/>
    <n v="315.02999999999997"/>
    <x v="3"/>
    <d v="2024-11-08T00:00:00"/>
    <d v="2024-11-21T00:00:00"/>
    <x v="1"/>
    <x v="1"/>
    <n v="16381.559999999998"/>
    <x v="7"/>
    <x v="1"/>
    <x v="1"/>
  </r>
  <r>
    <n v="29692"/>
    <x v="5"/>
    <x v="2"/>
    <n v="207"/>
    <n v="20"/>
    <n v="171.32"/>
    <x v="3"/>
    <d v="2024-05-19T00:00:00"/>
    <d v="2024-06-25T00:00:00"/>
    <x v="0"/>
    <x v="0"/>
    <n v="35463.24"/>
    <x v="0"/>
    <x v="0"/>
    <x v="0"/>
  </r>
  <r>
    <n v="70006"/>
    <x v="5"/>
    <x v="2"/>
    <n v="267"/>
    <n v="20"/>
    <n v="307.33"/>
    <x v="0"/>
    <d v="2024-02-11T00:00:00"/>
    <d v="2024-02-26T00:00:00"/>
    <x v="1"/>
    <x v="0"/>
    <n v="82057.11"/>
    <x v="0"/>
    <x v="0"/>
    <x v="0"/>
  </r>
  <r>
    <n v="85319"/>
    <x v="8"/>
    <x v="1"/>
    <n v="415"/>
    <n v="30"/>
    <n v="340.31"/>
    <x v="1"/>
    <d v="2024-12-06T00:00:00"/>
    <d v="2025-01-02T00:00:00"/>
    <x v="2"/>
    <x v="0"/>
    <n v="141228.65"/>
    <x v="0"/>
    <x v="0"/>
    <x v="0"/>
  </r>
  <r>
    <n v="23682"/>
    <x v="16"/>
    <x v="3"/>
    <n v="191"/>
    <n v="40"/>
    <n v="264.74"/>
    <x v="0"/>
    <d v="2024-08-20T00:00:00"/>
    <d v="2024-09-28T00:00:00"/>
    <x v="0"/>
    <x v="0"/>
    <n v="50565.340000000004"/>
    <x v="0"/>
    <x v="0"/>
    <x v="0"/>
  </r>
  <r>
    <n v="20234"/>
    <x v="6"/>
    <x v="3"/>
    <n v="449"/>
    <n v="150"/>
    <n v="25.54"/>
    <x v="3"/>
    <d v="2024-12-24T00:00:00"/>
    <d v="2025-01-25T00:00:00"/>
    <x v="2"/>
    <x v="0"/>
    <n v="11467.46"/>
    <x v="0"/>
    <x v="1"/>
    <x v="0"/>
  </r>
  <r>
    <n v="54757"/>
    <x v="5"/>
    <x v="2"/>
    <n v="27"/>
    <n v="30"/>
    <n v="311.70999999999998"/>
    <x v="1"/>
    <d v="2024-10-19T00:00:00"/>
    <d v="2024-10-27T00:00:00"/>
    <x v="0"/>
    <x v="1"/>
    <n v="8416.17"/>
    <x v="47"/>
    <x v="1"/>
    <x v="1"/>
  </r>
  <r>
    <n v="97225"/>
    <x v="5"/>
    <x v="2"/>
    <n v="268"/>
    <n v="50"/>
    <n v="340.67"/>
    <x v="2"/>
    <d v="2024-04-14T00:00:00"/>
    <d v="2024-05-07T00:00:00"/>
    <x v="1"/>
    <x v="0"/>
    <n v="91299.56"/>
    <x v="0"/>
    <x v="0"/>
    <x v="0"/>
  </r>
  <r>
    <n v="23255"/>
    <x v="10"/>
    <x v="2"/>
    <n v="425"/>
    <n v="30"/>
    <n v="495.89"/>
    <x v="1"/>
    <d v="2024-04-06T00:00:00"/>
    <d v="2024-04-22T00:00:00"/>
    <x v="2"/>
    <x v="0"/>
    <n v="210753.25"/>
    <x v="0"/>
    <x v="0"/>
    <x v="0"/>
  </r>
  <r>
    <n v="98535"/>
    <x v="12"/>
    <x v="0"/>
    <n v="136"/>
    <n v="150"/>
    <n v="85.58"/>
    <x v="4"/>
    <d v="2024-03-16T00:00:00"/>
    <d v="2024-04-20T00:00:00"/>
    <x v="0"/>
    <x v="1"/>
    <n v="11638.88"/>
    <x v="46"/>
    <x v="1"/>
    <x v="1"/>
  </r>
  <r>
    <n v="54041"/>
    <x v="15"/>
    <x v="4"/>
    <n v="249"/>
    <n v="100"/>
    <n v="34.75"/>
    <x v="0"/>
    <d v="2024-03-13T00:00:00"/>
    <d v="2024-04-12T00:00:00"/>
    <x v="1"/>
    <x v="0"/>
    <n v="8652.75"/>
    <x v="0"/>
    <x v="1"/>
    <x v="0"/>
  </r>
  <r>
    <n v="71899"/>
    <x v="6"/>
    <x v="3"/>
    <n v="441"/>
    <n v="40"/>
    <n v="32.520000000000003"/>
    <x v="3"/>
    <d v="2024-09-27T00:00:00"/>
    <d v="2024-11-05T00:00:00"/>
    <x v="0"/>
    <x v="0"/>
    <n v="14341.320000000002"/>
    <x v="0"/>
    <x v="0"/>
    <x v="0"/>
  </r>
  <r>
    <n v="30566"/>
    <x v="4"/>
    <x v="0"/>
    <n v="174"/>
    <n v="30"/>
    <n v="428.79"/>
    <x v="3"/>
    <d v="2024-12-05T00:00:00"/>
    <d v="2024-12-21T00:00:00"/>
    <x v="2"/>
    <x v="0"/>
    <n v="74609.460000000006"/>
    <x v="0"/>
    <x v="0"/>
    <x v="0"/>
  </r>
  <r>
    <n v="23780"/>
    <x v="2"/>
    <x v="1"/>
    <n v="157"/>
    <n v="40"/>
    <n v="174.34"/>
    <x v="4"/>
    <d v="2024-12-05T00:00:00"/>
    <d v="2024-12-31T00:00:00"/>
    <x v="0"/>
    <x v="0"/>
    <n v="27371.38"/>
    <x v="0"/>
    <x v="0"/>
    <x v="0"/>
  </r>
  <r>
    <n v="41508"/>
    <x v="4"/>
    <x v="0"/>
    <n v="252"/>
    <n v="150"/>
    <n v="475.2"/>
    <x v="3"/>
    <d v="2024-10-28T00:00:00"/>
    <d v="2024-11-26T00:00:00"/>
    <x v="2"/>
    <x v="0"/>
    <n v="119750.39999999999"/>
    <x v="0"/>
    <x v="1"/>
    <x v="0"/>
  </r>
  <r>
    <n v="11987"/>
    <x v="13"/>
    <x v="3"/>
    <n v="112"/>
    <n v="40"/>
    <n v="175.26"/>
    <x v="0"/>
    <d v="2024-10-29T00:00:00"/>
    <d v="2024-11-25T00:00:00"/>
    <x v="2"/>
    <x v="0"/>
    <n v="19629.12"/>
    <x v="0"/>
    <x v="1"/>
    <x v="0"/>
  </r>
  <r>
    <n v="66561"/>
    <x v="7"/>
    <x v="3"/>
    <n v="226"/>
    <n v="100"/>
    <n v="263.95999999999998"/>
    <x v="1"/>
    <d v="2024-07-10T00:00:00"/>
    <d v="2024-07-17T00:00:00"/>
    <x v="0"/>
    <x v="0"/>
    <n v="59654.959999999992"/>
    <x v="0"/>
    <x v="1"/>
    <x v="0"/>
  </r>
  <r>
    <n v="65161"/>
    <x v="0"/>
    <x v="0"/>
    <n v="199"/>
    <n v="150"/>
    <n v="130.69999999999999"/>
    <x v="4"/>
    <d v="2024-07-10T00:00:00"/>
    <d v="2024-07-19T00:00:00"/>
    <x v="0"/>
    <x v="0"/>
    <n v="26009.3"/>
    <x v="0"/>
    <x v="1"/>
    <x v="0"/>
  </r>
  <r>
    <n v="40266"/>
    <x v="7"/>
    <x v="3"/>
    <n v="442"/>
    <n v="80"/>
    <n v="294.61"/>
    <x v="1"/>
    <d v="2024-07-15T00:00:00"/>
    <d v="2024-07-28T00:00:00"/>
    <x v="0"/>
    <x v="0"/>
    <n v="130217.62000000001"/>
    <x v="0"/>
    <x v="0"/>
    <x v="0"/>
  </r>
  <r>
    <n v="20956"/>
    <x v="12"/>
    <x v="0"/>
    <n v="29"/>
    <n v="40"/>
    <n v="268.48"/>
    <x v="0"/>
    <d v="2024-11-27T00:00:00"/>
    <d v="2024-12-27T00:00:00"/>
    <x v="1"/>
    <x v="1"/>
    <n v="7785.92"/>
    <x v="52"/>
    <x v="1"/>
    <x v="1"/>
  </r>
  <r>
    <n v="41417"/>
    <x v="16"/>
    <x v="3"/>
    <n v="437"/>
    <n v="50"/>
    <n v="491.87"/>
    <x v="4"/>
    <d v="2024-04-12T00:00:00"/>
    <d v="2024-05-17T00:00:00"/>
    <x v="1"/>
    <x v="0"/>
    <n v="214947.19"/>
    <x v="0"/>
    <x v="0"/>
    <x v="0"/>
  </r>
  <r>
    <n v="95824"/>
    <x v="15"/>
    <x v="4"/>
    <n v="30"/>
    <n v="50"/>
    <n v="18.489999999999998"/>
    <x v="3"/>
    <d v="2024-10-04T00:00:00"/>
    <d v="2024-10-09T00:00:00"/>
    <x v="1"/>
    <x v="1"/>
    <n v="554.69999999999993"/>
    <x v="53"/>
    <x v="1"/>
    <x v="1"/>
  </r>
  <r>
    <n v="93948"/>
    <x v="11"/>
    <x v="4"/>
    <n v="425"/>
    <n v="80"/>
    <n v="373.86"/>
    <x v="3"/>
    <d v="2024-01-22T00:00:00"/>
    <d v="2024-03-01T00:00:00"/>
    <x v="0"/>
    <x v="0"/>
    <n v="158890.5"/>
    <x v="0"/>
    <x v="0"/>
    <x v="0"/>
  </r>
  <r>
    <n v="71602"/>
    <x v="14"/>
    <x v="4"/>
    <n v="144"/>
    <n v="100"/>
    <n v="236.01"/>
    <x v="4"/>
    <d v="2024-03-18T00:00:00"/>
    <d v="2024-03-28T00:00:00"/>
    <x v="1"/>
    <x v="0"/>
    <n v="33985.440000000002"/>
    <x v="0"/>
    <x v="1"/>
    <x v="0"/>
  </r>
  <r>
    <n v="23269"/>
    <x v="6"/>
    <x v="3"/>
    <n v="268"/>
    <n v="20"/>
    <n v="141.5"/>
    <x v="1"/>
    <d v="2024-06-11T00:00:00"/>
    <d v="2024-06-21T00:00:00"/>
    <x v="0"/>
    <x v="0"/>
    <n v="37922"/>
    <x v="0"/>
    <x v="0"/>
    <x v="0"/>
  </r>
  <r>
    <n v="78154"/>
    <x v="2"/>
    <x v="1"/>
    <n v="25"/>
    <n v="150"/>
    <n v="240.42"/>
    <x v="1"/>
    <d v="2024-01-20T00:00:00"/>
    <d v="2024-01-30T00:00:00"/>
    <x v="2"/>
    <x v="1"/>
    <n v="6010.5"/>
    <x v="54"/>
    <x v="1"/>
    <x v="1"/>
  </r>
  <r>
    <n v="22306"/>
    <x v="0"/>
    <x v="0"/>
    <n v="248"/>
    <n v="100"/>
    <n v="423.21"/>
    <x v="0"/>
    <d v="2024-02-13T00:00:00"/>
    <d v="2024-03-03T00:00:00"/>
    <x v="1"/>
    <x v="0"/>
    <n v="104956.08"/>
    <x v="0"/>
    <x v="1"/>
    <x v="0"/>
  </r>
  <r>
    <n v="50863"/>
    <x v="12"/>
    <x v="0"/>
    <n v="336"/>
    <n v="40"/>
    <n v="180.56"/>
    <x v="1"/>
    <d v="2024-04-09T00:00:00"/>
    <d v="2024-05-18T00:00:00"/>
    <x v="0"/>
    <x v="0"/>
    <n v="60668.160000000003"/>
    <x v="0"/>
    <x v="0"/>
    <x v="0"/>
  </r>
  <r>
    <n v="71381"/>
    <x v="16"/>
    <x v="3"/>
    <n v="326"/>
    <n v="40"/>
    <n v="481.32"/>
    <x v="1"/>
    <d v="2024-12-20T00:00:00"/>
    <d v="2025-01-25T00:00:00"/>
    <x v="2"/>
    <x v="0"/>
    <n v="156910.32"/>
    <x v="0"/>
    <x v="0"/>
    <x v="0"/>
  </r>
  <r>
    <n v="14827"/>
    <x v="7"/>
    <x v="3"/>
    <n v="462"/>
    <n v="150"/>
    <n v="147.56"/>
    <x v="2"/>
    <d v="2024-10-22T00:00:00"/>
    <d v="2024-11-11T00:00:00"/>
    <x v="0"/>
    <x v="0"/>
    <n v="68172.72"/>
    <x v="0"/>
    <x v="0"/>
    <x v="0"/>
  </r>
  <r>
    <n v="79390"/>
    <x v="14"/>
    <x v="4"/>
    <n v="193"/>
    <n v="150"/>
    <n v="52.39"/>
    <x v="0"/>
    <d v="2024-05-15T00:00:00"/>
    <d v="2024-06-12T00:00:00"/>
    <x v="1"/>
    <x v="0"/>
    <n v="10111.27"/>
    <x v="0"/>
    <x v="1"/>
    <x v="0"/>
  </r>
  <r>
    <n v="63218"/>
    <x v="9"/>
    <x v="1"/>
    <n v="44"/>
    <n v="30"/>
    <n v="443.66"/>
    <x v="1"/>
    <d v="2024-12-29T00:00:00"/>
    <d v="2025-01-18T00:00:00"/>
    <x v="2"/>
    <x v="0"/>
    <n v="19521.04"/>
    <x v="0"/>
    <x v="1"/>
    <x v="0"/>
  </r>
  <r>
    <n v="47034"/>
    <x v="11"/>
    <x v="4"/>
    <n v="196"/>
    <n v="80"/>
    <n v="217.09"/>
    <x v="4"/>
    <d v="2024-02-29T00:00:00"/>
    <d v="2024-04-07T00:00:00"/>
    <x v="1"/>
    <x v="0"/>
    <n v="42549.64"/>
    <x v="0"/>
    <x v="1"/>
    <x v="0"/>
  </r>
  <r>
    <n v="13164"/>
    <x v="13"/>
    <x v="3"/>
    <n v="389"/>
    <n v="30"/>
    <n v="122.39"/>
    <x v="1"/>
    <d v="2024-04-17T00:00:00"/>
    <d v="2024-04-25T00:00:00"/>
    <x v="2"/>
    <x v="0"/>
    <n v="47609.71"/>
    <x v="0"/>
    <x v="0"/>
    <x v="0"/>
  </r>
  <r>
    <n v="13722"/>
    <x v="14"/>
    <x v="4"/>
    <n v="228"/>
    <n v="30"/>
    <n v="288.66000000000003"/>
    <x v="0"/>
    <d v="2024-04-21T00:00:00"/>
    <d v="2024-04-28T00:00:00"/>
    <x v="0"/>
    <x v="0"/>
    <n v="65814.48000000001"/>
    <x v="0"/>
    <x v="0"/>
    <x v="0"/>
  </r>
  <r>
    <n v="50469"/>
    <x v="12"/>
    <x v="0"/>
    <n v="451"/>
    <n v="20"/>
    <n v="365.54"/>
    <x v="3"/>
    <d v="2024-08-01T00:00:00"/>
    <d v="2024-08-11T00:00:00"/>
    <x v="2"/>
    <x v="0"/>
    <n v="164858.54"/>
    <x v="0"/>
    <x v="0"/>
    <x v="0"/>
  </r>
  <r>
    <n v="72993"/>
    <x v="10"/>
    <x v="2"/>
    <n v="250"/>
    <n v="30"/>
    <n v="17.760000000000002"/>
    <x v="3"/>
    <d v="2024-11-11T00:00:00"/>
    <d v="2024-11-27T00:00:00"/>
    <x v="1"/>
    <x v="0"/>
    <n v="4440"/>
    <x v="0"/>
    <x v="0"/>
    <x v="0"/>
  </r>
  <r>
    <n v="45699"/>
    <x v="8"/>
    <x v="1"/>
    <n v="278"/>
    <n v="30"/>
    <n v="313.26"/>
    <x v="3"/>
    <d v="2024-06-23T00:00:00"/>
    <d v="2024-07-02T00:00:00"/>
    <x v="2"/>
    <x v="0"/>
    <n v="87086.28"/>
    <x v="0"/>
    <x v="0"/>
    <x v="0"/>
  </r>
  <r>
    <n v="16782"/>
    <x v="7"/>
    <x v="3"/>
    <n v="367"/>
    <n v="150"/>
    <n v="379.86"/>
    <x v="3"/>
    <d v="2024-07-24T00:00:00"/>
    <d v="2024-08-27T00:00:00"/>
    <x v="0"/>
    <x v="0"/>
    <n v="139408.62"/>
    <x v="0"/>
    <x v="1"/>
    <x v="0"/>
  </r>
  <r>
    <n v="50149"/>
    <x v="5"/>
    <x v="2"/>
    <n v="265"/>
    <n v="40"/>
    <n v="121.32"/>
    <x v="4"/>
    <d v="2024-03-25T00:00:00"/>
    <d v="2024-04-19T00:00:00"/>
    <x v="1"/>
    <x v="0"/>
    <n v="32149.8"/>
    <x v="0"/>
    <x v="0"/>
    <x v="0"/>
  </r>
  <r>
    <n v="70410"/>
    <x v="2"/>
    <x v="1"/>
    <n v="63"/>
    <n v="30"/>
    <n v="463.6"/>
    <x v="0"/>
    <d v="2024-10-24T00:00:00"/>
    <d v="2024-11-15T00:00:00"/>
    <x v="0"/>
    <x v="0"/>
    <n v="29206.800000000003"/>
    <x v="0"/>
    <x v="1"/>
    <x v="0"/>
  </r>
  <r>
    <n v="89211"/>
    <x v="5"/>
    <x v="2"/>
    <n v="482"/>
    <n v="80"/>
    <n v="366.92"/>
    <x v="0"/>
    <d v="2024-05-23T00:00:00"/>
    <d v="2024-06-02T00:00:00"/>
    <x v="1"/>
    <x v="0"/>
    <n v="176855.44"/>
    <x v="0"/>
    <x v="0"/>
    <x v="0"/>
  </r>
  <r>
    <n v="14686"/>
    <x v="14"/>
    <x v="4"/>
    <n v="387"/>
    <n v="150"/>
    <n v="8.1"/>
    <x v="2"/>
    <d v="2024-11-10T00:00:00"/>
    <d v="2024-12-11T00:00:00"/>
    <x v="0"/>
    <x v="0"/>
    <n v="3134.7"/>
    <x v="0"/>
    <x v="1"/>
    <x v="0"/>
  </r>
  <r>
    <n v="35095"/>
    <x v="10"/>
    <x v="2"/>
    <n v="62"/>
    <n v="80"/>
    <n v="162.19"/>
    <x v="4"/>
    <d v="2024-10-18T00:00:00"/>
    <d v="2024-11-12T00:00:00"/>
    <x v="2"/>
    <x v="1"/>
    <n v="10055.780000000001"/>
    <x v="12"/>
    <x v="1"/>
    <x v="1"/>
  </r>
  <r>
    <n v="32927"/>
    <x v="1"/>
    <x v="0"/>
    <n v="117"/>
    <n v="80"/>
    <n v="315.10000000000002"/>
    <x v="1"/>
    <d v="2024-04-10T00:00:00"/>
    <d v="2024-05-14T00:00:00"/>
    <x v="1"/>
    <x v="0"/>
    <n v="36866.700000000004"/>
    <x v="0"/>
    <x v="1"/>
    <x v="0"/>
  </r>
  <r>
    <n v="55283"/>
    <x v="7"/>
    <x v="3"/>
    <n v="123"/>
    <n v="80"/>
    <n v="223.84"/>
    <x v="2"/>
    <d v="2024-07-13T00:00:00"/>
    <d v="2024-08-01T00:00:00"/>
    <x v="1"/>
    <x v="0"/>
    <n v="27532.32"/>
    <x v="0"/>
    <x v="1"/>
    <x v="0"/>
  </r>
  <r>
    <n v="90152"/>
    <x v="13"/>
    <x v="3"/>
    <n v="20"/>
    <n v="80"/>
    <n v="381.28"/>
    <x v="2"/>
    <d v="2024-10-11T00:00:00"/>
    <d v="2024-11-04T00:00:00"/>
    <x v="2"/>
    <x v="1"/>
    <n v="7625.5999999999995"/>
    <x v="55"/>
    <x v="1"/>
    <x v="1"/>
  </r>
  <r>
    <n v="74140"/>
    <x v="14"/>
    <x v="4"/>
    <n v="437"/>
    <n v="50"/>
    <n v="294.5"/>
    <x v="0"/>
    <d v="2024-10-01T00:00:00"/>
    <d v="2024-10-28T00:00:00"/>
    <x v="2"/>
    <x v="0"/>
    <n v="128696.5"/>
    <x v="0"/>
    <x v="0"/>
    <x v="0"/>
  </r>
  <r>
    <n v="23861"/>
    <x v="7"/>
    <x v="3"/>
    <n v="21"/>
    <n v="50"/>
    <n v="448.37"/>
    <x v="2"/>
    <d v="2024-11-24T00:00:00"/>
    <d v="2024-12-17T00:00:00"/>
    <x v="1"/>
    <x v="1"/>
    <n v="9415.77"/>
    <x v="56"/>
    <x v="1"/>
    <x v="1"/>
  </r>
  <r>
    <n v="69222"/>
    <x v="8"/>
    <x v="1"/>
    <n v="287"/>
    <n v="50"/>
    <n v="57.27"/>
    <x v="0"/>
    <d v="2024-01-05T00:00:00"/>
    <d v="2024-01-29T00:00:00"/>
    <x v="0"/>
    <x v="0"/>
    <n v="16436.490000000002"/>
    <x v="0"/>
    <x v="0"/>
    <x v="0"/>
  </r>
  <r>
    <n v="85910"/>
    <x v="14"/>
    <x v="4"/>
    <n v="299"/>
    <n v="30"/>
    <n v="19.86"/>
    <x v="2"/>
    <d v="2024-05-16T00:00:00"/>
    <d v="2024-06-20T00:00:00"/>
    <x v="1"/>
    <x v="0"/>
    <n v="5938.1399999999994"/>
    <x v="0"/>
    <x v="0"/>
    <x v="0"/>
  </r>
  <r>
    <n v="56418"/>
    <x v="11"/>
    <x v="4"/>
    <n v="158"/>
    <n v="40"/>
    <n v="291.01"/>
    <x v="4"/>
    <d v="2024-07-07T00:00:00"/>
    <d v="2024-08-11T00:00:00"/>
    <x v="2"/>
    <x v="0"/>
    <n v="45979.58"/>
    <x v="0"/>
    <x v="0"/>
    <x v="0"/>
  </r>
  <r>
    <n v="92063"/>
    <x v="5"/>
    <x v="2"/>
    <n v="129"/>
    <n v="30"/>
    <n v="168.49"/>
    <x v="4"/>
    <d v="2024-09-29T00:00:00"/>
    <d v="2024-11-04T00:00:00"/>
    <x v="1"/>
    <x v="0"/>
    <n v="21735.210000000003"/>
    <x v="0"/>
    <x v="0"/>
    <x v="0"/>
  </r>
  <r>
    <n v="54910"/>
    <x v="10"/>
    <x v="2"/>
    <n v="394"/>
    <n v="150"/>
    <n v="54.28"/>
    <x v="1"/>
    <d v="2024-11-22T00:00:00"/>
    <d v="2024-12-22T00:00:00"/>
    <x v="1"/>
    <x v="0"/>
    <n v="21386.32"/>
    <x v="0"/>
    <x v="1"/>
    <x v="0"/>
  </r>
  <r>
    <n v="31684"/>
    <x v="8"/>
    <x v="1"/>
    <n v="458"/>
    <n v="50"/>
    <n v="101.53"/>
    <x v="1"/>
    <d v="2024-02-16T00:00:00"/>
    <d v="2024-03-19T00:00:00"/>
    <x v="1"/>
    <x v="0"/>
    <n v="46500.74"/>
    <x v="0"/>
    <x v="0"/>
    <x v="0"/>
  </r>
  <r>
    <n v="50130"/>
    <x v="11"/>
    <x v="4"/>
    <n v="279"/>
    <n v="50"/>
    <n v="55.91"/>
    <x v="2"/>
    <d v="2024-10-22T00:00:00"/>
    <d v="2024-11-06T00:00:00"/>
    <x v="1"/>
    <x v="0"/>
    <n v="15598.89"/>
    <x v="0"/>
    <x v="0"/>
    <x v="0"/>
  </r>
  <r>
    <n v="58443"/>
    <x v="15"/>
    <x v="4"/>
    <n v="368"/>
    <n v="100"/>
    <n v="303.56"/>
    <x v="2"/>
    <d v="2024-05-23T00:00:00"/>
    <d v="2024-05-29T00:00:00"/>
    <x v="2"/>
    <x v="0"/>
    <n v="111710.08"/>
    <x v="0"/>
    <x v="0"/>
    <x v="0"/>
  </r>
  <r>
    <n v="43783"/>
    <x v="0"/>
    <x v="0"/>
    <n v="95"/>
    <n v="80"/>
    <n v="234.71"/>
    <x v="3"/>
    <d v="2024-10-24T00:00:00"/>
    <d v="2024-11-30T00:00:00"/>
    <x v="2"/>
    <x v="0"/>
    <n v="22297.45"/>
    <x v="0"/>
    <x v="1"/>
    <x v="0"/>
  </r>
  <r>
    <n v="69754"/>
    <x v="15"/>
    <x v="4"/>
    <n v="420"/>
    <n v="100"/>
    <n v="69.83"/>
    <x v="0"/>
    <d v="2024-01-22T00:00:00"/>
    <d v="2024-02-15T00:00:00"/>
    <x v="0"/>
    <x v="0"/>
    <n v="29328.6"/>
    <x v="0"/>
    <x v="0"/>
    <x v="0"/>
  </r>
  <r>
    <n v="61033"/>
    <x v="11"/>
    <x v="4"/>
    <n v="88"/>
    <n v="30"/>
    <n v="208.63"/>
    <x v="3"/>
    <d v="2024-03-13T00:00:00"/>
    <d v="2024-03-29T00:00:00"/>
    <x v="2"/>
    <x v="0"/>
    <n v="18359.439999999999"/>
    <x v="0"/>
    <x v="1"/>
    <x v="0"/>
  </r>
  <r>
    <n v="91531"/>
    <x v="2"/>
    <x v="1"/>
    <n v="175"/>
    <n v="50"/>
    <n v="243.94"/>
    <x v="2"/>
    <d v="2024-03-06T00:00:00"/>
    <d v="2024-03-11T00:00:00"/>
    <x v="2"/>
    <x v="0"/>
    <n v="42689.5"/>
    <x v="0"/>
    <x v="0"/>
    <x v="0"/>
  </r>
  <r>
    <n v="24859"/>
    <x v="5"/>
    <x v="2"/>
    <n v="158"/>
    <n v="20"/>
    <n v="482.82"/>
    <x v="4"/>
    <d v="2024-10-11T00:00:00"/>
    <d v="2024-10-30T00:00:00"/>
    <x v="0"/>
    <x v="0"/>
    <n v="76285.56"/>
    <x v="0"/>
    <x v="0"/>
    <x v="0"/>
  </r>
  <r>
    <n v="31153"/>
    <x v="13"/>
    <x v="3"/>
    <n v="109"/>
    <n v="100"/>
    <n v="420.71"/>
    <x v="1"/>
    <d v="2024-08-03T00:00:00"/>
    <d v="2024-08-21T00:00:00"/>
    <x v="2"/>
    <x v="0"/>
    <n v="45857.39"/>
    <x v="0"/>
    <x v="1"/>
    <x v="0"/>
  </r>
  <r>
    <n v="37564"/>
    <x v="0"/>
    <x v="0"/>
    <n v="419"/>
    <n v="100"/>
    <n v="265.11"/>
    <x v="2"/>
    <d v="2024-12-01T00:00:00"/>
    <d v="2024-12-30T00:00:00"/>
    <x v="2"/>
    <x v="0"/>
    <n v="111081.09000000001"/>
    <x v="0"/>
    <x v="0"/>
    <x v="0"/>
  </r>
  <r>
    <n v="86436"/>
    <x v="3"/>
    <x v="2"/>
    <n v="479"/>
    <n v="80"/>
    <n v="139.62"/>
    <x v="0"/>
    <d v="2024-07-05T00:00:00"/>
    <d v="2024-07-14T00:00:00"/>
    <x v="2"/>
    <x v="0"/>
    <n v="66877.98"/>
    <x v="0"/>
    <x v="0"/>
    <x v="0"/>
  </r>
  <r>
    <n v="95549"/>
    <x v="1"/>
    <x v="0"/>
    <n v="336"/>
    <n v="80"/>
    <n v="419.45"/>
    <x v="2"/>
    <d v="2024-11-12T00:00:00"/>
    <d v="2024-11-23T00:00:00"/>
    <x v="0"/>
    <x v="0"/>
    <n v="140935.19999999998"/>
    <x v="0"/>
    <x v="0"/>
    <x v="0"/>
  </r>
  <r>
    <n v="92291"/>
    <x v="2"/>
    <x v="1"/>
    <n v="494"/>
    <n v="50"/>
    <n v="326.64999999999998"/>
    <x v="0"/>
    <d v="2024-04-18T00:00:00"/>
    <d v="2024-05-19T00:00:00"/>
    <x v="2"/>
    <x v="0"/>
    <n v="161365.09999999998"/>
    <x v="0"/>
    <x v="0"/>
    <x v="0"/>
  </r>
  <r>
    <n v="76471"/>
    <x v="10"/>
    <x v="2"/>
    <n v="244"/>
    <n v="150"/>
    <n v="164.75"/>
    <x v="4"/>
    <d v="2024-03-23T00:00:00"/>
    <d v="2024-04-19T00:00:00"/>
    <x v="1"/>
    <x v="0"/>
    <n v="40199"/>
    <x v="0"/>
    <x v="1"/>
    <x v="0"/>
  </r>
  <r>
    <n v="44753"/>
    <x v="12"/>
    <x v="0"/>
    <n v="132"/>
    <n v="20"/>
    <n v="278.79000000000002"/>
    <x v="4"/>
    <d v="2024-04-04T00:00:00"/>
    <d v="2024-04-30T00:00:00"/>
    <x v="0"/>
    <x v="0"/>
    <n v="36800.280000000006"/>
    <x v="0"/>
    <x v="0"/>
    <x v="0"/>
  </r>
  <r>
    <n v="83290"/>
    <x v="12"/>
    <x v="0"/>
    <n v="88"/>
    <n v="150"/>
    <n v="242.62"/>
    <x v="0"/>
    <d v="2024-12-08T00:00:00"/>
    <d v="2025-01-13T00:00:00"/>
    <x v="0"/>
    <x v="1"/>
    <n v="21350.560000000001"/>
    <x v="57"/>
    <x v="1"/>
    <x v="1"/>
  </r>
  <r>
    <n v="17493"/>
    <x v="15"/>
    <x v="4"/>
    <n v="19"/>
    <n v="100"/>
    <n v="234.59"/>
    <x v="4"/>
    <d v="2024-02-27T00:00:00"/>
    <d v="2024-03-03T00:00:00"/>
    <x v="1"/>
    <x v="1"/>
    <n v="4457.21"/>
    <x v="58"/>
    <x v="1"/>
    <x v="1"/>
  </r>
  <r>
    <n v="57315"/>
    <x v="9"/>
    <x v="1"/>
    <n v="187"/>
    <n v="40"/>
    <n v="334.98"/>
    <x v="4"/>
    <d v="2024-12-29T00:00:00"/>
    <d v="2025-01-14T00:00:00"/>
    <x v="0"/>
    <x v="0"/>
    <n v="62641.26"/>
    <x v="0"/>
    <x v="0"/>
    <x v="0"/>
  </r>
  <r>
    <n v="62664"/>
    <x v="12"/>
    <x v="0"/>
    <n v="274"/>
    <n v="100"/>
    <n v="50.79"/>
    <x v="2"/>
    <d v="2024-06-19T00:00:00"/>
    <d v="2024-07-06T00:00:00"/>
    <x v="1"/>
    <x v="0"/>
    <n v="13916.46"/>
    <x v="0"/>
    <x v="1"/>
    <x v="0"/>
  </r>
  <r>
    <n v="62975"/>
    <x v="16"/>
    <x v="3"/>
    <n v="341"/>
    <n v="40"/>
    <n v="102.14"/>
    <x v="0"/>
    <d v="2024-07-18T00:00:00"/>
    <d v="2024-08-17T00:00:00"/>
    <x v="2"/>
    <x v="0"/>
    <n v="34829.74"/>
    <x v="0"/>
    <x v="0"/>
    <x v="0"/>
  </r>
  <r>
    <n v="64478"/>
    <x v="10"/>
    <x v="2"/>
    <n v="411"/>
    <n v="20"/>
    <n v="47.59"/>
    <x v="0"/>
    <d v="2024-07-29T00:00:00"/>
    <d v="2024-08-14T00:00:00"/>
    <x v="2"/>
    <x v="0"/>
    <n v="19559.490000000002"/>
    <x v="0"/>
    <x v="0"/>
    <x v="0"/>
  </r>
  <r>
    <n v="14837"/>
    <x v="15"/>
    <x v="4"/>
    <n v="10"/>
    <n v="100"/>
    <n v="263.99"/>
    <x v="3"/>
    <d v="2024-10-01T00:00:00"/>
    <d v="2024-10-11T00:00:00"/>
    <x v="2"/>
    <x v="1"/>
    <n v="2639.9"/>
    <x v="59"/>
    <x v="1"/>
    <x v="1"/>
  </r>
  <r>
    <n v="98422"/>
    <x v="0"/>
    <x v="0"/>
    <n v="354"/>
    <n v="40"/>
    <n v="72.17"/>
    <x v="4"/>
    <d v="2024-09-19T00:00:00"/>
    <d v="2024-10-04T00:00:00"/>
    <x v="0"/>
    <x v="0"/>
    <n v="25548.18"/>
    <x v="0"/>
    <x v="0"/>
    <x v="0"/>
  </r>
  <r>
    <n v="31199"/>
    <x v="4"/>
    <x v="0"/>
    <n v="357"/>
    <n v="100"/>
    <n v="171.96"/>
    <x v="3"/>
    <d v="2024-02-20T00:00:00"/>
    <d v="2024-03-19T00:00:00"/>
    <x v="0"/>
    <x v="0"/>
    <n v="61389.72"/>
    <x v="0"/>
    <x v="0"/>
    <x v="0"/>
  </r>
  <r>
    <n v="19290"/>
    <x v="8"/>
    <x v="1"/>
    <n v="117"/>
    <n v="100"/>
    <n v="169.02"/>
    <x v="3"/>
    <d v="2024-04-27T00:00:00"/>
    <d v="2024-05-05T00:00:00"/>
    <x v="1"/>
    <x v="0"/>
    <n v="19775.34"/>
    <x v="0"/>
    <x v="1"/>
    <x v="0"/>
  </r>
  <r>
    <n v="92666"/>
    <x v="15"/>
    <x v="4"/>
    <n v="347"/>
    <n v="100"/>
    <n v="277.48"/>
    <x v="3"/>
    <d v="2024-10-05T00:00:00"/>
    <d v="2024-11-06T00:00:00"/>
    <x v="2"/>
    <x v="0"/>
    <n v="96285.560000000012"/>
    <x v="0"/>
    <x v="0"/>
    <x v="0"/>
  </r>
  <r>
    <n v="46386"/>
    <x v="2"/>
    <x v="1"/>
    <n v="28"/>
    <n v="40"/>
    <n v="42.98"/>
    <x v="2"/>
    <d v="2024-09-26T00:00:00"/>
    <d v="2024-10-14T00:00:00"/>
    <x v="0"/>
    <x v="1"/>
    <n v="1203.4399999999998"/>
    <x v="50"/>
    <x v="1"/>
    <x v="1"/>
  </r>
  <r>
    <n v="10946"/>
    <x v="5"/>
    <x v="2"/>
    <n v="413"/>
    <n v="50"/>
    <n v="203.35"/>
    <x v="1"/>
    <d v="2024-03-19T00:00:00"/>
    <d v="2024-04-17T00:00:00"/>
    <x v="1"/>
    <x v="0"/>
    <n v="83983.55"/>
    <x v="0"/>
    <x v="0"/>
    <x v="0"/>
  </r>
  <r>
    <n v="65512"/>
    <x v="7"/>
    <x v="3"/>
    <n v="245"/>
    <n v="50"/>
    <n v="201.49"/>
    <x v="1"/>
    <d v="2024-11-15T00:00:00"/>
    <d v="2024-12-12T00:00:00"/>
    <x v="1"/>
    <x v="0"/>
    <n v="49365.05"/>
    <x v="0"/>
    <x v="0"/>
    <x v="0"/>
  </r>
  <r>
    <n v="55875"/>
    <x v="2"/>
    <x v="1"/>
    <n v="496"/>
    <n v="20"/>
    <n v="94.36"/>
    <x v="3"/>
    <d v="2024-11-01T00:00:00"/>
    <d v="2024-12-02T00:00:00"/>
    <x v="0"/>
    <x v="0"/>
    <n v="46802.559999999998"/>
    <x v="0"/>
    <x v="0"/>
    <x v="0"/>
  </r>
  <r>
    <n v="60435"/>
    <x v="0"/>
    <x v="0"/>
    <n v="187"/>
    <n v="30"/>
    <n v="23.85"/>
    <x v="3"/>
    <d v="2024-05-11T00:00:00"/>
    <d v="2024-06-10T00:00:00"/>
    <x v="1"/>
    <x v="0"/>
    <n v="4459.95"/>
    <x v="0"/>
    <x v="0"/>
    <x v="0"/>
  </r>
  <r>
    <n v="71816"/>
    <x v="14"/>
    <x v="4"/>
    <n v="188"/>
    <n v="40"/>
    <n v="62.66"/>
    <x v="1"/>
    <d v="2024-10-18T00:00:00"/>
    <d v="2024-11-18T00:00:00"/>
    <x v="0"/>
    <x v="0"/>
    <n v="11780.08"/>
    <x v="0"/>
    <x v="0"/>
    <x v="0"/>
  </r>
  <r>
    <n v="34495"/>
    <x v="3"/>
    <x v="2"/>
    <n v="250"/>
    <n v="40"/>
    <n v="188.92"/>
    <x v="3"/>
    <d v="2024-01-17T00:00:00"/>
    <d v="2024-02-16T00:00:00"/>
    <x v="2"/>
    <x v="0"/>
    <n v="47230"/>
    <x v="0"/>
    <x v="0"/>
    <x v="0"/>
  </r>
  <r>
    <n v="10692"/>
    <x v="5"/>
    <x v="2"/>
    <n v="107"/>
    <n v="50"/>
    <n v="415.18"/>
    <x v="4"/>
    <d v="2024-01-18T00:00:00"/>
    <d v="2024-02-17T00:00:00"/>
    <x v="0"/>
    <x v="0"/>
    <n v="44424.26"/>
    <x v="0"/>
    <x v="1"/>
    <x v="0"/>
  </r>
  <r>
    <n v="87463"/>
    <x v="11"/>
    <x v="4"/>
    <n v="86"/>
    <n v="30"/>
    <n v="92.69"/>
    <x v="0"/>
    <d v="2024-03-10T00:00:00"/>
    <d v="2024-03-22T00:00:00"/>
    <x v="0"/>
    <x v="0"/>
    <n v="7971.34"/>
    <x v="0"/>
    <x v="1"/>
    <x v="0"/>
  </r>
  <r>
    <n v="66548"/>
    <x v="15"/>
    <x v="4"/>
    <n v="253"/>
    <n v="80"/>
    <n v="10.19"/>
    <x v="2"/>
    <d v="2024-02-02T00:00:00"/>
    <d v="2024-02-16T00:00:00"/>
    <x v="2"/>
    <x v="0"/>
    <n v="2578.0699999999997"/>
    <x v="0"/>
    <x v="0"/>
    <x v="0"/>
  </r>
  <r>
    <n v="11184"/>
    <x v="3"/>
    <x v="2"/>
    <n v="392"/>
    <n v="100"/>
    <n v="47.64"/>
    <x v="0"/>
    <d v="2024-09-03T00:00:00"/>
    <d v="2024-10-06T00:00:00"/>
    <x v="2"/>
    <x v="0"/>
    <n v="18674.88"/>
    <x v="0"/>
    <x v="0"/>
    <x v="0"/>
  </r>
  <r>
    <n v="28690"/>
    <x v="6"/>
    <x v="3"/>
    <n v="257"/>
    <n v="50"/>
    <n v="16.93"/>
    <x v="0"/>
    <d v="2024-06-20T00:00:00"/>
    <d v="2024-07-12T00:00:00"/>
    <x v="2"/>
    <x v="0"/>
    <n v="4351.01"/>
    <x v="0"/>
    <x v="0"/>
    <x v="0"/>
  </r>
  <r>
    <n v="80211"/>
    <x v="4"/>
    <x v="0"/>
    <n v="420"/>
    <n v="30"/>
    <n v="224.08"/>
    <x v="0"/>
    <d v="2024-04-04T00:00:00"/>
    <d v="2024-04-19T00:00:00"/>
    <x v="2"/>
    <x v="0"/>
    <n v="94113.600000000006"/>
    <x v="0"/>
    <x v="0"/>
    <x v="0"/>
  </r>
  <r>
    <n v="62248"/>
    <x v="0"/>
    <x v="0"/>
    <n v="97"/>
    <n v="80"/>
    <n v="38.71"/>
    <x v="3"/>
    <d v="2024-06-20T00:00:00"/>
    <d v="2024-06-30T00:00:00"/>
    <x v="0"/>
    <x v="0"/>
    <n v="3754.87"/>
    <x v="0"/>
    <x v="1"/>
    <x v="0"/>
  </r>
  <r>
    <n v="82095"/>
    <x v="3"/>
    <x v="2"/>
    <n v="397"/>
    <n v="150"/>
    <n v="304.52"/>
    <x v="4"/>
    <d v="2024-08-07T00:00:00"/>
    <d v="2024-08-20T00:00:00"/>
    <x v="1"/>
    <x v="0"/>
    <n v="120894.43999999999"/>
    <x v="0"/>
    <x v="1"/>
    <x v="0"/>
  </r>
  <r>
    <n v="10924"/>
    <x v="13"/>
    <x v="3"/>
    <n v="52"/>
    <n v="40"/>
    <n v="117.25"/>
    <x v="0"/>
    <d v="2024-10-21T00:00:00"/>
    <d v="2024-11-09T00:00:00"/>
    <x v="1"/>
    <x v="0"/>
    <n v="6097"/>
    <x v="0"/>
    <x v="1"/>
    <x v="0"/>
  </r>
  <r>
    <n v="15515"/>
    <x v="3"/>
    <x v="2"/>
    <n v="265"/>
    <n v="50"/>
    <n v="125.86"/>
    <x v="4"/>
    <d v="2024-02-04T00:00:00"/>
    <d v="2024-02-14T00:00:00"/>
    <x v="0"/>
    <x v="0"/>
    <n v="33352.9"/>
    <x v="0"/>
    <x v="0"/>
    <x v="0"/>
  </r>
  <r>
    <n v="52674"/>
    <x v="3"/>
    <x v="2"/>
    <n v="391"/>
    <n v="150"/>
    <n v="101.11"/>
    <x v="4"/>
    <d v="2024-06-23T00:00:00"/>
    <d v="2024-07-01T00:00:00"/>
    <x v="1"/>
    <x v="0"/>
    <n v="39534.01"/>
    <x v="0"/>
    <x v="1"/>
    <x v="0"/>
  </r>
  <r>
    <n v="66652"/>
    <x v="7"/>
    <x v="3"/>
    <n v="342"/>
    <n v="80"/>
    <n v="497.32"/>
    <x v="4"/>
    <d v="2024-01-09T00:00:00"/>
    <d v="2024-01-27T00:00:00"/>
    <x v="0"/>
    <x v="0"/>
    <n v="170083.44"/>
    <x v="0"/>
    <x v="0"/>
    <x v="0"/>
  </r>
  <r>
    <n v="85242"/>
    <x v="14"/>
    <x v="4"/>
    <n v="277"/>
    <n v="20"/>
    <n v="324.56"/>
    <x v="3"/>
    <d v="2024-01-01T00:00:00"/>
    <d v="2024-01-15T00:00:00"/>
    <x v="0"/>
    <x v="0"/>
    <n v="89903.12"/>
    <x v="0"/>
    <x v="0"/>
    <x v="0"/>
  </r>
  <r>
    <n v="24506"/>
    <x v="14"/>
    <x v="4"/>
    <n v="464"/>
    <n v="50"/>
    <n v="66.03"/>
    <x v="4"/>
    <d v="2024-11-29T00:00:00"/>
    <d v="2024-12-26T00:00:00"/>
    <x v="1"/>
    <x v="0"/>
    <n v="30637.920000000002"/>
    <x v="0"/>
    <x v="0"/>
    <x v="0"/>
  </r>
  <r>
    <n v="38091"/>
    <x v="2"/>
    <x v="1"/>
    <n v="189"/>
    <n v="80"/>
    <n v="50.11"/>
    <x v="3"/>
    <d v="2024-10-10T00:00:00"/>
    <d v="2024-11-01T00:00:00"/>
    <x v="1"/>
    <x v="0"/>
    <n v="9470.7899999999991"/>
    <x v="0"/>
    <x v="1"/>
    <x v="0"/>
  </r>
  <r>
    <n v="77567"/>
    <x v="3"/>
    <x v="2"/>
    <n v="136"/>
    <n v="50"/>
    <n v="291.91000000000003"/>
    <x v="0"/>
    <d v="2024-03-08T00:00:00"/>
    <d v="2024-04-15T00:00:00"/>
    <x v="2"/>
    <x v="0"/>
    <n v="39699.760000000002"/>
    <x v="0"/>
    <x v="1"/>
    <x v="0"/>
  </r>
  <r>
    <n v="95961"/>
    <x v="16"/>
    <x v="3"/>
    <n v="196"/>
    <n v="20"/>
    <n v="30.23"/>
    <x v="4"/>
    <d v="2024-12-03T00:00:00"/>
    <d v="2024-12-25T00:00:00"/>
    <x v="2"/>
    <x v="0"/>
    <n v="5925.08"/>
    <x v="0"/>
    <x v="0"/>
    <x v="0"/>
  </r>
  <r>
    <n v="19190"/>
    <x v="12"/>
    <x v="0"/>
    <n v="460"/>
    <n v="30"/>
    <n v="315.73"/>
    <x v="4"/>
    <d v="2024-07-21T00:00:00"/>
    <d v="2024-08-13T00:00:00"/>
    <x v="2"/>
    <x v="0"/>
    <n v="145235.80000000002"/>
    <x v="0"/>
    <x v="0"/>
    <x v="0"/>
  </r>
  <r>
    <n v="66759"/>
    <x v="7"/>
    <x v="3"/>
    <n v="215"/>
    <n v="20"/>
    <n v="317.20999999999998"/>
    <x v="0"/>
    <d v="2024-08-01T00:00:00"/>
    <d v="2024-08-28T00:00:00"/>
    <x v="2"/>
    <x v="0"/>
    <n v="68200.149999999994"/>
    <x v="0"/>
    <x v="0"/>
    <x v="0"/>
  </r>
  <r>
    <n v="23851"/>
    <x v="12"/>
    <x v="0"/>
    <n v="219"/>
    <n v="50"/>
    <n v="367.12"/>
    <x v="0"/>
    <d v="2024-10-15T00:00:00"/>
    <d v="2024-11-07T00:00:00"/>
    <x v="0"/>
    <x v="0"/>
    <n v="80399.28"/>
    <x v="0"/>
    <x v="0"/>
    <x v="0"/>
  </r>
  <r>
    <n v="55349"/>
    <x v="8"/>
    <x v="1"/>
    <n v="409"/>
    <n v="40"/>
    <n v="74.290000000000006"/>
    <x v="4"/>
    <d v="2024-06-16T00:00:00"/>
    <d v="2024-07-06T00:00:00"/>
    <x v="2"/>
    <x v="0"/>
    <n v="30384.610000000004"/>
    <x v="0"/>
    <x v="0"/>
    <x v="0"/>
  </r>
  <r>
    <n v="73723"/>
    <x v="4"/>
    <x v="0"/>
    <n v="149"/>
    <n v="50"/>
    <n v="339.35"/>
    <x v="4"/>
    <d v="2024-06-21T00:00:00"/>
    <d v="2024-07-03T00:00:00"/>
    <x v="2"/>
    <x v="0"/>
    <n v="50563.15"/>
    <x v="0"/>
    <x v="1"/>
    <x v="0"/>
  </r>
  <r>
    <n v="41658"/>
    <x v="16"/>
    <x v="3"/>
    <n v="488"/>
    <n v="20"/>
    <n v="180.42"/>
    <x v="0"/>
    <d v="2024-04-24T00:00:00"/>
    <d v="2024-05-21T00:00:00"/>
    <x v="1"/>
    <x v="0"/>
    <n v="88044.959999999992"/>
    <x v="0"/>
    <x v="0"/>
    <x v="0"/>
  </r>
  <r>
    <n v="44650"/>
    <x v="6"/>
    <x v="3"/>
    <n v="145"/>
    <n v="150"/>
    <n v="125.68"/>
    <x v="4"/>
    <d v="2024-11-08T00:00:00"/>
    <d v="2024-12-05T00:00:00"/>
    <x v="2"/>
    <x v="1"/>
    <n v="18223.600000000002"/>
    <x v="18"/>
    <x v="1"/>
    <x v="1"/>
  </r>
  <r>
    <n v="39320"/>
    <x v="3"/>
    <x v="2"/>
    <n v="167"/>
    <n v="40"/>
    <n v="180.64"/>
    <x v="4"/>
    <d v="2024-02-19T00:00:00"/>
    <d v="2024-03-14T00:00:00"/>
    <x v="0"/>
    <x v="0"/>
    <n v="30166.879999999997"/>
    <x v="0"/>
    <x v="0"/>
    <x v="0"/>
  </r>
  <r>
    <n v="86976"/>
    <x v="9"/>
    <x v="1"/>
    <n v="20"/>
    <n v="30"/>
    <n v="259.02"/>
    <x v="2"/>
    <d v="2024-10-27T00:00:00"/>
    <d v="2024-11-13T00:00:00"/>
    <x v="0"/>
    <x v="1"/>
    <n v="5180.3999999999996"/>
    <x v="60"/>
    <x v="1"/>
    <x v="1"/>
  </r>
  <r>
    <n v="61448"/>
    <x v="7"/>
    <x v="3"/>
    <n v="400"/>
    <n v="50"/>
    <n v="259.29000000000002"/>
    <x v="4"/>
    <d v="2024-01-25T00:00:00"/>
    <d v="2024-02-04T00:00:00"/>
    <x v="2"/>
    <x v="0"/>
    <n v="103716.00000000001"/>
    <x v="0"/>
    <x v="0"/>
    <x v="0"/>
  </r>
  <r>
    <n v="81186"/>
    <x v="6"/>
    <x v="3"/>
    <n v="141"/>
    <n v="30"/>
    <n v="471.03"/>
    <x v="1"/>
    <d v="2024-12-20T00:00:00"/>
    <d v="2025-01-26T00:00:00"/>
    <x v="0"/>
    <x v="0"/>
    <n v="66415.23"/>
    <x v="0"/>
    <x v="0"/>
    <x v="0"/>
  </r>
  <r>
    <n v="61628"/>
    <x v="0"/>
    <x v="0"/>
    <n v="343"/>
    <n v="80"/>
    <n v="130.54"/>
    <x v="3"/>
    <d v="2024-01-01T00:00:00"/>
    <d v="2024-01-30T00:00:00"/>
    <x v="2"/>
    <x v="0"/>
    <n v="44775.219999999994"/>
    <x v="0"/>
    <x v="0"/>
    <x v="0"/>
  </r>
  <r>
    <n v="63775"/>
    <x v="5"/>
    <x v="2"/>
    <n v="344"/>
    <n v="30"/>
    <n v="315.35000000000002"/>
    <x v="0"/>
    <d v="2024-07-29T00:00:00"/>
    <d v="2024-08-27T00:00:00"/>
    <x v="0"/>
    <x v="0"/>
    <n v="108480.40000000001"/>
    <x v="0"/>
    <x v="0"/>
    <x v="0"/>
  </r>
  <r>
    <n v="91441"/>
    <x v="2"/>
    <x v="1"/>
    <n v="402"/>
    <n v="20"/>
    <n v="138.05000000000001"/>
    <x v="3"/>
    <d v="2024-08-23T00:00:00"/>
    <d v="2024-09-14T00:00:00"/>
    <x v="0"/>
    <x v="0"/>
    <n v="55496.100000000006"/>
    <x v="0"/>
    <x v="0"/>
    <x v="0"/>
  </r>
  <r>
    <n v="76537"/>
    <x v="13"/>
    <x v="3"/>
    <n v="20"/>
    <n v="30"/>
    <n v="38.35"/>
    <x v="1"/>
    <d v="2024-12-26T00:00:00"/>
    <d v="2025-01-30T00:00:00"/>
    <x v="2"/>
    <x v="1"/>
    <n v="767"/>
    <x v="60"/>
    <x v="1"/>
    <x v="1"/>
  </r>
  <r>
    <n v="76727"/>
    <x v="2"/>
    <x v="1"/>
    <n v="443"/>
    <n v="50"/>
    <n v="183.39"/>
    <x v="3"/>
    <d v="2024-01-15T00:00:00"/>
    <d v="2024-01-23T00:00:00"/>
    <x v="0"/>
    <x v="0"/>
    <n v="81241.76999999999"/>
    <x v="0"/>
    <x v="0"/>
    <x v="0"/>
  </r>
  <r>
    <n v="13332"/>
    <x v="2"/>
    <x v="1"/>
    <n v="387"/>
    <n v="20"/>
    <n v="14.97"/>
    <x v="2"/>
    <d v="2024-04-08T00:00:00"/>
    <d v="2024-04-17T00:00:00"/>
    <x v="1"/>
    <x v="0"/>
    <n v="5793.39"/>
    <x v="0"/>
    <x v="0"/>
    <x v="0"/>
  </r>
  <r>
    <n v="97134"/>
    <x v="15"/>
    <x v="4"/>
    <n v="257"/>
    <n v="80"/>
    <n v="466.21"/>
    <x v="3"/>
    <d v="2024-04-18T00:00:00"/>
    <d v="2024-05-02T00:00:00"/>
    <x v="1"/>
    <x v="0"/>
    <n v="119815.97"/>
    <x v="0"/>
    <x v="0"/>
    <x v="0"/>
  </r>
  <r>
    <n v="68531"/>
    <x v="2"/>
    <x v="1"/>
    <n v="116"/>
    <n v="40"/>
    <n v="114.22"/>
    <x v="4"/>
    <d v="2024-10-24T00:00:00"/>
    <d v="2024-11-10T00:00:00"/>
    <x v="0"/>
    <x v="0"/>
    <n v="13249.52"/>
    <x v="0"/>
    <x v="1"/>
    <x v="0"/>
  </r>
  <r>
    <n v="52598"/>
    <x v="14"/>
    <x v="4"/>
    <n v="307"/>
    <n v="150"/>
    <n v="159.74"/>
    <x v="4"/>
    <d v="2024-11-07T00:00:00"/>
    <d v="2024-12-04T00:00:00"/>
    <x v="1"/>
    <x v="0"/>
    <n v="49040.18"/>
    <x v="0"/>
    <x v="1"/>
    <x v="0"/>
  </r>
  <r>
    <n v="10798"/>
    <x v="13"/>
    <x v="3"/>
    <n v="473"/>
    <n v="40"/>
    <n v="443.71"/>
    <x v="1"/>
    <d v="2024-08-10T00:00:00"/>
    <d v="2024-09-08T00:00:00"/>
    <x v="1"/>
    <x v="0"/>
    <n v="209874.83"/>
    <x v="0"/>
    <x v="0"/>
    <x v="0"/>
  </r>
  <r>
    <n v="11129"/>
    <x v="8"/>
    <x v="1"/>
    <n v="129"/>
    <n v="20"/>
    <n v="366.01"/>
    <x v="0"/>
    <d v="2024-12-24T00:00:00"/>
    <d v="2025-01-25T00:00:00"/>
    <x v="2"/>
    <x v="0"/>
    <n v="47215.29"/>
    <x v="0"/>
    <x v="0"/>
    <x v="0"/>
  </r>
  <r>
    <n v="49867"/>
    <x v="5"/>
    <x v="2"/>
    <n v="74"/>
    <n v="100"/>
    <n v="160.07"/>
    <x v="0"/>
    <d v="2024-11-20T00:00:00"/>
    <d v="2024-12-13T00:00:00"/>
    <x v="2"/>
    <x v="1"/>
    <n v="11845.18"/>
    <x v="61"/>
    <x v="1"/>
    <x v="1"/>
  </r>
  <r>
    <n v="66240"/>
    <x v="9"/>
    <x v="1"/>
    <n v="216"/>
    <n v="50"/>
    <n v="449.01"/>
    <x v="0"/>
    <d v="2024-07-01T00:00:00"/>
    <d v="2024-07-19T00:00:00"/>
    <x v="2"/>
    <x v="0"/>
    <n v="96986.16"/>
    <x v="0"/>
    <x v="0"/>
    <x v="0"/>
  </r>
  <r>
    <n v="46561"/>
    <x v="12"/>
    <x v="0"/>
    <n v="29"/>
    <n v="40"/>
    <n v="395.05"/>
    <x v="2"/>
    <d v="2024-05-23T00:00:00"/>
    <d v="2024-06-04T00:00:00"/>
    <x v="1"/>
    <x v="1"/>
    <n v="11456.45"/>
    <x v="52"/>
    <x v="1"/>
    <x v="1"/>
  </r>
  <r>
    <n v="20785"/>
    <x v="14"/>
    <x v="4"/>
    <n v="190"/>
    <n v="80"/>
    <n v="430.06"/>
    <x v="2"/>
    <d v="2024-06-03T00:00:00"/>
    <d v="2024-06-17T00:00:00"/>
    <x v="0"/>
    <x v="0"/>
    <n v="81711.399999999994"/>
    <x v="0"/>
    <x v="1"/>
    <x v="0"/>
  </r>
  <r>
    <n v="86106"/>
    <x v="15"/>
    <x v="4"/>
    <n v="133"/>
    <n v="80"/>
    <n v="167.44"/>
    <x v="1"/>
    <d v="2024-12-02T00:00:00"/>
    <d v="2024-12-30T00:00:00"/>
    <x v="1"/>
    <x v="0"/>
    <n v="22269.52"/>
    <x v="0"/>
    <x v="1"/>
    <x v="0"/>
  </r>
  <r>
    <n v="33474"/>
    <x v="5"/>
    <x v="2"/>
    <n v="481"/>
    <n v="50"/>
    <n v="402.19"/>
    <x v="1"/>
    <d v="2024-06-14T00:00:00"/>
    <d v="2024-07-02T00:00:00"/>
    <x v="0"/>
    <x v="0"/>
    <n v="193453.38999999998"/>
    <x v="0"/>
    <x v="0"/>
    <x v="0"/>
  </r>
  <r>
    <n v="12716"/>
    <x v="3"/>
    <x v="2"/>
    <n v="275"/>
    <n v="100"/>
    <n v="429.96"/>
    <x v="2"/>
    <d v="2024-04-18T00:00:00"/>
    <d v="2024-04-23T00:00:00"/>
    <x v="1"/>
    <x v="0"/>
    <n v="118239"/>
    <x v="0"/>
    <x v="1"/>
    <x v="0"/>
  </r>
  <r>
    <n v="60906"/>
    <x v="3"/>
    <x v="2"/>
    <n v="245"/>
    <n v="80"/>
    <n v="31.55"/>
    <x v="2"/>
    <d v="2024-10-09T00:00:00"/>
    <d v="2024-10-14T00:00:00"/>
    <x v="1"/>
    <x v="0"/>
    <n v="7729.75"/>
    <x v="0"/>
    <x v="0"/>
    <x v="0"/>
  </r>
  <r>
    <n v="21695"/>
    <x v="9"/>
    <x v="1"/>
    <n v="330"/>
    <n v="30"/>
    <n v="276.70999999999998"/>
    <x v="4"/>
    <d v="2024-06-26T00:00:00"/>
    <d v="2024-07-17T00:00:00"/>
    <x v="1"/>
    <x v="0"/>
    <n v="91314.299999999988"/>
    <x v="0"/>
    <x v="0"/>
    <x v="0"/>
  </r>
  <r>
    <n v="40480"/>
    <x v="12"/>
    <x v="0"/>
    <n v="445"/>
    <n v="40"/>
    <n v="420.23"/>
    <x v="2"/>
    <d v="2024-09-09T00:00:00"/>
    <d v="2024-10-14T00:00:00"/>
    <x v="1"/>
    <x v="0"/>
    <n v="187002.35"/>
    <x v="0"/>
    <x v="0"/>
    <x v="0"/>
  </r>
  <r>
    <n v="47425"/>
    <x v="11"/>
    <x v="4"/>
    <n v="205"/>
    <n v="30"/>
    <n v="28.36"/>
    <x v="2"/>
    <d v="2024-03-10T00:00:00"/>
    <d v="2024-04-10T00:00:00"/>
    <x v="1"/>
    <x v="0"/>
    <n v="5813.8"/>
    <x v="0"/>
    <x v="0"/>
    <x v="0"/>
  </r>
  <r>
    <n v="25581"/>
    <x v="5"/>
    <x v="2"/>
    <n v="46"/>
    <n v="80"/>
    <n v="152.63999999999999"/>
    <x v="2"/>
    <d v="2024-12-17T00:00:00"/>
    <d v="2025-01-22T00:00:00"/>
    <x v="0"/>
    <x v="1"/>
    <n v="7021.44"/>
    <x v="38"/>
    <x v="1"/>
    <x v="1"/>
  </r>
  <r>
    <n v="33649"/>
    <x v="16"/>
    <x v="3"/>
    <n v="33"/>
    <n v="100"/>
    <n v="131.54"/>
    <x v="1"/>
    <d v="2024-11-29T00:00:00"/>
    <d v="2025-01-01T00:00:00"/>
    <x v="2"/>
    <x v="1"/>
    <n v="4340.82"/>
    <x v="62"/>
    <x v="1"/>
    <x v="1"/>
  </r>
  <r>
    <n v="24645"/>
    <x v="6"/>
    <x v="3"/>
    <n v="414"/>
    <n v="80"/>
    <n v="210.85"/>
    <x v="1"/>
    <d v="2024-01-14T00:00:00"/>
    <d v="2024-01-26T00:00:00"/>
    <x v="0"/>
    <x v="0"/>
    <n v="87291.9"/>
    <x v="0"/>
    <x v="0"/>
    <x v="0"/>
  </r>
  <r>
    <n v="24626"/>
    <x v="13"/>
    <x v="3"/>
    <n v="88"/>
    <n v="100"/>
    <n v="210.5"/>
    <x v="4"/>
    <d v="2024-03-25T00:00:00"/>
    <d v="2024-04-20T00:00:00"/>
    <x v="2"/>
    <x v="1"/>
    <n v="18524"/>
    <x v="50"/>
    <x v="1"/>
    <x v="1"/>
  </r>
  <r>
    <n v="16054"/>
    <x v="14"/>
    <x v="4"/>
    <n v="426"/>
    <n v="20"/>
    <n v="142.05000000000001"/>
    <x v="1"/>
    <d v="2024-05-09T00:00:00"/>
    <d v="2024-05-17T00:00:00"/>
    <x v="2"/>
    <x v="0"/>
    <n v="60513.3"/>
    <x v="0"/>
    <x v="0"/>
    <x v="0"/>
  </r>
  <r>
    <n v="76985"/>
    <x v="9"/>
    <x v="1"/>
    <n v="472"/>
    <n v="80"/>
    <n v="133.5"/>
    <x v="3"/>
    <d v="2024-01-16T00:00:00"/>
    <d v="2024-01-29T00:00:00"/>
    <x v="2"/>
    <x v="0"/>
    <n v="63012"/>
    <x v="0"/>
    <x v="0"/>
    <x v="0"/>
  </r>
  <r>
    <n v="55212"/>
    <x v="9"/>
    <x v="1"/>
    <n v="99"/>
    <n v="100"/>
    <n v="422.72"/>
    <x v="0"/>
    <d v="2024-10-04T00:00:00"/>
    <d v="2024-11-11T00:00:00"/>
    <x v="2"/>
    <x v="1"/>
    <n v="41849.280000000006"/>
    <x v="32"/>
    <x v="1"/>
    <x v="1"/>
  </r>
  <r>
    <n v="21523"/>
    <x v="2"/>
    <x v="1"/>
    <n v="326"/>
    <n v="20"/>
    <n v="119.76"/>
    <x v="4"/>
    <d v="2024-01-01T00:00:00"/>
    <d v="2024-01-29T00:00:00"/>
    <x v="2"/>
    <x v="0"/>
    <n v="39041.760000000002"/>
    <x v="0"/>
    <x v="0"/>
    <x v="0"/>
  </r>
  <r>
    <n v="15583"/>
    <x v="3"/>
    <x v="2"/>
    <n v="58"/>
    <n v="20"/>
    <n v="360.77"/>
    <x v="1"/>
    <d v="2024-04-14T00:00:00"/>
    <d v="2024-04-24T00:00:00"/>
    <x v="1"/>
    <x v="0"/>
    <n v="20924.66"/>
    <x v="0"/>
    <x v="1"/>
    <x v="0"/>
  </r>
  <r>
    <n v="81792"/>
    <x v="11"/>
    <x v="4"/>
    <n v="471"/>
    <n v="20"/>
    <n v="198.95"/>
    <x v="4"/>
    <d v="2024-01-18T00:00:00"/>
    <d v="2024-02-04T00:00:00"/>
    <x v="1"/>
    <x v="0"/>
    <n v="93705.45"/>
    <x v="0"/>
    <x v="0"/>
    <x v="0"/>
  </r>
  <r>
    <n v="12809"/>
    <x v="13"/>
    <x v="3"/>
    <n v="464"/>
    <n v="150"/>
    <n v="387.73"/>
    <x v="1"/>
    <d v="2024-06-30T00:00:00"/>
    <d v="2024-08-03T00:00:00"/>
    <x v="2"/>
    <x v="0"/>
    <n v="179906.72"/>
    <x v="0"/>
    <x v="0"/>
    <x v="0"/>
  </r>
  <r>
    <n v="47333"/>
    <x v="12"/>
    <x v="0"/>
    <n v="70"/>
    <n v="30"/>
    <n v="493.51"/>
    <x v="1"/>
    <d v="2024-10-22T00:00:00"/>
    <d v="2024-11-01T00:00:00"/>
    <x v="0"/>
    <x v="0"/>
    <n v="34545.699999999997"/>
    <x v="0"/>
    <x v="1"/>
    <x v="0"/>
  </r>
  <r>
    <n v="72894"/>
    <x v="4"/>
    <x v="0"/>
    <n v="304"/>
    <n v="50"/>
    <n v="432.15"/>
    <x v="2"/>
    <d v="2024-10-11T00:00:00"/>
    <d v="2024-11-05T00:00:00"/>
    <x v="2"/>
    <x v="0"/>
    <n v="131373.6"/>
    <x v="0"/>
    <x v="0"/>
    <x v="0"/>
  </r>
  <r>
    <n v="58821"/>
    <x v="3"/>
    <x v="2"/>
    <n v="197"/>
    <n v="50"/>
    <n v="414.62"/>
    <x v="3"/>
    <d v="2024-11-23T00:00:00"/>
    <d v="2024-11-28T00:00:00"/>
    <x v="0"/>
    <x v="0"/>
    <n v="81680.14"/>
    <x v="0"/>
    <x v="0"/>
    <x v="0"/>
  </r>
  <r>
    <n v="88812"/>
    <x v="5"/>
    <x v="2"/>
    <n v="318"/>
    <n v="20"/>
    <n v="149.22"/>
    <x v="0"/>
    <d v="2024-04-08T00:00:00"/>
    <d v="2024-05-12T00:00:00"/>
    <x v="2"/>
    <x v="0"/>
    <n v="47451.96"/>
    <x v="0"/>
    <x v="0"/>
    <x v="0"/>
  </r>
  <r>
    <n v="77695"/>
    <x v="6"/>
    <x v="3"/>
    <n v="424"/>
    <n v="30"/>
    <n v="57.87"/>
    <x v="1"/>
    <d v="2024-01-31T00:00:00"/>
    <d v="2024-03-05T00:00:00"/>
    <x v="1"/>
    <x v="0"/>
    <n v="24536.879999999997"/>
    <x v="0"/>
    <x v="0"/>
    <x v="0"/>
  </r>
  <r>
    <n v="38610"/>
    <x v="14"/>
    <x v="4"/>
    <n v="293"/>
    <n v="100"/>
    <n v="338.64"/>
    <x v="0"/>
    <d v="2024-07-25T00:00:00"/>
    <d v="2024-08-20T00:00:00"/>
    <x v="0"/>
    <x v="0"/>
    <n v="99221.51999999999"/>
    <x v="0"/>
    <x v="1"/>
    <x v="0"/>
  </r>
  <r>
    <n v="70892"/>
    <x v="4"/>
    <x v="0"/>
    <n v="290"/>
    <n v="30"/>
    <n v="99.11"/>
    <x v="4"/>
    <d v="2024-11-03T00:00:00"/>
    <d v="2024-11-28T00:00:00"/>
    <x v="0"/>
    <x v="0"/>
    <n v="28741.9"/>
    <x v="0"/>
    <x v="0"/>
    <x v="0"/>
  </r>
  <r>
    <n v="12895"/>
    <x v="10"/>
    <x v="2"/>
    <n v="218"/>
    <n v="80"/>
    <n v="430.52"/>
    <x v="2"/>
    <d v="2024-03-01T00:00:00"/>
    <d v="2024-03-31T00:00:00"/>
    <x v="0"/>
    <x v="0"/>
    <n v="93853.36"/>
    <x v="0"/>
    <x v="1"/>
    <x v="0"/>
  </r>
  <r>
    <n v="95382"/>
    <x v="4"/>
    <x v="0"/>
    <n v="191"/>
    <n v="40"/>
    <n v="12.12"/>
    <x v="2"/>
    <d v="2024-07-05T00:00:00"/>
    <d v="2024-08-01T00:00:00"/>
    <x v="0"/>
    <x v="0"/>
    <n v="2314.92"/>
    <x v="0"/>
    <x v="0"/>
    <x v="0"/>
  </r>
  <r>
    <n v="88863"/>
    <x v="12"/>
    <x v="0"/>
    <n v="161"/>
    <n v="100"/>
    <n v="476.5"/>
    <x v="0"/>
    <d v="2024-07-24T00:00:00"/>
    <d v="2024-08-11T00:00:00"/>
    <x v="2"/>
    <x v="0"/>
    <n v="76716.5"/>
    <x v="0"/>
    <x v="1"/>
    <x v="0"/>
  </r>
  <r>
    <n v="53880"/>
    <x v="11"/>
    <x v="4"/>
    <n v="124"/>
    <n v="20"/>
    <n v="254.16"/>
    <x v="2"/>
    <d v="2024-11-21T00:00:00"/>
    <d v="2024-12-17T00:00:00"/>
    <x v="0"/>
    <x v="0"/>
    <n v="31515.84"/>
    <x v="0"/>
    <x v="0"/>
    <x v="0"/>
  </r>
  <r>
    <n v="80934"/>
    <x v="13"/>
    <x v="3"/>
    <n v="197"/>
    <n v="40"/>
    <n v="191.79"/>
    <x v="1"/>
    <d v="2024-02-14T00:00:00"/>
    <d v="2024-03-22T00:00:00"/>
    <x v="0"/>
    <x v="0"/>
    <n v="37782.629999999997"/>
    <x v="0"/>
    <x v="0"/>
    <x v="0"/>
  </r>
  <r>
    <n v="89737"/>
    <x v="12"/>
    <x v="0"/>
    <n v="281"/>
    <n v="20"/>
    <n v="26.33"/>
    <x v="3"/>
    <d v="2024-04-18T00:00:00"/>
    <d v="2024-05-19T00:00:00"/>
    <x v="1"/>
    <x v="0"/>
    <n v="7398.73"/>
    <x v="0"/>
    <x v="0"/>
    <x v="0"/>
  </r>
  <r>
    <n v="73656"/>
    <x v="13"/>
    <x v="3"/>
    <n v="34"/>
    <n v="150"/>
    <n v="316.14"/>
    <x v="3"/>
    <d v="2024-02-03T00:00:00"/>
    <d v="2024-03-11T00:00:00"/>
    <x v="1"/>
    <x v="1"/>
    <n v="10748.76"/>
    <x v="3"/>
    <x v="1"/>
    <x v="1"/>
  </r>
  <r>
    <n v="30028"/>
    <x v="5"/>
    <x v="2"/>
    <n v="31"/>
    <n v="150"/>
    <n v="405.09"/>
    <x v="2"/>
    <d v="2024-04-14T00:00:00"/>
    <d v="2024-04-19T00:00:00"/>
    <x v="2"/>
    <x v="1"/>
    <n v="12557.789999999999"/>
    <x v="63"/>
    <x v="1"/>
    <x v="1"/>
  </r>
  <r>
    <n v="21360"/>
    <x v="15"/>
    <x v="4"/>
    <n v="89"/>
    <n v="30"/>
    <n v="345.96"/>
    <x v="1"/>
    <d v="2024-05-05T00:00:00"/>
    <d v="2024-05-26T00:00:00"/>
    <x v="1"/>
    <x v="0"/>
    <n v="30790.44"/>
    <x v="0"/>
    <x v="1"/>
    <x v="0"/>
  </r>
  <r>
    <n v="70942"/>
    <x v="15"/>
    <x v="4"/>
    <n v="447"/>
    <n v="50"/>
    <n v="302.47000000000003"/>
    <x v="0"/>
    <d v="2024-02-10T00:00:00"/>
    <d v="2024-03-17T00:00:00"/>
    <x v="0"/>
    <x v="0"/>
    <n v="135204.09000000003"/>
    <x v="0"/>
    <x v="0"/>
    <x v="0"/>
  </r>
  <r>
    <n v="25630"/>
    <x v="5"/>
    <x v="2"/>
    <n v="441"/>
    <n v="30"/>
    <n v="192.22"/>
    <x v="3"/>
    <d v="2024-04-23T00:00:00"/>
    <d v="2024-05-04T00:00:00"/>
    <x v="1"/>
    <x v="0"/>
    <n v="84769.02"/>
    <x v="0"/>
    <x v="0"/>
    <x v="0"/>
  </r>
  <r>
    <n v="55156"/>
    <x v="4"/>
    <x v="0"/>
    <n v="446"/>
    <n v="30"/>
    <n v="161.47"/>
    <x v="0"/>
    <d v="2024-03-14T00:00:00"/>
    <d v="2024-04-12T00:00:00"/>
    <x v="0"/>
    <x v="0"/>
    <n v="72015.62"/>
    <x v="0"/>
    <x v="0"/>
    <x v="0"/>
  </r>
  <r>
    <n v="80456"/>
    <x v="8"/>
    <x v="1"/>
    <n v="343"/>
    <n v="100"/>
    <n v="152.5"/>
    <x v="1"/>
    <d v="2024-05-24T00:00:00"/>
    <d v="2024-06-21T00:00:00"/>
    <x v="0"/>
    <x v="0"/>
    <n v="52307.5"/>
    <x v="0"/>
    <x v="0"/>
    <x v="0"/>
  </r>
  <r>
    <n v="71607"/>
    <x v="4"/>
    <x v="0"/>
    <n v="471"/>
    <n v="20"/>
    <n v="174.71"/>
    <x v="1"/>
    <d v="2024-09-29T00:00:00"/>
    <d v="2024-11-02T00:00:00"/>
    <x v="1"/>
    <x v="0"/>
    <n v="82288.41"/>
    <x v="0"/>
    <x v="0"/>
    <x v="0"/>
  </r>
  <r>
    <n v="89401"/>
    <x v="16"/>
    <x v="3"/>
    <n v="401"/>
    <n v="150"/>
    <n v="144.77000000000001"/>
    <x v="2"/>
    <d v="2024-03-14T00:00:00"/>
    <d v="2024-04-04T00:00:00"/>
    <x v="0"/>
    <x v="0"/>
    <n v="58052.770000000004"/>
    <x v="0"/>
    <x v="1"/>
    <x v="0"/>
  </r>
  <r>
    <n v="33889"/>
    <x v="13"/>
    <x v="3"/>
    <n v="16"/>
    <n v="20"/>
    <n v="445.67"/>
    <x v="0"/>
    <d v="2024-06-05T00:00:00"/>
    <d v="2024-07-10T00:00:00"/>
    <x v="1"/>
    <x v="1"/>
    <n v="7130.72"/>
    <x v="64"/>
    <x v="1"/>
    <x v="1"/>
  </r>
  <r>
    <n v="62057"/>
    <x v="10"/>
    <x v="2"/>
    <n v="204"/>
    <n v="150"/>
    <n v="252.1"/>
    <x v="2"/>
    <d v="2024-09-03T00:00:00"/>
    <d v="2024-09-26T00:00:00"/>
    <x v="2"/>
    <x v="0"/>
    <n v="51428.4"/>
    <x v="0"/>
    <x v="1"/>
    <x v="0"/>
  </r>
  <r>
    <n v="28100"/>
    <x v="2"/>
    <x v="1"/>
    <n v="153"/>
    <n v="100"/>
    <n v="480.97"/>
    <x v="0"/>
    <d v="2024-12-03T00:00:00"/>
    <d v="2025-01-08T00:00:00"/>
    <x v="2"/>
    <x v="0"/>
    <n v="73588.41"/>
    <x v="0"/>
    <x v="1"/>
    <x v="0"/>
  </r>
  <r>
    <n v="48762"/>
    <x v="2"/>
    <x v="1"/>
    <n v="274"/>
    <n v="20"/>
    <n v="153.12"/>
    <x v="3"/>
    <d v="2024-03-16T00:00:00"/>
    <d v="2024-03-23T00:00:00"/>
    <x v="1"/>
    <x v="0"/>
    <n v="41954.880000000005"/>
    <x v="0"/>
    <x v="0"/>
    <x v="0"/>
  </r>
  <r>
    <n v="84797"/>
    <x v="15"/>
    <x v="4"/>
    <n v="199"/>
    <n v="50"/>
    <n v="396.69"/>
    <x v="2"/>
    <d v="2024-04-27T00:00:00"/>
    <d v="2024-05-08T00:00:00"/>
    <x v="0"/>
    <x v="0"/>
    <n v="78941.31"/>
    <x v="0"/>
    <x v="0"/>
    <x v="0"/>
  </r>
  <r>
    <n v="13228"/>
    <x v="8"/>
    <x v="1"/>
    <n v="24"/>
    <n v="30"/>
    <n v="35.94"/>
    <x v="2"/>
    <d v="2024-05-23T00:00:00"/>
    <d v="2024-06-04T00:00:00"/>
    <x v="2"/>
    <x v="1"/>
    <n v="862.56"/>
    <x v="48"/>
    <x v="1"/>
    <x v="1"/>
  </r>
  <r>
    <n v="55254"/>
    <x v="1"/>
    <x v="0"/>
    <n v="70"/>
    <n v="20"/>
    <n v="113.47"/>
    <x v="3"/>
    <d v="2024-06-02T00:00:00"/>
    <d v="2024-07-02T00:00:00"/>
    <x v="2"/>
    <x v="0"/>
    <n v="7942.9"/>
    <x v="0"/>
    <x v="0"/>
    <x v="0"/>
  </r>
  <r>
    <n v="61658"/>
    <x v="8"/>
    <x v="1"/>
    <n v="211"/>
    <n v="150"/>
    <n v="57.53"/>
    <x v="1"/>
    <d v="2024-03-08T00:00:00"/>
    <d v="2024-04-07T00:00:00"/>
    <x v="2"/>
    <x v="0"/>
    <n v="12138.83"/>
    <x v="0"/>
    <x v="1"/>
    <x v="0"/>
  </r>
  <r>
    <n v="36327"/>
    <x v="4"/>
    <x v="0"/>
    <n v="48"/>
    <n v="50"/>
    <n v="481.24"/>
    <x v="1"/>
    <d v="2024-09-25T00:00:00"/>
    <d v="2024-10-13T00:00:00"/>
    <x v="2"/>
    <x v="1"/>
    <n v="23099.52"/>
    <x v="6"/>
    <x v="1"/>
    <x v="1"/>
  </r>
  <r>
    <n v="98150"/>
    <x v="7"/>
    <x v="3"/>
    <n v="303"/>
    <n v="50"/>
    <n v="31.62"/>
    <x v="4"/>
    <d v="2024-08-21T00:00:00"/>
    <d v="2024-09-03T00:00:00"/>
    <x v="1"/>
    <x v="0"/>
    <n v="9580.86"/>
    <x v="0"/>
    <x v="0"/>
    <x v="0"/>
  </r>
  <r>
    <n v="91163"/>
    <x v="2"/>
    <x v="1"/>
    <n v="303"/>
    <n v="50"/>
    <n v="370.39"/>
    <x v="1"/>
    <d v="2024-10-02T00:00:00"/>
    <d v="2024-10-09T00:00:00"/>
    <x v="2"/>
    <x v="0"/>
    <n v="112228.17"/>
    <x v="0"/>
    <x v="0"/>
    <x v="0"/>
  </r>
  <r>
    <n v="13089"/>
    <x v="5"/>
    <x v="2"/>
    <n v="43"/>
    <n v="80"/>
    <n v="260.26"/>
    <x v="2"/>
    <d v="2024-07-10T00:00:00"/>
    <d v="2024-08-05T00:00:00"/>
    <x v="1"/>
    <x v="1"/>
    <n v="11191.18"/>
    <x v="65"/>
    <x v="1"/>
    <x v="1"/>
  </r>
  <r>
    <n v="99242"/>
    <x v="6"/>
    <x v="3"/>
    <n v="487"/>
    <n v="150"/>
    <n v="279.97000000000003"/>
    <x v="4"/>
    <d v="2024-01-19T00:00:00"/>
    <d v="2024-01-29T00:00:00"/>
    <x v="1"/>
    <x v="0"/>
    <n v="136345.39000000001"/>
    <x v="0"/>
    <x v="0"/>
    <x v="0"/>
  </r>
  <r>
    <n v="22665"/>
    <x v="7"/>
    <x v="3"/>
    <n v="134"/>
    <n v="40"/>
    <n v="341.79"/>
    <x v="4"/>
    <d v="2024-05-22T00:00:00"/>
    <d v="2024-05-29T00:00:00"/>
    <x v="1"/>
    <x v="0"/>
    <n v="45799.86"/>
    <x v="0"/>
    <x v="0"/>
    <x v="0"/>
  </r>
  <r>
    <n v="76708"/>
    <x v="16"/>
    <x v="3"/>
    <n v="8"/>
    <n v="150"/>
    <n v="74.569999999999993"/>
    <x v="3"/>
    <d v="2024-01-17T00:00:00"/>
    <d v="2024-02-16T00:00:00"/>
    <x v="1"/>
    <x v="1"/>
    <n v="596.55999999999995"/>
    <x v="66"/>
    <x v="1"/>
    <x v="1"/>
  </r>
  <r>
    <n v="95643"/>
    <x v="14"/>
    <x v="4"/>
    <n v="34"/>
    <n v="150"/>
    <n v="476.79"/>
    <x v="2"/>
    <d v="2024-01-14T00:00:00"/>
    <d v="2024-01-28T00:00:00"/>
    <x v="1"/>
    <x v="1"/>
    <n v="16210.86"/>
    <x v="3"/>
    <x v="1"/>
    <x v="1"/>
  </r>
  <r>
    <n v="40825"/>
    <x v="14"/>
    <x v="4"/>
    <n v="9"/>
    <n v="30"/>
    <n v="55.18"/>
    <x v="4"/>
    <d v="2024-08-10T00:00:00"/>
    <d v="2024-08-15T00:00:00"/>
    <x v="2"/>
    <x v="1"/>
    <n v="496.62"/>
    <x v="28"/>
    <x v="1"/>
    <x v="1"/>
  </r>
  <r>
    <n v="60017"/>
    <x v="2"/>
    <x v="1"/>
    <n v="196"/>
    <n v="40"/>
    <n v="461.69"/>
    <x v="4"/>
    <d v="2024-03-21T00:00:00"/>
    <d v="2024-04-04T00:00:00"/>
    <x v="1"/>
    <x v="0"/>
    <n v="90491.24"/>
    <x v="0"/>
    <x v="0"/>
    <x v="0"/>
  </r>
  <r>
    <n v="26121"/>
    <x v="3"/>
    <x v="2"/>
    <n v="440"/>
    <n v="150"/>
    <n v="128.16999999999999"/>
    <x v="0"/>
    <d v="2024-01-02T00:00:00"/>
    <d v="2024-01-14T00:00:00"/>
    <x v="0"/>
    <x v="0"/>
    <n v="56394.799999999996"/>
    <x v="0"/>
    <x v="1"/>
    <x v="0"/>
  </r>
  <r>
    <n v="20492"/>
    <x v="4"/>
    <x v="0"/>
    <n v="468"/>
    <n v="50"/>
    <n v="132.44999999999999"/>
    <x v="1"/>
    <d v="2024-10-18T00:00:00"/>
    <d v="2024-11-20T00:00:00"/>
    <x v="0"/>
    <x v="0"/>
    <n v="61986.599999999991"/>
    <x v="0"/>
    <x v="0"/>
    <x v="0"/>
  </r>
  <r>
    <n v="41624"/>
    <x v="7"/>
    <x v="3"/>
    <n v="305"/>
    <n v="100"/>
    <n v="466.77"/>
    <x v="3"/>
    <d v="2024-08-03T00:00:00"/>
    <d v="2024-08-30T00:00:00"/>
    <x v="2"/>
    <x v="0"/>
    <n v="142364.85"/>
    <x v="0"/>
    <x v="0"/>
    <x v="0"/>
  </r>
  <r>
    <n v="73753"/>
    <x v="7"/>
    <x v="3"/>
    <n v="85"/>
    <n v="50"/>
    <n v="426.85"/>
    <x v="4"/>
    <d v="2024-05-24T00:00:00"/>
    <d v="2024-06-21T00:00:00"/>
    <x v="2"/>
    <x v="0"/>
    <n v="36282.25"/>
    <x v="0"/>
    <x v="1"/>
    <x v="0"/>
  </r>
  <r>
    <n v="96840"/>
    <x v="16"/>
    <x v="3"/>
    <n v="381"/>
    <n v="150"/>
    <n v="244.33"/>
    <x v="2"/>
    <d v="2024-01-18T00:00:00"/>
    <d v="2024-02-19T00:00:00"/>
    <x v="2"/>
    <x v="0"/>
    <n v="93089.73000000001"/>
    <x v="0"/>
    <x v="1"/>
    <x v="0"/>
  </r>
  <r>
    <n v="34600"/>
    <x v="5"/>
    <x v="2"/>
    <n v="109"/>
    <n v="20"/>
    <n v="385.53"/>
    <x v="0"/>
    <d v="2024-02-01T00:00:00"/>
    <d v="2024-03-02T00:00:00"/>
    <x v="1"/>
    <x v="0"/>
    <n v="42022.77"/>
    <x v="0"/>
    <x v="0"/>
    <x v="0"/>
  </r>
  <r>
    <n v="23543"/>
    <x v="14"/>
    <x v="4"/>
    <n v="179"/>
    <n v="100"/>
    <n v="194.53"/>
    <x v="3"/>
    <d v="2024-10-13T00:00:00"/>
    <d v="2024-10-24T00:00:00"/>
    <x v="0"/>
    <x v="0"/>
    <n v="34820.870000000003"/>
    <x v="0"/>
    <x v="1"/>
    <x v="0"/>
  </r>
  <r>
    <n v="96450"/>
    <x v="11"/>
    <x v="4"/>
    <n v="174"/>
    <n v="20"/>
    <n v="199.66"/>
    <x v="1"/>
    <d v="2024-03-24T00:00:00"/>
    <d v="2024-05-02T00:00:00"/>
    <x v="0"/>
    <x v="0"/>
    <n v="34740.839999999997"/>
    <x v="0"/>
    <x v="0"/>
    <x v="0"/>
  </r>
  <r>
    <n v="34918"/>
    <x v="11"/>
    <x v="4"/>
    <n v="253"/>
    <n v="80"/>
    <n v="442.98"/>
    <x v="2"/>
    <d v="2024-11-04T00:00:00"/>
    <d v="2024-11-18T00:00:00"/>
    <x v="0"/>
    <x v="0"/>
    <n v="112073.94"/>
    <x v="0"/>
    <x v="0"/>
    <x v="0"/>
  </r>
  <r>
    <n v="91731"/>
    <x v="5"/>
    <x v="2"/>
    <n v="185"/>
    <n v="30"/>
    <n v="433.21"/>
    <x v="1"/>
    <d v="2024-01-13T00:00:00"/>
    <d v="2024-02-11T00:00:00"/>
    <x v="1"/>
    <x v="0"/>
    <n v="80143.849999999991"/>
    <x v="0"/>
    <x v="0"/>
    <x v="0"/>
  </r>
  <r>
    <n v="78416"/>
    <x v="14"/>
    <x v="4"/>
    <n v="349"/>
    <n v="40"/>
    <n v="104.72"/>
    <x v="2"/>
    <d v="2024-09-07T00:00:00"/>
    <d v="2024-09-27T00:00:00"/>
    <x v="2"/>
    <x v="0"/>
    <n v="36547.279999999999"/>
    <x v="0"/>
    <x v="0"/>
    <x v="0"/>
  </r>
  <r>
    <n v="97453"/>
    <x v="16"/>
    <x v="3"/>
    <n v="391"/>
    <n v="30"/>
    <n v="456.84"/>
    <x v="4"/>
    <d v="2024-01-05T00:00:00"/>
    <d v="2024-02-04T00:00:00"/>
    <x v="1"/>
    <x v="0"/>
    <n v="178624.44"/>
    <x v="0"/>
    <x v="0"/>
    <x v="0"/>
  </r>
  <r>
    <n v="70289"/>
    <x v="6"/>
    <x v="3"/>
    <n v="89"/>
    <n v="40"/>
    <n v="55.67"/>
    <x v="0"/>
    <d v="2024-09-11T00:00:00"/>
    <d v="2024-09-27T00:00:00"/>
    <x v="2"/>
    <x v="0"/>
    <n v="4954.63"/>
    <x v="0"/>
    <x v="1"/>
    <x v="0"/>
  </r>
  <r>
    <n v="62311"/>
    <x v="16"/>
    <x v="3"/>
    <n v="469"/>
    <n v="50"/>
    <n v="44.46"/>
    <x v="2"/>
    <d v="2024-10-08T00:00:00"/>
    <d v="2024-11-07T00:00:00"/>
    <x v="1"/>
    <x v="0"/>
    <n v="20851.740000000002"/>
    <x v="0"/>
    <x v="0"/>
    <x v="0"/>
  </r>
  <r>
    <n v="87129"/>
    <x v="0"/>
    <x v="0"/>
    <n v="31"/>
    <n v="150"/>
    <n v="440.52"/>
    <x v="2"/>
    <d v="2024-01-05T00:00:00"/>
    <d v="2024-01-20T00:00:00"/>
    <x v="0"/>
    <x v="1"/>
    <n v="13656.119999999999"/>
    <x v="63"/>
    <x v="1"/>
    <x v="1"/>
  </r>
  <r>
    <n v="39087"/>
    <x v="8"/>
    <x v="1"/>
    <n v="365"/>
    <n v="30"/>
    <n v="423.26"/>
    <x v="0"/>
    <d v="2024-09-04T00:00:00"/>
    <d v="2024-09-15T00:00:00"/>
    <x v="1"/>
    <x v="0"/>
    <n v="154489.9"/>
    <x v="0"/>
    <x v="0"/>
    <x v="0"/>
  </r>
  <r>
    <n v="96436"/>
    <x v="0"/>
    <x v="0"/>
    <n v="197"/>
    <n v="20"/>
    <n v="108.47"/>
    <x v="4"/>
    <d v="2024-04-17T00:00:00"/>
    <d v="2024-05-17T00:00:00"/>
    <x v="0"/>
    <x v="0"/>
    <n v="21368.59"/>
    <x v="0"/>
    <x v="0"/>
    <x v="0"/>
  </r>
  <r>
    <n v="43757"/>
    <x v="16"/>
    <x v="3"/>
    <n v="496"/>
    <n v="40"/>
    <n v="424.4"/>
    <x v="4"/>
    <d v="2024-05-30T00:00:00"/>
    <d v="2024-06-19T00:00:00"/>
    <x v="1"/>
    <x v="0"/>
    <n v="210502.39999999999"/>
    <x v="0"/>
    <x v="0"/>
    <x v="0"/>
  </r>
  <r>
    <n v="30836"/>
    <x v="1"/>
    <x v="0"/>
    <n v="335"/>
    <n v="150"/>
    <n v="15.4"/>
    <x v="3"/>
    <d v="2024-10-26T00:00:00"/>
    <d v="2024-11-11T00:00:00"/>
    <x v="0"/>
    <x v="0"/>
    <n v="5159"/>
    <x v="0"/>
    <x v="1"/>
    <x v="0"/>
  </r>
  <r>
    <n v="37105"/>
    <x v="0"/>
    <x v="0"/>
    <n v="437"/>
    <n v="50"/>
    <n v="197.05"/>
    <x v="1"/>
    <d v="2024-11-07T00:00:00"/>
    <d v="2024-12-16T00:00:00"/>
    <x v="0"/>
    <x v="0"/>
    <n v="86110.85"/>
    <x v="0"/>
    <x v="0"/>
    <x v="0"/>
  </r>
  <r>
    <n v="92464"/>
    <x v="14"/>
    <x v="4"/>
    <n v="367"/>
    <n v="30"/>
    <n v="184.88"/>
    <x v="3"/>
    <d v="2024-02-11T00:00:00"/>
    <d v="2024-02-19T00:00:00"/>
    <x v="0"/>
    <x v="0"/>
    <n v="67850.959999999992"/>
    <x v="0"/>
    <x v="0"/>
    <x v="0"/>
  </r>
  <r>
    <n v="79202"/>
    <x v="5"/>
    <x v="2"/>
    <n v="170"/>
    <n v="20"/>
    <n v="121.62"/>
    <x v="0"/>
    <d v="2024-09-17T00:00:00"/>
    <d v="2024-10-20T00:00:00"/>
    <x v="2"/>
    <x v="0"/>
    <n v="20675.400000000001"/>
    <x v="0"/>
    <x v="0"/>
    <x v="0"/>
  </r>
  <r>
    <n v="29403"/>
    <x v="4"/>
    <x v="0"/>
    <n v="3"/>
    <n v="150"/>
    <n v="323.17"/>
    <x v="1"/>
    <d v="2024-10-18T00:00:00"/>
    <d v="2024-11-16T00:00:00"/>
    <x v="0"/>
    <x v="1"/>
    <n v="969.51"/>
    <x v="51"/>
    <x v="1"/>
    <x v="1"/>
  </r>
  <r>
    <n v="44765"/>
    <x v="10"/>
    <x v="2"/>
    <n v="60"/>
    <n v="80"/>
    <n v="94.43"/>
    <x v="2"/>
    <d v="2024-03-03T00:00:00"/>
    <d v="2024-04-10T00:00:00"/>
    <x v="0"/>
    <x v="1"/>
    <n v="5665.8"/>
    <x v="53"/>
    <x v="1"/>
    <x v="1"/>
  </r>
  <r>
    <n v="82267"/>
    <x v="9"/>
    <x v="1"/>
    <n v="428"/>
    <n v="30"/>
    <n v="372.47"/>
    <x v="2"/>
    <d v="2024-06-18T00:00:00"/>
    <d v="2024-07-08T00:00:00"/>
    <x v="0"/>
    <x v="0"/>
    <n v="159417.16"/>
    <x v="0"/>
    <x v="0"/>
    <x v="0"/>
  </r>
  <r>
    <n v="14951"/>
    <x v="11"/>
    <x v="4"/>
    <n v="0"/>
    <n v="150"/>
    <n v="333.55"/>
    <x v="0"/>
    <d v="2024-09-29T00:00:00"/>
    <d v="2024-10-30T00:00:00"/>
    <x v="2"/>
    <x v="1"/>
    <n v="0"/>
    <x v="67"/>
    <x v="1"/>
    <x v="1"/>
  </r>
  <r>
    <n v="84160"/>
    <x v="11"/>
    <x v="4"/>
    <n v="422"/>
    <n v="30"/>
    <n v="300.91000000000003"/>
    <x v="0"/>
    <d v="2024-10-20T00:00:00"/>
    <d v="2024-11-16T00:00:00"/>
    <x v="0"/>
    <x v="0"/>
    <n v="126984.02"/>
    <x v="0"/>
    <x v="0"/>
    <x v="0"/>
  </r>
  <r>
    <n v="70654"/>
    <x v="12"/>
    <x v="0"/>
    <n v="214"/>
    <n v="30"/>
    <n v="467.32"/>
    <x v="0"/>
    <d v="2024-08-19T00:00:00"/>
    <d v="2024-09-23T00:00:00"/>
    <x v="1"/>
    <x v="0"/>
    <n v="100006.48"/>
    <x v="0"/>
    <x v="0"/>
    <x v="0"/>
  </r>
  <r>
    <n v="82590"/>
    <x v="15"/>
    <x v="4"/>
    <n v="215"/>
    <n v="20"/>
    <n v="360.04"/>
    <x v="0"/>
    <d v="2024-03-20T00:00:00"/>
    <d v="2024-04-06T00:00:00"/>
    <x v="2"/>
    <x v="0"/>
    <n v="77408.600000000006"/>
    <x v="0"/>
    <x v="0"/>
    <x v="0"/>
  </r>
  <r>
    <n v="27718"/>
    <x v="4"/>
    <x v="0"/>
    <n v="419"/>
    <n v="40"/>
    <n v="350.1"/>
    <x v="4"/>
    <d v="2024-12-07T00:00:00"/>
    <d v="2024-12-23T00:00:00"/>
    <x v="1"/>
    <x v="0"/>
    <n v="146691.90000000002"/>
    <x v="0"/>
    <x v="0"/>
    <x v="0"/>
  </r>
  <r>
    <n v="53158"/>
    <x v="12"/>
    <x v="0"/>
    <n v="185"/>
    <n v="150"/>
    <n v="83.43"/>
    <x v="2"/>
    <d v="2024-03-24T00:00:00"/>
    <d v="2024-04-12T00:00:00"/>
    <x v="0"/>
    <x v="0"/>
    <n v="15434.550000000001"/>
    <x v="0"/>
    <x v="1"/>
    <x v="0"/>
  </r>
  <r>
    <n v="65501"/>
    <x v="6"/>
    <x v="3"/>
    <n v="144"/>
    <n v="30"/>
    <n v="420.53"/>
    <x v="2"/>
    <d v="2024-02-14T00:00:00"/>
    <d v="2024-03-07T00:00:00"/>
    <x v="1"/>
    <x v="0"/>
    <n v="60556.319999999992"/>
    <x v="0"/>
    <x v="0"/>
    <x v="0"/>
  </r>
  <r>
    <n v="89553"/>
    <x v="7"/>
    <x v="3"/>
    <n v="6"/>
    <n v="20"/>
    <n v="87.26"/>
    <x v="4"/>
    <d v="2024-03-08T00:00:00"/>
    <d v="2024-04-15T00:00:00"/>
    <x v="1"/>
    <x v="1"/>
    <n v="523.56000000000006"/>
    <x v="46"/>
    <x v="1"/>
    <x v="1"/>
  </r>
  <r>
    <n v="44235"/>
    <x v="11"/>
    <x v="4"/>
    <n v="296"/>
    <n v="80"/>
    <n v="30.98"/>
    <x v="0"/>
    <d v="2024-01-10T00:00:00"/>
    <d v="2024-02-10T00:00:00"/>
    <x v="0"/>
    <x v="0"/>
    <n v="9170.08"/>
    <x v="0"/>
    <x v="0"/>
    <x v="0"/>
  </r>
  <r>
    <n v="11168"/>
    <x v="8"/>
    <x v="1"/>
    <n v="230"/>
    <n v="100"/>
    <n v="96.23"/>
    <x v="4"/>
    <d v="2024-07-31T00:00:00"/>
    <d v="2024-08-13T00:00:00"/>
    <x v="2"/>
    <x v="0"/>
    <n v="22132.9"/>
    <x v="0"/>
    <x v="1"/>
    <x v="0"/>
  </r>
  <r>
    <n v="74817"/>
    <x v="2"/>
    <x v="1"/>
    <n v="478"/>
    <n v="50"/>
    <n v="304.92"/>
    <x v="3"/>
    <d v="2024-06-14T00:00:00"/>
    <d v="2024-07-07T00:00:00"/>
    <x v="0"/>
    <x v="0"/>
    <n v="145751.76"/>
    <x v="0"/>
    <x v="0"/>
    <x v="0"/>
  </r>
  <r>
    <n v="65390"/>
    <x v="2"/>
    <x v="1"/>
    <n v="220"/>
    <n v="40"/>
    <n v="270.08999999999997"/>
    <x v="3"/>
    <d v="2024-04-17T00:00:00"/>
    <d v="2024-05-01T00:00:00"/>
    <x v="0"/>
    <x v="0"/>
    <n v="59419.799999999996"/>
    <x v="0"/>
    <x v="0"/>
    <x v="0"/>
  </r>
  <r>
    <n v="13443"/>
    <x v="15"/>
    <x v="4"/>
    <n v="20"/>
    <n v="50"/>
    <n v="463.82"/>
    <x v="2"/>
    <d v="2024-11-07T00:00:00"/>
    <d v="2024-12-04T00:00:00"/>
    <x v="2"/>
    <x v="1"/>
    <n v="9276.4"/>
    <x v="68"/>
    <x v="1"/>
    <x v="1"/>
  </r>
  <r>
    <n v="38690"/>
    <x v="8"/>
    <x v="1"/>
    <n v="119"/>
    <n v="80"/>
    <n v="292.02"/>
    <x v="3"/>
    <d v="2024-07-16T00:00:00"/>
    <d v="2024-08-18T00:00:00"/>
    <x v="0"/>
    <x v="0"/>
    <n v="34750.379999999997"/>
    <x v="0"/>
    <x v="1"/>
    <x v="0"/>
  </r>
  <r>
    <n v="88462"/>
    <x v="6"/>
    <x v="3"/>
    <n v="425"/>
    <n v="80"/>
    <n v="199.17"/>
    <x v="4"/>
    <d v="2024-02-09T00:00:00"/>
    <d v="2024-02-16T00:00:00"/>
    <x v="2"/>
    <x v="0"/>
    <n v="84647.25"/>
    <x v="0"/>
    <x v="0"/>
    <x v="0"/>
  </r>
  <r>
    <n v="34502"/>
    <x v="6"/>
    <x v="3"/>
    <n v="467"/>
    <n v="50"/>
    <n v="62.1"/>
    <x v="0"/>
    <d v="2024-12-19T00:00:00"/>
    <d v="2025-01-13T00:00:00"/>
    <x v="0"/>
    <x v="0"/>
    <n v="29000.7"/>
    <x v="0"/>
    <x v="0"/>
    <x v="0"/>
  </r>
  <r>
    <n v="32738"/>
    <x v="16"/>
    <x v="3"/>
    <n v="86"/>
    <n v="20"/>
    <n v="8.06"/>
    <x v="1"/>
    <d v="2024-11-17T00:00:00"/>
    <d v="2024-12-10T00:00:00"/>
    <x v="2"/>
    <x v="0"/>
    <n v="693.16000000000008"/>
    <x v="0"/>
    <x v="0"/>
    <x v="0"/>
  </r>
  <r>
    <n v="36128"/>
    <x v="10"/>
    <x v="2"/>
    <n v="16"/>
    <n v="40"/>
    <n v="132.53"/>
    <x v="4"/>
    <d v="2024-03-03T00:00:00"/>
    <d v="2024-03-26T00:00:00"/>
    <x v="1"/>
    <x v="1"/>
    <n v="2120.48"/>
    <x v="69"/>
    <x v="1"/>
    <x v="1"/>
  </r>
  <r>
    <n v="48885"/>
    <x v="14"/>
    <x v="4"/>
    <n v="245"/>
    <n v="40"/>
    <n v="122.17"/>
    <x v="3"/>
    <d v="2024-02-08T00:00:00"/>
    <d v="2024-02-16T00:00:00"/>
    <x v="0"/>
    <x v="0"/>
    <n v="29931.65"/>
    <x v="0"/>
    <x v="0"/>
    <x v="0"/>
  </r>
  <r>
    <n v="61012"/>
    <x v="1"/>
    <x v="0"/>
    <n v="215"/>
    <n v="80"/>
    <n v="117.49"/>
    <x v="1"/>
    <d v="2024-11-02T00:00:00"/>
    <d v="2024-11-30T00:00:00"/>
    <x v="2"/>
    <x v="0"/>
    <n v="25260.35"/>
    <x v="0"/>
    <x v="1"/>
    <x v="0"/>
  </r>
  <r>
    <n v="97318"/>
    <x v="9"/>
    <x v="1"/>
    <n v="267"/>
    <n v="30"/>
    <n v="188.63"/>
    <x v="3"/>
    <d v="2024-12-09T00:00:00"/>
    <d v="2024-12-24T00:00:00"/>
    <x v="0"/>
    <x v="0"/>
    <n v="50364.21"/>
    <x v="0"/>
    <x v="0"/>
    <x v="0"/>
  </r>
  <r>
    <n v="60251"/>
    <x v="0"/>
    <x v="0"/>
    <n v="270"/>
    <n v="50"/>
    <n v="244.67"/>
    <x v="2"/>
    <d v="2024-08-01T00:00:00"/>
    <d v="2024-09-01T00:00:00"/>
    <x v="0"/>
    <x v="0"/>
    <n v="66060.899999999994"/>
    <x v="0"/>
    <x v="0"/>
    <x v="0"/>
  </r>
  <r>
    <n v="64205"/>
    <x v="16"/>
    <x v="3"/>
    <n v="108"/>
    <n v="20"/>
    <n v="121.82"/>
    <x v="2"/>
    <d v="2024-11-10T00:00:00"/>
    <d v="2024-12-16T00:00:00"/>
    <x v="2"/>
    <x v="0"/>
    <n v="13156.56"/>
    <x v="0"/>
    <x v="0"/>
    <x v="0"/>
  </r>
  <r>
    <n v="39777"/>
    <x v="11"/>
    <x v="4"/>
    <n v="415"/>
    <n v="40"/>
    <n v="354.94"/>
    <x v="2"/>
    <d v="2024-06-15T00:00:00"/>
    <d v="2024-07-18T00:00:00"/>
    <x v="2"/>
    <x v="0"/>
    <n v="147300.1"/>
    <x v="0"/>
    <x v="0"/>
    <x v="0"/>
  </r>
  <r>
    <n v="89026"/>
    <x v="15"/>
    <x v="4"/>
    <n v="419"/>
    <n v="30"/>
    <n v="70.05"/>
    <x v="0"/>
    <d v="2024-07-19T00:00:00"/>
    <d v="2024-07-31T00:00:00"/>
    <x v="2"/>
    <x v="0"/>
    <n v="29350.949999999997"/>
    <x v="0"/>
    <x v="0"/>
    <x v="0"/>
  </r>
  <r>
    <n v="16378"/>
    <x v="13"/>
    <x v="3"/>
    <n v="219"/>
    <n v="100"/>
    <n v="448.3"/>
    <x v="2"/>
    <d v="2024-07-22T00:00:00"/>
    <d v="2024-07-28T00:00:00"/>
    <x v="0"/>
    <x v="0"/>
    <n v="98177.7"/>
    <x v="0"/>
    <x v="1"/>
    <x v="0"/>
  </r>
  <r>
    <n v="24953"/>
    <x v="12"/>
    <x v="0"/>
    <n v="87"/>
    <n v="20"/>
    <n v="179.97"/>
    <x v="4"/>
    <d v="2024-07-03T00:00:00"/>
    <d v="2024-08-07T00:00:00"/>
    <x v="2"/>
    <x v="0"/>
    <n v="15657.39"/>
    <x v="0"/>
    <x v="0"/>
    <x v="0"/>
  </r>
  <r>
    <n v="39661"/>
    <x v="11"/>
    <x v="4"/>
    <n v="379"/>
    <n v="50"/>
    <n v="259.47000000000003"/>
    <x v="2"/>
    <d v="2024-03-14T00:00:00"/>
    <d v="2024-04-02T00:00:00"/>
    <x v="2"/>
    <x v="0"/>
    <n v="98339.13"/>
    <x v="0"/>
    <x v="0"/>
    <x v="0"/>
  </r>
  <r>
    <n v="43477"/>
    <x v="9"/>
    <x v="1"/>
    <n v="317"/>
    <n v="20"/>
    <n v="359.41"/>
    <x v="1"/>
    <d v="2024-09-08T00:00:00"/>
    <d v="2024-10-16T00:00:00"/>
    <x v="2"/>
    <x v="0"/>
    <n v="113932.97"/>
    <x v="0"/>
    <x v="0"/>
    <x v="0"/>
  </r>
  <r>
    <n v="30805"/>
    <x v="13"/>
    <x v="3"/>
    <n v="178"/>
    <n v="100"/>
    <n v="200.73"/>
    <x v="1"/>
    <d v="2024-09-27T00:00:00"/>
    <d v="2024-10-15T00:00:00"/>
    <x v="0"/>
    <x v="0"/>
    <n v="35729.939999999995"/>
    <x v="0"/>
    <x v="1"/>
    <x v="0"/>
  </r>
  <r>
    <n v="92428"/>
    <x v="15"/>
    <x v="4"/>
    <n v="2"/>
    <n v="100"/>
    <n v="340.19"/>
    <x v="2"/>
    <d v="2024-02-20T00:00:00"/>
    <d v="2024-02-27T00:00:00"/>
    <x v="0"/>
    <x v="1"/>
    <n v="680.38"/>
    <x v="7"/>
    <x v="1"/>
    <x v="1"/>
  </r>
  <r>
    <n v="64800"/>
    <x v="9"/>
    <x v="1"/>
    <n v="268"/>
    <n v="30"/>
    <n v="67.19"/>
    <x v="2"/>
    <d v="2024-08-18T00:00:00"/>
    <d v="2024-09-15T00:00:00"/>
    <x v="2"/>
    <x v="0"/>
    <n v="18006.919999999998"/>
    <x v="0"/>
    <x v="0"/>
    <x v="0"/>
  </r>
  <r>
    <n v="38948"/>
    <x v="10"/>
    <x v="2"/>
    <n v="479"/>
    <n v="30"/>
    <n v="8.66"/>
    <x v="2"/>
    <d v="2024-07-23T00:00:00"/>
    <d v="2024-08-15T00:00:00"/>
    <x v="1"/>
    <x v="0"/>
    <n v="4148.1400000000003"/>
    <x v="0"/>
    <x v="0"/>
    <x v="0"/>
  </r>
  <r>
    <n v="52462"/>
    <x v="3"/>
    <x v="2"/>
    <n v="323"/>
    <n v="20"/>
    <n v="155.13"/>
    <x v="2"/>
    <d v="2024-06-24T00:00:00"/>
    <d v="2024-08-02T00:00:00"/>
    <x v="0"/>
    <x v="0"/>
    <n v="50106.99"/>
    <x v="0"/>
    <x v="0"/>
    <x v="0"/>
  </r>
  <r>
    <n v="23731"/>
    <x v="7"/>
    <x v="3"/>
    <n v="301"/>
    <n v="100"/>
    <n v="11.24"/>
    <x v="3"/>
    <d v="2024-09-18T00:00:00"/>
    <d v="2024-10-09T00:00:00"/>
    <x v="1"/>
    <x v="0"/>
    <n v="3383.2400000000002"/>
    <x v="0"/>
    <x v="0"/>
    <x v="0"/>
  </r>
  <r>
    <n v="87994"/>
    <x v="8"/>
    <x v="1"/>
    <n v="257"/>
    <n v="20"/>
    <n v="389.97"/>
    <x v="0"/>
    <d v="2024-03-06T00:00:00"/>
    <d v="2024-04-07T00:00:00"/>
    <x v="2"/>
    <x v="0"/>
    <n v="100222.29000000001"/>
    <x v="0"/>
    <x v="0"/>
    <x v="0"/>
  </r>
  <r>
    <n v="89955"/>
    <x v="3"/>
    <x v="2"/>
    <n v="322"/>
    <n v="40"/>
    <n v="408.97"/>
    <x v="4"/>
    <d v="2024-08-03T00:00:00"/>
    <d v="2024-08-12T00:00:00"/>
    <x v="0"/>
    <x v="0"/>
    <n v="131688.34"/>
    <x v="0"/>
    <x v="0"/>
    <x v="0"/>
  </r>
  <r>
    <n v="42940"/>
    <x v="8"/>
    <x v="1"/>
    <n v="492"/>
    <n v="50"/>
    <n v="268.08"/>
    <x v="0"/>
    <d v="2024-12-18T00:00:00"/>
    <d v="2025-01-07T00:00:00"/>
    <x v="1"/>
    <x v="0"/>
    <n v="131895.35999999999"/>
    <x v="0"/>
    <x v="0"/>
    <x v="0"/>
  </r>
  <r>
    <n v="46713"/>
    <x v="13"/>
    <x v="3"/>
    <n v="10"/>
    <n v="100"/>
    <n v="445.06"/>
    <x v="2"/>
    <d v="2024-07-02T00:00:00"/>
    <d v="2024-07-16T00:00:00"/>
    <x v="2"/>
    <x v="1"/>
    <n v="4450.6000000000004"/>
    <x v="59"/>
    <x v="1"/>
    <x v="1"/>
  </r>
  <r>
    <n v="13880"/>
    <x v="3"/>
    <x v="2"/>
    <n v="74"/>
    <n v="80"/>
    <n v="248.54"/>
    <x v="2"/>
    <d v="2024-03-06T00:00:00"/>
    <d v="2024-03-16T00:00:00"/>
    <x v="0"/>
    <x v="1"/>
    <n v="18391.96"/>
    <x v="48"/>
    <x v="1"/>
    <x v="1"/>
  </r>
  <r>
    <n v="53333"/>
    <x v="11"/>
    <x v="4"/>
    <n v="463"/>
    <n v="20"/>
    <n v="279.22000000000003"/>
    <x v="4"/>
    <d v="2024-02-08T00:00:00"/>
    <d v="2024-02-29T00:00:00"/>
    <x v="1"/>
    <x v="0"/>
    <n v="129278.86000000002"/>
    <x v="0"/>
    <x v="0"/>
    <x v="0"/>
  </r>
  <r>
    <n v="66920"/>
    <x v="5"/>
    <x v="2"/>
    <n v="69"/>
    <n v="100"/>
    <n v="404.94"/>
    <x v="2"/>
    <d v="2024-08-01T00:00:00"/>
    <d v="2024-08-25T00:00:00"/>
    <x v="0"/>
    <x v="1"/>
    <n v="27940.86"/>
    <x v="70"/>
    <x v="1"/>
    <x v="1"/>
  </r>
  <r>
    <n v="70390"/>
    <x v="7"/>
    <x v="3"/>
    <n v="164"/>
    <n v="20"/>
    <n v="324.97000000000003"/>
    <x v="1"/>
    <d v="2024-10-04T00:00:00"/>
    <d v="2024-10-13T00:00:00"/>
    <x v="2"/>
    <x v="0"/>
    <n v="53295.08"/>
    <x v="0"/>
    <x v="0"/>
    <x v="0"/>
  </r>
  <r>
    <n v="25994"/>
    <x v="16"/>
    <x v="3"/>
    <n v="477"/>
    <n v="40"/>
    <n v="149.86000000000001"/>
    <x v="2"/>
    <d v="2024-05-17T00:00:00"/>
    <d v="2024-06-05T00:00:00"/>
    <x v="2"/>
    <x v="0"/>
    <n v="71483.22"/>
    <x v="0"/>
    <x v="0"/>
    <x v="0"/>
  </r>
  <r>
    <n v="28316"/>
    <x v="2"/>
    <x v="1"/>
    <n v="357"/>
    <n v="40"/>
    <n v="246.83"/>
    <x v="3"/>
    <d v="2024-01-02T00:00:00"/>
    <d v="2024-02-05T00:00:00"/>
    <x v="1"/>
    <x v="0"/>
    <n v="88118.31"/>
    <x v="0"/>
    <x v="0"/>
    <x v="0"/>
  </r>
  <r>
    <n v="41932"/>
    <x v="6"/>
    <x v="3"/>
    <n v="91"/>
    <n v="80"/>
    <n v="68.900000000000006"/>
    <x v="0"/>
    <d v="2024-05-27T00:00:00"/>
    <d v="2024-06-24T00:00:00"/>
    <x v="2"/>
    <x v="0"/>
    <n v="6269.9000000000005"/>
    <x v="0"/>
    <x v="1"/>
    <x v="0"/>
  </r>
  <r>
    <n v="96486"/>
    <x v="14"/>
    <x v="4"/>
    <n v="410"/>
    <n v="30"/>
    <n v="132.44999999999999"/>
    <x v="2"/>
    <d v="2024-02-16T00:00:00"/>
    <d v="2024-02-25T00:00:00"/>
    <x v="2"/>
    <x v="0"/>
    <n v="54304.499999999993"/>
    <x v="0"/>
    <x v="0"/>
    <x v="0"/>
  </r>
  <r>
    <n v="34127"/>
    <x v="6"/>
    <x v="3"/>
    <n v="223"/>
    <n v="30"/>
    <n v="255.96"/>
    <x v="4"/>
    <d v="2024-05-26T00:00:00"/>
    <d v="2024-06-08T00:00:00"/>
    <x v="2"/>
    <x v="0"/>
    <n v="57079.08"/>
    <x v="0"/>
    <x v="0"/>
    <x v="0"/>
  </r>
  <r>
    <n v="45187"/>
    <x v="13"/>
    <x v="3"/>
    <n v="178"/>
    <n v="150"/>
    <n v="498.85"/>
    <x v="0"/>
    <d v="2024-01-03T00:00:00"/>
    <d v="2024-02-05T00:00:00"/>
    <x v="0"/>
    <x v="0"/>
    <n v="88795.3"/>
    <x v="0"/>
    <x v="1"/>
    <x v="0"/>
  </r>
  <r>
    <n v="58291"/>
    <x v="15"/>
    <x v="4"/>
    <n v="410"/>
    <n v="20"/>
    <n v="419.01"/>
    <x v="0"/>
    <d v="2024-08-10T00:00:00"/>
    <d v="2024-08-16T00:00:00"/>
    <x v="1"/>
    <x v="0"/>
    <n v="171794.1"/>
    <x v="0"/>
    <x v="0"/>
    <x v="0"/>
  </r>
  <r>
    <n v="71720"/>
    <x v="15"/>
    <x v="4"/>
    <n v="192"/>
    <n v="150"/>
    <n v="68.53"/>
    <x v="0"/>
    <d v="2024-06-07T00:00:00"/>
    <d v="2024-07-09T00:00:00"/>
    <x v="2"/>
    <x v="0"/>
    <n v="13157.76"/>
    <x v="0"/>
    <x v="1"/>
    <x v="0"/>
  </r>
  <r>
    <n v="84308"/>
    <x v="12"/>
    <x v="0"/>
    <n v="190"/>
    <n v="40"/>
    <n v="53.02"/>
    <x v="3"/>
    <d v="2024-05-05T00:00:00"/>
    <d v="2024-05-19T00:00:00"/>
    <x v="2"/>
    <x v="0"/>
    <n v="10073.800000000001"/>
    <x v="0"/>
    <x v="0"/>
    <x v="0"/>
  </r>
  <r>
    <n v="75584"/>
    <x v="11"/>
    <x v="4"/>
    <n v="188"/>
    <n v="150"/>
    <n v="322.33999999999997"/>
    <x v="3"/>
    <d v="2024-03-16T00:00:00"/>
    <d v="2024-04-10T00:00:00"/>
    <x v="1"/>
    <x v="0"/>
    <n v="60599.92"/>
    <x v="0"/>
    <x v="1"/>
    <x v="0"/>
  </r>
  <r>
    <n v="25620"/>
    <x v="14"/>
    <x v="4"/>
    <n v="493"/>
    <n v="30"/>
    <n v="342.84"/>
    <x v="0"/>
    <d v="2024-12-11T00:00:00"/>
    <d v="2025-01-10T00:00:00"/>
    <x v="0"/>
    <x v="0"/>
    <n v="169020.12"/>
    <x v="0"/>
    <x v="0"/>
    <x v="0"/>
  </r>
  <r>
    <n v="92357"/>
    <x v="6"/>
    <x v="3"/>
    <n v="435"/>
    <n v="150"/>
    <n v="445.96"/>
    <x v="0"/>
    <d v="2024-07-26T00:00:00"/>
    <d v="2024-08-20T00:00:00"/>
    <x v="2"/>
    <x v="0"/>
    <n v="193992.59999999998"/>
    <x v="0"/>
    <x v="1"/>
    <x v="0"/>
  </r>
  <r>
    <n v="14551"/>
    <x v="11"/>
    <x v="4"/>
    <n v="317"/>
    <n v="40"/>
    <n v="72.930000000000007"/>
    <x v="3"/>
    <d v="2024-08-04T00:00:00"/>
    <d v="2024-08-19T00:00:00"/>
    <x v="0"/>
    <x v="0"/>
    <n v="23118.81"/>
    <x v="0"/>
    <x v="0"/>
    <x v="0"/>
  </r>
  <r>
    <n v="77847"/>
    <x v="7"/>
    <x v="3"/>
    <n v="370"/>
    <n v="100"/>
    <n v="411.15"/>
    <x v="1"/>
    <d v="2024-09-04T00:00:00"/>
    <d v="2024-09-28T00:00:00"/>
    <x v="2"/>
    <x v="0"/>
    <n v="152125.5"/>
    <x v="0"/>
    <x v="0"/>
    <x v="0"/>
  </r>
  <r>
    <n v="40492"/>
    <x v="14"/>
    <x v="4"/>
    <n v="92"/>
    <n v="20"/>
    <n v="50.22"/>
    <x v="2"/>
    <d v="2024-06-02T00:00:00"/>
    <d v="2024-06-16T00:00:00"/>
    <x v="0"/>
    <x v="0"/>
    <n v="4620.24"/>
    <x v="0"/>
    <x v="0"/>
    <x v="0"/>
  </r>
  <r>
    <n v="80309"/>
    <x v="13"/>
    <x v="3"/>
    <n v="326"/>
    <n v="150"/>
    <n v="201.31"/>
    <x v="4"/>
    <d v="2024-04-02T00:00:00"/>
    <d v="2024-04-22T00:00:00"/>
    <x v="0"/>
    <x v="0"/>
    <n v="65627.06"/>
    <x v="0"/>
    <x v="1"/>
    <x v="0"/>
  </r>
  <r>
    <n v="48826"/>
    <x v="8"/>
    <x v="1"/>
    <n v="248"/>
    <n v="150"/>
    <n v="497.41"/>
    <x v="2"/>
    <d v="2024-03-30T00:00:00"/>
    <d v="2024-05-02T00:00:00"/>
    <x v="1"/>
    <x v="0"/>
    <n v="123357.68000000001"/>
    <x v="0"/>
    <x v="1"/>
    <x v="0"/>
  </r>
  <r>
    <n v="76617"/>
    <x v="16"/>
    <x v="3"/>
    <n v="41"/>
    <n v="150"/>
    <n v="346.26"/>
    <x v="1"/>
    <d v="2024-12-26T00:00:00"/>
    <d v="2025-01-26T00:00:00"/>
    <x v="0"/>
    <x v="1"/>
    <n v="14196.66"/>
    <x v="71"/>
    <x v="1"/>
    <x v="1"/>
  </r>
  <r>
    <n v="43332"/>
    <x v="8"/>
    <x v="1"/>
    <n v="410"/>
    <n v="20"/>
    <n v="43.32"/>
    <x v="1"/>
    <d v="2024-06-01T00:00:00"/>
    <d v="2024-06-08T00:00:00"/>
    <x v="2"/>
    <x v="0"/>
    <n v="17761.2"/>
    <x v="0"/>
    <x v="0"/>
    <x v="0"/>
  </r>
  <r>
    <n v="96551"/>
    <x v="11"/>
    <x v="4"/>
    <n v="86"/>
    <n v="30"/>
    <n v="32.83"/>
    <x v="2"/>
    <d v="2024-10-19T00:00:00"/>
    <d v="2024-11-12T00:00:00"/>
    <x v="0"/>
    <x v="0"/>
    <n v="2823.3799999999997"/>
    <x v="0"/>
    <x v="1"/>
    <x v="0"/>
  </r>
  <r>
    <n v="87928"/>
    <x v="8"/>
    <x v="1"/>
    <n v="250"/>
    <n v="20"/>
    <n v="21.34"/>
    <x v="0"/>
    <d v="2024-08-24T00:00:00"/>
    <d v="2024-09-27T00:00:00"/>
    <x v="2"/>
    <x v="0"/>
    <n v="5335"/>
    <x v="0"/>
    <x v="0"/>
    <x v="0"/>
  </r>
  <r>
    <n v="69902"/>
    <x v="5"/>
    <x v="2"/>
    <n v="447"/>
    <n v="50"/>
    <n v="28.8"/>
    <x v="1"/>
    <d v="2024-11-28T00:00:00"/>
    <d v="2024-12-03T00:00:00"/>
    <x v="1"/>
    <x v="0"/>
    <n v="12873.6"/>
    <x v="0"/>
    <x v="0"/>
    <x v="0"/>
  </r>
  <r>
    <n v="76830"/>
    <x v="1"/>
    <x v="0"/>
    <n v="463"/>
    <n v="40"/>
    <n v="324.73"/>
    <x v="3"/>
    <d v="2024-07-25T00:00:00"/>
    <d v="2024-08-14T00:00:00"/>
    <x v="2"/>
    <x v="0"/>
    <n v="150349.99000000002"/>
    <x v="0"/>
    <x v="0"/>
    <x v="0"/>
  </r>
  <r>
    <n v="74994"/>
    <x v="10"/>
    <x v="2"/>
    <n v="334"/>
    <n v="30"/>
    <n v="158.18"/>
    <x v="4"/>
    <d v="2024-10-25T00:00:00"/>
    <d v="2024-11-03T00:00:00"/>
    <x v="2"/>
    <x v="0"/>
    <n v="52832.12"/>
    <x v="0"/>
    <x v="0"/>
    <x v="0"/>
  </r>
  <r>
    <n v="24650"/>
    <x v="5"/>
    <x v="2"/>
    <n v="481"/>
    <n v="150"/>
    <n v="453.54"/>
    <x v="0"/>
    <d v="2024-06-26T00:00:00"/>
    <d v="2024-07-23T00:00:00"/>
    <x v="1"/>
    <x v="0"/>
    <n v="218152.74000000002"/>
    <x v="0"/>
    <x v="0"/>
    <x v="0"/>
  </r>
  <r>
    <n v="22191"/>
    <x v="2"/>
    <x v="1"/>
    <n v="160"/>
    <n v="80"/>
    <n v="473.91"/>
    <x v="2"/>
    <d v="2024-01-02T00:00:00"/>
    <d v="2024-01-13T00:00:00"/>
    <x v="2"/>
    <x v="0"/>
    <n v="75825.600000000006"/>
    <x v="0"/>
    <x v="1"/>
    <x v="0"/>
  </r>
  <r>
    <n v="50733"/>
    <x v="7"/>
    <x v="3"/>
    <n v="287"/>
    <n v="50"/>
    <n v="262.83999999999997"/>
    <x v="2"/>
    <d v="2024-07-06T00:00:00"/>
    <d v="2024-08-14T00:00:00"/>
    <x v="0"/>
    <x v="0"/>
    <n v="75435.079999999987"/>
    <x v="0"/>
    <x v="0"/>
    <x v="0"/>
  </r>
  <r>
    <n v="30183"/>
    <x v="2"/>
    <x v="1"/>
    <n v="82"/>
    <n v="20"/>
    <n v="58.08"/>
    <x v="0"/>
    <d v="2024-11-02T00:00:00"/>
    <d v="2024-11-28T00:00:00"/>
    <x v="0"/>
    <x v="0"/>
    <n v="4762.5599999999995"/>
    <x v="0"/>
    <x v="0"/>
    <x v="0"/>
  </r>
  <r>
    <n v="60639"/>
    <x v="0"/>
    <x v="0"/>
    <n v="180"/>
    <n v="50"/>
    <n v="87.59"/>
    <x v="3"/>
    <d v="2024-10-18T00:00:00"/>
    <d v="2024-11-09T00:00:00"/>
    <x v="2"/>
    <x v="0"/>
    <n v="15766.2"/>
    <x v="0"/>
    <x v="0"/>
    <x v="0"/>
  </r>
  <r>
    <n v="31301"/>
    <x v="14"/>
    <x v="4"/>
    <n v="99"/>
    <n v="50"/>
    <n v="316.22000000000003"/>
    <x v="1"/>
    <d v="2024-02-08T00:00:00"/>
    <d v="2024-03-12T00:00:00"/>
    <x v="0"/>
    <x v="0"/>
    <n v="31305.780000000002"/>
    <x v="0"/>
    <x v="1"/>
    <x v="0"/>
  </r>
  <r>
    <n v="32259"/>
    <x v="9"/>
    <x v="1"/>
    <n v="242"/>
    <n v="20"/>
    <n v="215.27"/>
    <x v="0"/>
    <d v="2024-02-18T00:00:00"/>
    <d v="2024-02-24T00:00:00"/>
    <x v="0"/>
    <x v="0"/>
    <n v="52095.340000000004"/>
    <x v="0"/>
    <x v="0"/>
    <x v="0"/>
  </r>
  <r>
    <n v="56202"/>
    <x v="5"/>
    <x v="2"/>
    <n v="358"/>
    <n v="30"/>
    <n v="125.59"/>
    <x v="4"/>
    <d v="2024-01-02T00:00:00"/>
    <d v="2024-01-25T00:00:00"/>
    <x v="2"/>
    <x v="0"/>
    <n v="44961.22"/>
    <x v="0"/>
    <x v="0"/>
    <x v="0"/>
  </r>
  <r>
    <n v="38036"/>
    <x v="1"/>
    <x v="0"/>
    <n v="28"/>
    <n v="150"/>
    <n v="112.79"/>
    <x v="3"/>
    <d v="2024-01-12T00:00:00"/>
    <d v="2024-02-20T00:00:00"/>
    <x v="2"/>
    <x v="1"/>
    <n v="3158.1200000000003"/>
    <x v="72"/>
    <x v="1"/>
    <x v="1"/>
  </r>
  <r>
    <n v="79603"/>
    <x v="11"/>
    <x v="4"/>
    <n v="170"/>
    <n v="20"/>
    <n v="476.65"/>
    <x v="2"/>
    <d v="2024-12-27T00:00:00"/>
    <d v="2025-01-09T00:00:00"/>
    <x v="2"/>
    <x v="0"/>
    <n v="81030.5"/>
    <x v="0"/>
    <x v="0"/>
    <x v="0"/>
  </r>
  <r>
    <n v="59833"/>
    <x v="2"/>
    <x v="1"/>
    <n v="184"/>
    <n v="80"/>
    <n v="318.42"/>
    <x v="4"/>
    <d v="2024-05-22T00:00:00"/>
    <d v="2024-06-01T00:00:00"/>
    <x v="1"/>
    <x v="0"/>
    <n v="58589.280000000006"/>
    <x v="0"/>
    <x v="1"/>
    <x v="0"/>
  </r>
  <r>
    <n v="10074"/>
    <x v="7"/>
    <x v="3"/>
    <n v="81"/>
    <n v="30"/>
    <n v="77.319999999999993"/>
    <x v="0"/>
    <d v="2024-06-20T00:00:00"/>
    <d v="2024-07-10T00:00:00"/>
    <x v="1"/>
    <x v="0"/>
    <n v="6262.9199999999992"/>
    <x v="0"/>
    <x v="1"/>
    <x v="0"/>
  </r>
  <r>
    <n v="33097"/>
    <x v="11"/>
    <x v="4"/>
    <n v="361"/>
    <n v="100"/>
    <n v="13.37"/>
    <x v="3"/>
    <d v="2024-07-28T00:00:00"/>
    <d v="2024-08-21T00:00:00"/>
    <x v="0"/>
    <x v="0"/>
    <n v="4826.57"/>
    <x v="0"/>
    <x v="0"/>
    <x v="0"/>
  </r>
  <r>
    <n v="39483"/>
    <x v="7"/>
    <x v="3"/>
    <n v="374"/>
    <n v="100"/>
    <n v="341.05"/>
    <x v="1"/>
    <d v="2024-02-21T00:00:00"/>
    <d v="2024-03-04T00:00:00"/>
    <x v="0"/>
    <x v="0"/>
    <n v="127552.7"/>
    <x v="0"/>
    <x v="0"/>
    <x v="0"/>
  </r>
  <r>
    <n v="44929"/>
    <x v="6"/>
    <x v="3"/>
    <n v="44"/>
    <n v="20"/>
    <n v="35.57"/>
    <x v="2"/>
    <d v="2024-10-15T00:00:00"/>
    <d v="2024-10-22T00:00:00"/>
    <x v="0"/>
    <x v="0"/>
    <n v="1565.08"/>
    <x v="0"/>
    <x v="1"/>
    <x v="0"/>
  </r>
  <r>
    <n v="71869"/>
    <x v="5"/>
    <x v="2"/>
    <n v="184"/>
    <n v="80"/>
    <n v="48.76"/>
    <x v="2"/>
    <d v="2024-03-02T00:00:00"/>
    <d v="2024-03-09T00:00:00"/>
    <x v="0"/>
    <x v="0"/>
    <n v="8971.84"/>
    <x v="0"/>
    <x v="1"/>
    <x v="0"/>
  </r>
  <r>
    <n v="91899"/>
    <x v="10"/>
    <x v="2"/>
    <n v="230"/>
    <n v="50"/>
    <n v="73.180000000000007"/>
    <x v="1"/>
    <d v="2024-05-09T00:00:00"/>
    <d v="2024-06-13T00:00:00"/>
    <x v="2"/>
    <x v="0"/>
    <n v="16831.400000000001"/>
    <x v="0"/>
    <x v="0"/>
    <x v="0"/>
  </r>
  <r>
    <n v="50097"/>
    <x v="13"/>
    <x v="3"/>
    <n v="68"/>
    <n v="30"/>
    <n v="36.28"/>
    <x v="4"/>
    <d v="2024-11-25T00:00:00"/>
    <d v="2024-12-24T00:00:00"/>
    <x v="2"/>
    <x v="0"/>
    <n v="2467.04"/>
    <x v="0"/>
    <x v="1"/>
    <x v="0"/>
  </r>
  <r>
    <n v="27194"/>
    <x v="10"/>
    <x v="2"/>
    <n v="2"/>
    <n v="30"/>
    <n v="319.29000000000002"/>
    <x v="2"/>
    <d v="2024-02-22T00:00:00"/>
    <d v="2024-03-03T00:00:00"/>
    <x v="2"/>
    <x v="1"/>
    <n v="638.58000000000004"/>
    <x v="73"/>
    <x v="1"/>
    <x v="1"/>
  </r>
  <r>
    <n v="12147"/>
    <x v="2"/>
    <x v="1"/>
    <n v="203"/>
    <n v="20"/>
    <n v="358.9"/>
    <x v="2"/>
    <d v="2024-01-11T00:00:00"/>
    <d v="2024-02-18T00:00:00"/>
    <x v="2"/>
    <x v="0"/>
    <n v="72856.7"/>
    <x v="0"/>
    <x v="0"/>
    <x v="0"/>
  </r>
  <r>
    <n v="19479"/>
    <x v="4"/>
    <x v="0"/>
    <n v="180"/>
    <n v="40"/>
    <n v="227.59"/>
    <x v="1"/>
    <d v="2024-09-11T00:00:00"/>
    <d v="2024-10-15T00:00:00"/>
    <x v="0"/>
    <x v="0"/>
    <n v="40966.199999999997"/>
    <x v="0"/>
    <x v="0"/>
    <x v="0"/>
  </r>
  <r>
    <n v="79959"/>
    <x v="9"/>
    <x v="1"/>
    <n v="275"/>
    <n v="20"/>
    <n v="333.85"/>
    <x v="0"/>
    <d v="2024-11-26T00:00:00"/>
    <d v="2024-12-15T00:00:00"/>
    <x v="1"/>
    <x v="0"/>
    <n v="91808.75"/>
    <x v="0"/>
    <x v="0"/>
    <x v="0"/>
  </r>
  <r>
    <n v="87990"/>
    <x v="5"/>
    <x v="2"/>
    <n v="26"/>
    <n v="100"/>
    <n v="264.95"/>
    <x v="2"/>
    <d v="2024-06-18T00:00:00"/>
    <d v="2024-07-21T00:00:00"/>
    <x v="0"/>
    <x v="1"/>
    <n v="6888.7"/>
    <x v="74"/>
    <x v="1"/>
    <x v="1"/>
  </r>
  <r>
    <n v="47387"/>
    <x v="9"/>
    <x v="1"/>
    <n v="228"/>
    <n v="40"/>
    <n v="138.25"/>
    <x v="4"/>
    <d v="2024-01-16T00:00:00"/>
    <d v="2024-02-12T00:00:00"/>
    <x v="2"/>
    <x v="0"/>
    <n v="31521"/>
    <x v="0"/>
    <x v="0"/>
    <x v="0"/>
  </r>
  <r>
    <n v="40988"/>
    <x v="0"/>
    <x v="0"/>
    <n v="452"/>
    <n v="20"/>
    <n v="210.74"/>
    <x v="2"/>
    <d v="2024-01-22T00:00:00"/>
    <d v="2024-02-10T00:00:00"/>
    <x v="0"/>
    <x v="0"/>
    <n v="95254.48000000001"/>
    <x v="0"/>
    <x v="0"/>
    <x v="0"/>
  </r>
  <r>
    <n v="75305"/>
    <x v="3"/>
    <x v="2"/>
    <n v="352"/>
    <n v="40"/>
    <n v="352.07"/>
    <x v="4"/>
    <d v="2024-04-26T00:00:00"/>
    <d v="2024-05-30T00:00:00"/>
    <x v="1"/>
    <x v="0"/>
    <n v="123928.64"/>
    <x v="0"/>
    <x v="0"/>
    <x v="0"/>
  </r>
  <r>
    <n v="96673"/>
    <x v="2"/>
    <x v="1"/>
    <n v="175"/>
    <n v="20"/>
    <n v="69.680000000000007"/>
    <x v="0"/>
    <d v="2024-05-13T00:00:00"/>
    <d v="2024-06-10T00:00:00"/>
    <x v="0"/>
    <x v="0"/>
    <n v="12194.000000000002"/>
    <x v="0"/>
    <x v="0"/>
    <x v="0"/>
  </r>
  <r>
    <n v="90021"/>
    <x v="4"/>
    <x v="0"/>
    <n v="272"/>
    <n v="150"/>
    <n v="112.77"/>
    <x v="1"/>
    <d v="2024-07-04T00:00:00"/>
    <d v="2024-07-14T00:00:00"/>
    <x v="1"/>
    <x v="0"/>
    <n v="30673.439999999999"/>
    <x v="0"/>
    <x v="1"/>
    <x v="0"/>
  </r>
  <r>
    <n v="32760"/>
    <x v="12"/>
    <x v="0"/>
    <n v="397"/>
    <n v="100"/>
    <n v="449.84"/>
    <x v="1"/>
    <d v="2024-04-13T00:00:00"/>
    <d v="2024-05-12T00:00:00"/>
    <x v="0"/>
    <x v="0"/>
    <n v="178586.47999999998"/>
    <x v="0"/>
    <x v="0"/>
    <x v="0"/>
  </r>
  <r>
    <n v="23362"/>
    <x v="10"/>
    <x v="2"/>
    <n v="78"/>
    <n v="50"/>
    <n v="206.13"/>
    <x v="1"/>
    <d v="2024-09-25T00:00:00"/>
    <d v="2024-11-02T00:00:00"/>
    <x v="2"/>
    <x v="0"/>
    <n v="16078.14"/>
    <x v="0"/>
    <x v="1"/>
    <x v="0"/>
  </r>
  <r>
    <n v="77906"/>
    <x v="5"/>
    <x v="2"/>
    <n v="130"/>
    <n v="150"/>
    <n v="18.97"/>
    <x v="1"/>
    <d v="2024-11-21T00:00:00"/>
    <d v="2024-12-14T00:00:00"/>
    <x v="1"/>
    <x v="1"/>
    <n v="2466.1"/>
    <x v="53"/>
    <x v="1"/>
    <x v="1"/>
  </r>
  <r>
    <n v="79211"/>
    <x v="8"/>
    <x v="1"/>
    <n v="322"/>
    <n v="40"/>
    <n v="148.27000000000001"/>
    <x v="4"/>
    <d v="2024-05-08T00:00:00"/>
    <d v="2024-06-08T00:00:00"/>
    <x v="2"/>
    <x v="0"/>
    <n v="47742.94"/>
    <x v="0"/>
    <x v="0"/>
    <x v="0"/>
  </r>
  <r>
    <n v="78706"/>
    <x v="0"/>
    <x v="0"/>
    <n v="296"/>
    <n v="30"/>
    <n v="17.21"/>
    <x v="2"/>
    <d v="2024-07-26T00:00:00"/>
    <d v="2024-08-23T00:00:00"/>
    <x v="1"/>
    <x v="0"/>
    <n v="5094.16"/>
    <x v="0"/>
    <x v="0"/>
    <x v="0"/>
  </r>
  <r>
    <n v="57657"/>
    <x v="11"/>
    <x v="4"/>
    <n v="28"/>
    <n v="40"/>
    <n v="319.45999999999998"/>
    <x v="3"/>
    <d v="2024-05-22T00:00:00"/>
    <d v="2024-06-26T00:00:00"/>
    <x v="1"/>
    <x v="1"/>
    <n v="8944.8799999999992"/>
    <x v="50"/>
    <x v="1"/>
    <x v="1"/>
  </r>
  <r>
    <n v="69557"/>
    <x v="14"/>
    <x v="4"/>
    <n v="191"/>
    <n v="40"/>
    <n v="172.56"/>
    <x v="0"/>
    <d v="2024-08-02T00:00:00"/>
    <d v="2024-08-08T00:00:00"/>
    <x v="2"/>
    <x v="0"/>
    <n v="32958.959999999999"/>
    <x v="0"/>
    <x v="0"/>
    <x v="0"/>
  </r>
  <r>
    <n v="38561"/>
    <x v="6"/>
    <x v="3"/>
    <n v="333"/>
    <n v="20"/>
    <n v="20.6"/>
    <x v="3"/>
    <d v="2024-11-18T00:00:00"/>
    <d v="2024-12-18T00:00:00"/>
    <x v="2"/>
    <x v="0"/>
    <n v="6859.8"/>
    <x v="0"/>
    <x v="0"/>
    <x v="0"/>
  </r>
  <r>
    <n v="54460"/>
    <x v="16"/>
    <x v="3"/>
    <n v="320"/>
    <n v="80"/>
    <n v="422.87"/>
    <x v="3"/>
    <d v="2024-07-16T00:00:00"/>
    <d v="2024-08-17T00:00:00"/>
    <x v="1"/>
    <x v="0"/>
    <n v="135318.39999999999"/>
    <x v="0"/>
    <x v="0"/>
    <x v="0"/>
  </r>
  <r>
    <n v="70663"/>
    <x v="5"/>
    <x v="2"/>
    <n v="243"/>
    <n v="40"/>
    <n v="413.64"/>
    <x v="4"/>
    <d v="2024-07-22T00:00:00"/>
    <d v="2024-07-28T00:00:00"/>
    <x v="0"/>
    <x v="0"/>
    <n v="100514.51999999999"/>
    <x v="0"/>
    <x v="0"/>
    <x v="0"/>
  </r>
  <r>
    <n v="84400"/>
    <x v="6"/>
    <x v="3"/>
    <n v="68"/>
    <n v="40"/>
    <n v="285.88"/>
    <x v="4"/>
    <d v="2024-08-03T00:00:00"/>
    <d v="2024-09-07T00:00:00"/>
    <x v="1"/>
    <x v="0"/>
    <n v="19439.84"/>
    <x v="0"/>
    <x v="1"/>
    <x v="0"/>
  </r>
  <r>
    <n v="78322"/>
    <x v="1"/>
    <x v="0"/>
    <n v="30"/>
    <n v="40"/>
    <n v="75.819999999999993"/>
    <x v="1"/>
    <d v="2024-05-09T00:00:00"/>
    <d v="2024-06-09T00:00:00"/>
    <x v="1"/>
    <x v="1"/>
    <n v="2274.6"/>
    <x v="60"/>
    <x v="1"/>
    <x v="1"/>
  </r>
  <r>
    <n v="33806"/>
    <x v="16"/>
    <x v="3"/>
    <n v="57"/>
    <n v="80"/>
    <n v="476.89"/>
    <x v="4"/>
    <d v="2024-12-06T00:00:00"/>
    <d v="2025-01-08T00:00:00"/>
    <x v="2"/>
    <x v="1"/>
    <n v="27182.73"/>
    <x v="75"/>
    <x v="1"/>
    <x v="1"/>
  </r>
  <r>
    <n v="85432"/>
    <x v="4"/>
    <x v="0"/>
    <n v="24"/>
    <n v="30"/>
    <n v="383.94"/>
    <x v="3"/>
    <d v="2024-01-26T00:00:00"/>
    <d v="2024-02-05T00:00:00"/>
    <x v="1"/>
    <x v="1"/>
    <n v="9214.56"/>
    <x v="48"/>
    <x v="1"/>
    <x v="1"/>
  </r>
  <r>
    <n v="96840"/>
    <x v="8"/>
    <x v="1"/>
    <n v="306"/>
    <n v="80"/>
    <n v="436.84"/>
    <x v="0"/>
    <d v="2024-02-17T00:00:00"/>
    <d v="2024-03-17T00:00:00"/>
    <x v="1"/>
    <x v="0"/>
    <n v="133673.03999999998"/>
    <x v="0"/>
    <x v="0"/>
    <x v="0"/>
  </r>
  <r>
    <n v="91787"/>
    <x v="4"/>
    <x v="0"/>
    <n v="260"/>
    <n v="30"/>
    <n v="315.27999999999997"/>
    <x v="4"/>
    <d v="2024-07-23T00:00:00"/>
    <d v="2024-07-30T00:00:00"/>
    <x v="1"/>
    <x v="0"/>
    <n v="81972.799999999988"/>
    <x v="0"/>
    <x v="0"/>
    <x v="0"/>
  </r>
  <r>
    <n v="67851"/>
    <x v="7"/>
    <x v="3"/>
    <n v="103"/>
    <n v="100"/>
    <n v="433.89"/>
    <x v="1"/>
    <d v="2024-08-03T00:00:00"/>
    <d v="2024-08-27T00:00:00"/>
    <x v="0"/>
    <x v="0"/>
    <n v="44690.67"/>
    <x v="0"/>
    <x v="1"/>
    <x v="0"/>
  </r>
  <r>
    <n v="31359"/>
    <x v="13"/>
    <x v="3"/>
    <n v="38"/>
    <n v="20"/>
    <n v="54.12"/>
    <x v="2"/>
    <d v="2024-09-10T00:00:00"/>
    <d v="2024-10-08T00:00:00"/>
    <x v="0"/>
    <x v="0"/>
    <n v="2056.56"/>
    <x v="0"/>
    <x v="1"/>
    <x v="0"/>
  </r>
  <r>
    <n v="91103"/>
    <x v="15"/>
    <x v="4"/>
    <n v="383"/>
    <n v="30"/>
    <n v="313.45"/>
    <x v="3"/>
    <d v="2024-01-15T00:00:00"/>
    <d v="2024-01-24T00:00:00"/>
    <x v="2"/>
    <x v="0"/>
    <n v="120051.34999999999"/>
    <x v="0"/>
    <x v="0"/>
    <x v="0"/>
  </r>
  <r>
    <n v="19215"/>
    <x v="14"/>
    <x v="4"/>
    <n v="145"/>
    <n v="150"/>
    <n v="211.85"/>
    <x v="1"/>
    <d v="2024-02-29T00:00:00"/>
    <d v="2024-03-20T00:00:00"/>
    <x v="2"/>
    <x v="1"/>
    <n v="30718.25"/>
    <x v="18"/>
    <x v="1"/>
    <x v="1"/>
  </r>
  <r>
    <n v="99876"/>
    <x v="6"/>
    <x v="3"/>
    <n v="244"/>
    <n v="100"/>
    <n v="292.75"/>
    <x v="3"/>
    <d v="2024-10-15T00:00:00"/>
    <d v="2024-11-13T00:00:00"/>
    <x v="1"/>
    <x v="0"/>
    <n v="71431"/>
    <x v="0"/>
    <x v="1"/>
    <x v="0"/>
  </r>
  <r>
    <n v="83396"/>
    <x v="9"/>
    <x v="1"/>
    <n v="464"/>
    <n v="30"/>
    <n v="270.17"/>
    <x v="4"/>
    <d v="2024-10-02T00:00:00"/>
    <d v="2024-11-05T00:00:00"/>
    <x v="2"/>
    <x v="0"/>
    <n v="125358.88"/>
    <x v="0"/>
    <x v="0"/>
    <x v="0"/>
  </r>
  <r>
    <n v="85282"/>
    <x v="9"/>
    <x v="1"/>
    <n v="487"/>
    <n v="30"/>
    <n v="296.01"/>
    <x v="0"/>
    <d v="2024-07-07T00:00:00"/>
    <d v="2024-07-28T00:00:00"/>
    <x v="2"/>
    <x v="0"/>
    <n v="144156.87"/>
    <x v="0"/>
    <x v="0"/>
    <x v="0"/>
  </r>
  <r>
    <n v="30823"/>
    <x v="10"/>
    <x v="2"/>
    <n v="33"/>
    <n v="50"/>
    <n v="280.93"/>
    <x v="4"/>
    <d v="2024-11-25T00:00:00"/>
    <d v="2024-12-09T00:00:00"/>
    <x v="1"/>
    <x v="1"/>
    <n v="9270.69"/>
    <x v="14"/>
    <x v="1"/>
    <x v="1"/>
  </r>
  <r>
    <n v="99826"/>
    <x v="5"/>
    <x v="2"/>
    <n v="444"/>
    <n v="80"/>
    <n v="226.44"/>
    <x v="1"/>
    <d v="2024-03-20T00:00:00"/>
    <d v="2024-03-31T00:00:00"/>
    <x v="2"/>
    <x v="0"/>
    <n v="100539.36"/>
    <x v="0"/>
    <x v="0"/>
    <x v="0"/>
  </r>
  <r>
    <n v="85039"/>
    <x v="12"/>
    <x v="0"/>
    <n v="240"/>
    <n v="80"/>
    <n v="482.93"/>
    <x v="3"/>
    <d v="2024-08-15T00:00:00"/>
    <d v="2024-09-05T00:00:00"/>
    <x v="2"/>
    <x v="0"/>
    <n v="115903.2"/>
    <x v="0"/>
    <x v="1"/>
    <x v="0"/>
  </r>
  <r>
    <n v="81621"/>
    <x v="10"/>
    <x v="2"/>
    <n v="65"/>
    <n v="20"/>
    <n v="356.1"/>
    <x v="3"/>
    <d v="2024-11-12T00:00:00"/>
    <d v="2024-11-19T00:00:00"/>
    <x v="1"/>
    <x v="0"/>
    <n v="23146.5"/>
    <x v="0"/>
    <x v="0"/>
    <x v="0"/>
  </r>
  <r>
    <n v="19336"/>
    <x v="8"/>
    <x v="1"/>
    <n v="197"/>
    <n v="80"/>
    <n v="372.29"/>
    <x v="1"/>
    <d v="2024-08-24T00:00:00"/>
    <d v="2024-09-23T00:00:00"/>
    <x v="2"/>
    <x v="0"/>
    <n v="73341.13"/>
    <x v="0"/>
    <x v="1"/>
    <x v="0"/>
  </r>
  <r>
    <n v="59037"/>
    <x v="15"/>
    <x v="4"/>
    <n v="471"/>
    <n v="40"/>
    <n v="453.43"/>
    <x v="2"/>
    <d v="2024-04-15T00:00:00"/>
    <d v="2024-05-21T00:00:00"/>
    <x v="2"/>
    <x v="0"/>
    <n v="213565.53"/>
    <x v="0"/>
    <x v="0"/>
    <x v="0"/>
  </r>
  <r>
    <n v="36393"/>
    <x v="6"/>
    <x v="3"/>
    <n v="346"/>
    <n v="20"/>
    <n v="164.16"/>
    <x v="3"/>
    <d v="2024-04-25T00:00:00"/>
    <d v="2024-05-17T00:00:00"/>
    <x v="1"/>
    <x v="0"/>
    <n v="56799.360000000001"/>
    <x v="0"/>
    <x v="0"/>
    <x v="0"/>
  </r>
  <r>
    <n v="62066"/>
    <x v="4"/>
    <x v="0"/>
    <n v="361"/>
    <n v="100"/>
    <n v="30.75"/>
    <x v="0"/>
    <d v="2024-02-22T00:00:00"/>
    <d v="2024-03-25T00:00:00"/>
    <x v="1"/>
    <x v="0"/>
    <n v="11100.75"/>
    <x v="0"/>
    <x v="0"/>
    <x v="0"/>
  </r>
  <r>
    <n v="92315"/>
    <x v="3"/>
    <x v="2"/>
    <n v="432"/>
    <n v="150"/>
    <n v="257.31"/>
    <x v="0"/>
    <d v="2024-03-27T00:00:00"/>
    <d v="2024-04-19T00:00:00"/>
    <x v="0"/>
    <x v="0"/>
    <n v="111157.92"/>
    <x v="0"/>
    <x v="1"/>
    <x v="0"/>
  </r>
  <r>
    <n v="63331"/>
    <x v="6"/>
    <x v="3"/>
    <n v="28"/>
    <n v="30"/>
    <n v="101.52"/>
    <x v="2"/>
    <d v="2024-12-29T00:00:00"/>
    <d v="2025-01-04T00:00:00"/>
    <x v="2"/>
    <x v="1"/>
    <n v="2842.56"/>
    <x v="6"/>
    <x v="1"/>
    <x v="1"/>
  </r>
  <r>
    <n v="19719"/>
    <x v="11"/>
    <x v="4"/>
    <n v="278"/>
    <n v="40"/>
    <n v="401.9"/>
    <x v="1"/>
    <d v="2024-11-26T00:00:00"/>
    <d v="2024-12-28T00:00:00"/>
    <x v="1"/>
    <x v="0"/>
    <n v="111728.2"/>
    <x v="0"/>
    <x v="0"/>
    <x v="0"/>
  </r>
  <r>
    <n v="49029"/>
    <x v="6"/>
    <x v="3"/>
    <n v="228"/>
    <n v="30"/>
    <n v="88.22"/>
    <x v="1"/>
    <d v="2024-02-19T00:00:00"/>
    <d v="2024-03-08T00:00:00"/>
    <x v="1"/>
    <x v="0"/>
    <n v="20114.16"/>
    <x v="0"/>
    <x v="0"/>
    <x v="0"/>
  </r>
  <r>
    <n v="66247"/>
    <x v="9"/>
    <x v="1"/>
    <n v="394"/>
    <n v="150"/>
    <n v="337.96"/>
    <x v="2"/>
    <d v="2024-11-18T00:00:00"/>
    <d v="2024-12-06T00:00:00"/>
    <x v="1"/>
    <x v="0"/>
    <n v="133156.24"/>
    <x v="0"/>
    <x v="1"/>
    <x v="0"/>
  </r>
  <r>
    <n v="56228"/>
    <x v="8"/>
    <x v="1"/>
    <n v="393"/>
    <n v="40"/>
    <n v="497.83"/>
    <x v="2"/>
    <d v="2024-02-17T00:00:00"/>
    <d v="2024-03-14T00:00:00"/>
    <x v="2"/>
    <x v="0"/>
    <n v="195647.19"/>
    <x v="0"/>
    <x v="0"/>
    <x v="0"/>
  </r>
  <r>
    <n v="87924"/>
    <x v="16"/>
    <x v="3"/>
    <n v="259"/>
    <n v="50"/>
    <n v="247.03"/>
    <x v="4"/>
    <d v="2024-01-09T00:00:00"/>
    <d v="2024-02-17T00:00:00"/>
    <x v="2"/>
    <x v="0"/>
    <n v="63980.77"/>
    <x v="0"/>
    <x v="0"/>
    <x v="0"/>
  </r>
  <r>
    <n v="36849"/>
    <x v="14"/>
    <x v="4"/>
    <n v="455"/>
    <n v="40"/>
    <n v="143.27000000000001"/>
    <x v="0"/>
    <d v="2024-12-02T00:00:00"/>
    <d v="2025-01-06T00:00:00"/>
    <x v="0"/>
    <x v="0"/>
    <n v="65187.850000000006"/>
    <x v="0"/>
    <x v="0"/>
    <x v="0"/>
  </r>
  <r>
    <n v="96669"/>
    <x v="11"/>
    <x v="4"/>
    <n v="398"/>
    <n v="150"/>
    <n v="256.33999999999997"/>
    <x v="2"/>
    <d v="2024-05-14T00:00:00"/>
    <d v="2024-06-17T00:00:00"/>
    <x v="2"/>
    <x v="0"/>
    <n v="102023.31999999999"/>
    <x v="0"/>
    <x v="1"/>
    <x v="0"/>
  </r>
  <r>
    <n v="86631"/>
    <x v="2"/>
    <x v="1"/>
    <n v="325"/>
    <n v="40"/>
    <n v="49.46"/>
    <x v="4"/>
    <d v="2024-10-09T00:00:00"/>
    <d v="2024-10-31T00:00:00"/>
    <x v="2"/>
    <x v="0"/>
    <n v="16074.5"/>
    <x v="0"/>
    <x v="0"/>
    <x v="0"/>
  </r>
  <r>
    <n v="28705"/>
    <x v="15"/>
    <x v="4"/>
    <n v="462"/>
    <n v="40"/>
    <n v="321.14"/>
    <x v="2"/>
    <d v="2024-01-24T00:00:00"/>
    <d v="2024-01-29T00:00:00"/>
    <x v="0"/>
    <x v="0"/>
    <n v="148366.68"/>
    <x v="0"/>
    <x v="0"/>
    <x v="0"/>
  </r>
  <r>
    <n v="36739"/>
    <x v="3"/>
    <x v="2"/>
    <n v="406"/>
    <n v="80"/>
    <n v="460.42"/>
    <x v="4"/>
    <d v="2024-08-21T00:00:00"/>
    <d v="2024-09-29T00:00:00"/>
    <x v="2"/>
    <x v="0"/>
    <n v="186930.52000000002"/>
    <x v="0"/>
    <x v="0"/>
    <x v="0"/>
  </r>
  <r>
    <n v="94085"/>
    <x v="12"/>
    <x v="0"/>
    <n v="209"/>
    <n v="100"/>
    <n v="204.12"/>
    <x v="4"/>
    <d v="2024-10-06T00:00:00"/>
    <d v="2024-10-18T00:00:00"/>
    <x v="0"/>
    <x v="0"/>
    <n v="42661.08"/>
    <x v="0"/>
    <x v="1"/>
    <x v="0"/>
  </r>
  <r>
    <n v="29558"/>
    <x v="12"/>
    <x v="0"/>
    <n v="99"/>
    <n v="80"/>
    <n v="56.89"/>
    <x v="1"/>
    <d v="2024-12-19T00:00:00"/>
    <d v="2025-01-22T00:00:00"/>
    <x v="0"/>
    <x v="0"/>
    <n v="5632.11"/>
    <x v="0"/>
    <x v="1"/>
    <x v="0"/>
  </r>
  <r>
    <n v="70926"/>
    <x v="13"/>
    <x v="3"/>
    <n v="6"/>
    <n v="150"/>
    <n v="206.18"/>
    <x v="4"/>
    <d v="2024-07-08T00:00:00"/>
    <d v="2024-08-09T00:00:00"/>
    <x v="2"/>
    <x v="1"/>
    <n v="1237.08"/>
    <x v="76"/>
    <x v="1"/>
    <x v="1"/>
  </r>
  <r>
    <n v="23163"/>
    <x v="4"/>
    <x v="0"/>
    <n v="465"/>
    <n v="50"/>
    <n v="198.17"/>
    <x v="1"/>
    <d v="2024-01-07T00:00:00"/>
    <d v="2024-02-08T00:00:00"/>
    <x v="2"/>
    <x v="0"/>
    <n v="92149.049999999988"/>
    <x v="0"/>
    <x v="0"/>
    <x v="0"/>
  </r>
  <r>
    <n v="12413"/>
    <x v="12"/>
    <x v="0"/>
    <n v="239"/>
    <n v="50"/>
    <n v="327.11"/>
    <x v="1"/>
    <d v="2024-11-18T00:00:00"/>
    <d v="2024-12-15T00:00:00"/>
    <x v="2"/>
    <x v="0"/>
    <n v="78179.290000000008"/>
    <x v="0"/>
    <x v="0"/>
    <x v="0"/>
  </r>
  <r>
    <n v="89731"/>
    <x v="5"/>
    <x v="2"/>
    <n v="8"/>
    <n v="40"/>
    <n v="305.32"/>
    <x v="2"/>
    <d v="2024-10-30T00:00:00"/>
    <d v="2024-11-28T00:00:00"/>
    <x v="0"/>
    <x v="1"/>
    <n v="2442.56"/>
    <x v="31"/>
    <x v="1"/>
    <x v="1"/>
  </r>
  <r>
    <n v="11214"/>
    <x v="3"/>
    <x v="2"/>
    <n v="118"/>
    <n v="150"/>
    <n v="172.05"/>
    <x v="2"/>
    <d v="2024-04-13T00:00:00"/>
    <d v="2024-04-27T00:00:00"/>
    <x v="1"/>
    <x v="1"/>
    <n v="20301.900000000001"/>
    <x v="31"/>
    <x v="1"/>
    <x v="1"/>
  </r>
  <r>
    <n v="55807"/>
    <x v="3"/>
    <x v="2"/>
    <n v="283"/>
    <n v="80"/>
    <n v="338.19"/>
    <x v="1"/>
    <d v="2024-07-24T00:00:00"/>
    <d v="2024-08-30T00:00:00"/>
    <x v="1"/>
    <x v="0"/>
    <n v="95707.77"/>
    <x v="0"/>
    <x v="0"/>
    <x v="0"/>
  </r>
  <r>
    <n v="38469"/>
    <x v="10"/>
    <x v="2"/>
    <n v="104"/>
    <n v="30"/>
    <n v="422.06"/>
    <x v="0"/>
    <d v="2024-09-14T00:00:00"/>
    <d v="2024-09-30T00:00:00"/>
    <x v="1"/>
    <x v="0"/>
    <n v="43894.239999999998"/>
    <x v="0"/>
    <x v="0"/>
    <x v="0"/>
  </r>
  <r>
    <n v="26608"/>
    <x v="0"/>
    <x v="0"/>
    <n v="378"/>
    <n v="100"/>
    <n v="337.08"/>
    <x v="1"/>
    <d v="2024-09-14T00:00:00"/>
    <d v="2024-10-17T00:00:00"/>
    <x v="2"/>
    <x v="0"/>
    <n v="127416.23999999999"/>
    <x v="0"/>
    <x v="0"/>
    <x v="0"/>
  </r>
  <r>
    <n v="31630"/>
    <x v="12"/>
    <x v="0"/>
    <n v="199"/>
    <n v="80"/>
    <n v="312.86"/>
    <x v="4"/>
    <d v="2024-12-18T00:00:00"/>
    <d v="2024-12-28T00:00:00"/>
    <x v="1"/>
    <x v="0"/>
    <n v="62259.14"/>
    <x v="0"/>
    <x v="1"/>
    <x v="0"/>
  </r>
  <r>
    <n v="82388"/>
    <x v="10"/>
    <x v="2"/>
    <n v="234"/>
    <n v="50"/>
    <n v="107.72"/>
    <x v="3"/>
    <d v="2024-02-09T00:00:00"/>
    <d v="2024-03-16T00:00:00"/>
    <x v="2"/>
    <x v="0"/>
    <n v="25206.48"/>
    <x v="0"/>
    <x v="0"/>
    <x v="0"/>
  </r>
  <r>
    <n v="34014"/>
    <x v="2"/>
    <x v="1"/>
    <n v="97"/>
    <n v="20"/>
    <n v="75.680000000000007"/>
    <x v="4"/>
    <d v="2024-08-29T00:00:00"/>
    <d v="2024-09-09T00:00:00"/>
    <x v="2"/>
    <x v="0"/>
    <n v="7340.9600000000009"/>
    <x v="0"/>
    <x v="0"/>
    <x v="0"/>
  </r>
  <r>
    <n v="93245"/>
    <x v="4"/>
    <x v="0"/>
    <n v="280"/>
    <n v="40"/>
    <n v="178.34"/>
    <x v="0"/>
    <d v="2024-05-31T00:00:00"/>
    <d v="2024-07-08T00:00:00"/>
    <x v="1"/>
    <x v="0"/>
    <n v="49935.200000000004"/>
    <x v="0"/>
    <x v="0"/>
    <x v="0"/>
  </r>
  <r>
    <n v="11831"/>
    <x v="3"/>
    <x v="2"/>
    <n v="48"/>
    <n v="100"/>
    <n v="194.27"/>
    <x v="1"/>
    <d v="2024-11-05T00:00:00"/>
    <d v="2024-12-06T00:00:00"/>
    <x v="1"/>
    <x v="1"/>
    <n v="9324.9600000000009"/>
    <x v="30"/>
    <x v="1"/>
    <x v="1"/>
  </r>
  <r>
    <n v="86508"/>
    <x v="12"/>
    <x v="0"/>
    <n v="272"/>
    <n v="20"/>
    <n v="264.51"/>
    <x v="3"/>
    <d v="2024-11-03T00:00:00"/>
    <d v="2024-11-23T00:00:00"/>
    <x v="0"/>
    <x v="0"/>
    <n v="71946.720000000001"/>
    <x v="0"/>
    <x v="0"/>
    <x v="0"/>
  </r>
  <r>
    <n v="21017"/>
    <x v="0"/>
    <x v="0"/>
    <n v="476"/>
    <n v="80"/>
    <n v="290.70999999999998"/>
    <x v="0"/>
    <d v="2024-12-06T00:00:00"/>
    <d v="2024-12-15T00:00:00"/>
    <x v="0"/>
    <x v="0"/>
    <n v="138377.96"/>
    <x v="0"/>
    <x v="0"/>
    <x v="0"/>
  </r>
  <r>
    <n v="10368"/>
    <x v="16"/>
    <x v="3"/>
    <n v="275"/>
    <n v="20"/>
    <n v="216.02"/>
    <x v="3"/>
    <d v="2024-01-10T00:00:00"/>
    <d v="2024-01-23T00:00:00"/>
    <x v="1"/>
    <x v="0"/>
    <n v="59405.5"/>
    <x v="0"/>
    <x v="0"/>
    <x v="0"/>
  </r>
  <r>
    <n v="38365"/>
    <x v="5"/>
    <x v="2"/>
    <n v="408"/>
    <n v="20"/>
    <n v="23.6"/>
    <x v="3"/>
    <d v="2024-01-11T00:00:00"/>
    <d v="2024-02-10T00:00:00"/>
    <x v="2"/>
    <x v="0"/>
    <n v="9628.8000000000011"/>
    <x v="0"/>
    <x v="0"/>
    <x v="0"/>
  </r>
  <r>
    <n v="45670"/>
    <x v="0"/>
    <x v="0"/>
    <n v="285"/>
    <n v="50"/>
    <n v="127.49"/>
    <x v="2"/>
    <d v="2024-11-28T00:00:00"/>
    <d v="2025-01-02T00:00:00"/>
    <x v="1"/>
    <x v="0"/>
    <n v="36334.65"/>
    <x v="0"/>
    <x v="0"/>
    <x v="0"/>
  </r>
  <r>
    <n v="66326"/>
    <x v="6"/>
    <x v="3"/>
    <n v="439"/>
    <n v="20"/>
    <n v="137.78"/>
    <x v="0"/>
    <d v="2024-07-10T00:00:00"/>
    <d v="2024-07-26T00:00:00"/>
    <x v="1"/>
    <x v="0"/>
    <n v="60485.42"/>
    <x v="0"/>
    <x v="0"/>
    <x v="0"/>
  </r>
  <r>
    <n v="51964"/>
    <x v="11"/>
    <x v="4"/>
    <n v="239"/>
    <n v="30"/>
    <n v="272.57"/>
    <x v="4"/>
    <d v="2024-08-20T00:00:00"/>
    <d v="2024-09-27T00:00:00"/>
    <x v="1"/>
    <x v="0"/>
    <n v="65144.229999999996"/>
    <x v="0"/>
    <x v="0"/>
    <x v="0"/>
  </r>
  <r>
    <n v="84353"/>
    <x v="0"/>
    <x v="0"/>
    <n v="151"/>
    <n v="50"/>
    <n v="123.92"/>
    <x v="2"/>
    <d v="2024-05-20T00:00:00"/>
    <d v="2024-06-24T00:00:00"/>
    <x v="1"/>
    <x v="0"/>
    <n v="18711.920000000002"/>
    <x v="0"/>
    <x v="0"/>
    <x v="0"/>
  </r>
  <r>
    <n v="68008"/>
    <x v="2"/>
    <x v="1"/>
    <n v="139"/>
    <n v="80"/>
    <n v="172.49"/>
    <x v="4"/>
    <d v="2024-08-11T00:00:00"/>
    <d v="2024-08-29T00:00:00"/>
    <x v="1"/>
    <x v="0"/>
    <n v="23976.11"/>
    <x v="0"/>
    <x v="1"/>
    <x v="0"/>
  </r>
  <r>
    <n v="78906"/>
    <x v="16"/>
    <x v="3"/>
    <n v="30"/>
    <n v="80"/>
    <n v="484.09"/>
    <x v="3"/>
    <d v="2024-12-28T00:00:00"/>
    <d v="2025-01-06T00:00:00"/>
    <x v="1"/>
    <x v="1"/>
    <n v="14522.699999999999"/>
    <x v="77"/>
    <x v="1"/>
    <x v="1"/>
  </r>
  <r>
    <n v="42125"/>
    <x v="3"/>
    <x v="2"/>
    <n v="486"/>
    <n v="150"/>
    <n v="316.11"/>
    <x v="3"/>
    <d v="2024-03-07T00:00:00"/>
    <d v="2024-04-02T00:00:00"/>
    <x v="1"/>
    <x v="0"/>
    <n v="153629.46000000002"/>
    <x v="0"/>
    <x v="0"/>
    <x v="0"/>
  </r>
  <r>
    <n v="16895"/>
    <x v="2"/>
    <x v="1"/>
    <n v="336"/>
    <n v="30"/>
    <n v="224.26"/>
    <x v="2"/>
    <d v="2024-08-25T00:00:00"/>
    <d v="2024-09-25T00:00:00"/>
    <x v="2"/>
    <x v="0"/>
    <n v="75351.360000000001"/>
    <x v="0"/>
    <x v="0"/>
    <x v="0"/>
  </r>
  <r>
    <n v="65823"/>
    <x v="16"/>
    <x v="3"/>
    <n v="63"/>
    <n v="40"/>
    <n v="399.16"/>
    <x v="3"/>
    <d v="2024-04-23T00:00:00"/>
    <d v="2024-05-17T00:00:00"/>
    <x v="1"/>
    <x v="0"/>
    <n v="25147.08"/>
    <x v="0"/>
    <x v="1"/>
    <x v="0"/>
  </r>
  <r>
    <n v="30982"/>
    <x v="16"/>
    <x v="3"/>
    <n v="104"/>
    <n v="50"/>
    <n v="28.65"/>
    <x v="3"/>
    <d v="2024-10-26T00:00:00"/>
    <d v="2024-11-11T00:00:00"/>
    <x v="1"/>
    <x v="0"/>
    <n v="2979.6"/>
    <x v="0"/>
    <x v="1"/>
    <x v="0"/>
  </r>
  <r>
    <n v="27358"/>
    <x v="9"/>
    <x v="1"/>
    <n v="425"/>
    <n v="50"/>
    <n v="388.59"/>
    <x v="1"/>
    <d v="2024-04-12T00:00:00"/>
    <d v="2024-05-04T00:00:00"/>
    <x v="1"/>
    <x v="0"/>
    <n v="165150.75"/>
    <x v="0"/>
    <x v="0"/>
    <x v="0"/>
  </r>
  <r>
    <n v="46495"/>
    <x v="12"/>
    <x v="0"/>
    <n v="225"/>
    <n v="100"/>
    <n v="295.44"/>
    <x v="3"/>
    <d v="2024-09-05T00:00:00"/>
    <d v="2024-09-14T00:00:00"/>
    <x v="2"/>
    <x v="0"/>
    <n v="66474"/>
    <x v="0"/>
    <x v="1"/>
    <x v="0"/>
  </r>
  <r>
    <n v="19716"/>
    <x v="11"/>
    <x v="4"/>
    <n v="414"/>
    <n v="40"/>
    <n v="129.81"/>
    <x v="2"/>
    <d v="2024-04-30T00:00:00"/>
    <d v="2024-05-16T00:00:00"/>
    <x v="2"/>
    <x v="0"/>
    <n v="53741.340000000004"/>
    <x v="0"/>
    <x v="0"/>
    <x v="0"/>
  </r>
  <r>
    <n v="17213"/>
    <x v="10"/>
    <x v="2"/>
    <n v="278"/>
    <n v="20"/>
    <n v="477.44"/>
    <x v="0"/>
    <d v="2024-08-08T00:00:00"/>
    <d v="2024-08-28T00:00:00"/>
    <x v="1"/>
    <x v="0"/>
    <n v="132728.32000000001"/>
    <x v="0"/>
    <x v="0"/>
    <x v="0"/>
  </r>
  <r>
    <n v="85386"/>
    <x v="13"/>
    <x v="3"/>
    <n v="161"/>
    <n v="40"/>
    <n v="313.08"/>
    <x v="2"/>
    <d v="2024-06-09T00:00:00"/>
    <d v="2024-07-14T00:00:00"/>
    <x v="2"/>
    <x v="0"/>
    <n v="50405.88"/>
    <x v="0"/>
    <x v="0"/>
    <x v="0"/>
  </r>
  <r>
    <n v="54149"/>
    <x v="15"/>
    <x v="4"/>
    <n v="377"/>
    <n v="20"/>
    <n v="21.26"/>
    <x v="3"/>
    <d v="2024-01-23T00:00:00"/>
    <d v="2024-02-03T00:00:00"/>
    <x v="0"/>
    <x v="0"/>
    <n v="8015.02"/>
    <x v="0"/>
    <x v="0"/>
    <x v="0"/>
  </r>
  <r>
    <n v="84554"/>
    <x v="3"/>
    <x v="2"/>
    <n v="421"/>
    <n v="50"/>
    <n v="176.91"/>
    <x v="1"/>
    <d v="2024-02-13T00:00:00"/>
    <d v="2024-03-18T00:00:00"/>
    <x v="1"/>
    <x v="0"/>
    <n v="74479.11"/>
    <x v="0"/>
    <x v="0"/>
    <x v="0"/>
  </r>
  <r>
    <n v="81327"/>
    <x v="1"/>
    <x v="0"/>
    <n v="401"/>
    <n v="80"/>
    <n v="271.37"/>
    <x v="1"/>
    <d v="2024-11-13T00:00:00"/>
    <d v="2024-12-10T00:00:00"/>
    <x v="1"/>
    <x v="0"/>
    <n v="108819.37"/>
    <x v="0"/>
    <x v="0"/>
    <x v="0"/>
  </r>
  <r>
    <n v="51831"/>
    <x v="10"/>
    <x v="2"/>
    <n v="189"/>
    <n v="150"/>
    <n v="462.71"/>
    <x v="2"/>
    <d v="2024-12-22T00:00:00"/>
    <d v="2025-01-12T00:00:00"/>
    <x v="0"/>
    <x v="0"/>
    <n v="87452.19"/>
    <x v="0"/>
    <x v="1"/>
    <x v="0"/>
  </r>
  <r>
    <n v="96799"/>
    <x v="3"/>
    <x v="2"/>
    <n v="81"/>
    <n v="80"/>
    <n v="313.17"/>
    <x v="1"/>
    <d v="2024-03-23T00:00:00"/>
    <d v="2024-04-02T00:00:00"/>
    <x v="1"/>
    <x v="0"/>
    <n v="25366.77"/>
    <x v="0"/>
    <x v="1"/>
    <x v="0"/>
  </r>
  <r>
    <n v="22336"/>
    <x v="8"/>
    <x v="1"/>
    <n v="395"/>
    <n v="80"/>
    <n v="152.97"/>
    <x v="2"/>
    <d v="2024-11-06T00:00:00"/>
    <d v="2024-11-11T00:00:00"/>
    <x v="0"/>
    <x v="0"/>
    <n v="60423.15"/>
    <x v="0"/>
    <x v="0"/>
    <x v="0"/>
  </r>
  <r>
    <n v="37228"/>
    <x v="7"/>
    <x v="3"/>
    <n v="23"/>
    <n v="150"/>
    <n v="17.79"/>
    <x v="3"/>
    <d v="2024-05-06T00:00:00"/>
    <d v="2024-05-27T00:00:00"/>
    <x v="1"/>
    <x v="1"/>
    <n v="409.16999999999996"/>
    <x v="78"/>
    <x v="1"/>
    <x v="1"/>
  </r>
  <r>
    <n v="45256"/>
    <x v="15"/>
    <x v="4"/>
    <n v="328"/>
    <n v="50"/>
    <n v="330.91"/>
    <x v="4"/>
    <d v="2024-08-15T00:00:00"/>
    <d v="2024-09-16T00:00:00"/>
    <x v="1"/>
    <x v="0"/>
    <n v="108538.48000000001"/>
    <x v="0"/>
    <x v="0"/>
    <x v="0"/>
  </r>
  <r>
    <n v="15409"/>
    <x v="5"/>
    <x v="2"/>
    <n v="228"/>
    <n v="150"/>
    <n v="107.29"/>
    <x v="0"/>
    <d v="2024-12-18T00:00:00"/>
    <d v="2025-01-03T00:00:00"/>
    <x v="1"/>
    <x v="0"/>
    <n v="24462.120000000003"/>
    <x v="0"/>
    <x v="1"/>
    <x v="0"/>
  </r>
  <r>
    <n v="29768"/>
    <x v="7"/>
    <x v="3"/>
    <n v="189"/>
    <n v="80"/>
    <n v="374.88"/>
    <x v="0"/>
    <d v="2024-12-24T00:00:00"/>
    <d v="2025-01-12T00:00:00"/>
    <x v="2"/>
    <x v="0"/>
    <n v="70852.319999999992"/>
    <x v="0"/>
    <x v="1"/>
    <x v="0"/>
  </r>
  <r>
    <n v="25764"/>
    <x v="12"/>
    <x v="0"/>
    <n v="28"/>
    <n v="30"/>
    <n v="480.09"/>
    <x v="2"/>
    <d v="2024-03-17T00:00:00"/>
    <d v="2024-04-07T00:00:00"/>
    <x v="1"/>
    <x v="1"/>
    <n v="13442.519999999999"/>
    <x v="6"/>
    <x v="1"/>
    <x v="1"/>
  </r>
  <r>
    <n v="23894"/>
    <x v="16"/>
    <x v="3"/>
    <n v="449"/>
    <n v="20"/>
    <n v="451.31"/>
    <x v="3"/>
    <d v="2024-03-01T00:00:00"/>
    <d v="2024-03-31T00:00:00"/>
    <x v="1"/>
    <x v="0"/>
    <n v="202638.19"/>
    <x v="0"/>
    <x v="0"/>
    <x v="0"/>
  </r>
  <r>
    <n v="27733"/>
    <x v="5"/>
    <x v="2"/>
    <n v="362"/>
    <n v="80"/>
    <n v="35.369999999999997"/>
    <x v="3"/>
    <d v="2024-07-12T00:00:00"/>
    <d v="2024-08-04T00:00:00"/>
    <x v="0"/>
    <x v="0"/>
    <n v="12803.939999999999"/>
    <x v="0"/>
    <x v="0"/>
    <x v="0"/>
  </r>
  <r>
    <n v="51152"/>
    <x v="16"/>
    <x v="3"/>
    <n v="91"/>
    <n v="100"/>
    <n v="249.94"/>
    <x v="0"/>
    <d v="2024-06-01T00:00:00"/>
    <d v="2024-07-08T00:00:00"/>
    <x v="2"/>
    <x v="1"/>
    <n v="22744.54"/>
    <x v="79"/>
    <x v="1"/>
    <x v="1"/>
  </r>
  <r>
    <n v="83664"/>
    <x v="11"/>
    <x v="4"/>
    <n v="91"/>
    <n v="40"/>
    <n v="170.38"/>
    <x v="2"/>
    <d v="2024-11-28T00:00:00"/>
    <d v="2024-12-22T00:00:00"/>
    <x v="1"/>
    <x v="0"/>
    <n v="15504.58"/>
    <x v="0"/>
    <x v="1"/>
    <x v="0"/>
  </r>
  <r>
    <n v="47684"/>
    <x v="14"/>
    <x v="4"/>
    <n v="205"/>
    <n v="150"/>
    <n v="186.31"/>
    <x v="3"/>
    <d v="2024-04-02T00:00:00"/>
    <d v="2024-05-02T00:00:00"/>
    <x v="2"/>
    <x v="0"/>
    <n v="38193.550000000003"/>
    <x v="0"/>
    <x v="1"/>
    <x v="0"/>
  </r>
  <r>
    <n v="97700"/>
    <x v="16"/>
    <x v="3"/>
    <n v="1"/>
    <n v="150"/>
    <n v="339.85"/>
    <x v="4"/>
    <d v="2024-09-16T00:00:00"/>
    <d v="2024-09-26T00:00:00"/>
    <x v="2"/>
    <x v="1"/>
    <n v="339.85"/>
    <x v="80"/>
    <x v="1"/>
    <x v="1"/>
  </r>
  <r>
    <n v="92999"/>
    <x v="6"/>
    <x v="3"/>
    <n v="88"/>
    <n v="30"/>
    <n v="283.24"/>
    <x v="2"/>
    <d v="2024-06-09T00:00:00"/>
    <d v="2024-06-27T00:00:00"/>
    <x v="0"/>
    <x v="0"/>
    <n v="24925.120000000003"/>
    <x v="0"/>
    <x v="1"/>
    <x v="0"/>
  </r>
  <r>
    <n v="44523"/>
    <x v="13"/>
    <x v="3"/>
    <n v="143"/>
    <n v="100"/>
    <n v="460.42"/>
    <x v="0"/>
    <d v="2024-12-05T00:00:00"/>
    <d v="2025-01-07T00:00:00"/>
    <x v="0"/>
    <x v="0"/>
    <n v="65840.06"/>
    <x v="0"/>
    <x v="1"/>
    <x v="0"/>
  </r>
  <r>
    <n v="16256"/>
    <x v="10"/>
    <x v="2"/>
    <n v="65"/>
    <n v="150"/>
    <n v="437.53"/>
    <x v="0"/>
    <d v="2024-07-20T00:00:00"/>
    <d v="2024-08-11T00:00:00"/>
    <x v="0"/>
    <x v="1"/>
    <n v="28439.449999999997"/>
    <x v="81"/>
    <x v="1"/>
    <x v="1"/>
  </r>
  <r>
    <n v="99922"/>
    <x v="8"/>
    <x v="1"/>
    <n v="217"/>
    <n v="80"/>
    <n v="396.3"/>
    <x v="0"/>
    <d v="2024-11-29T00:00:00"/>
    <d v="2024-12-27T00:00:00"/>
    <x v="1"/>
    <x v="0"/>
    <n v="85997.1"/>
    <x v="0"/>
    <x v="1"/>
    <x v="0"/>
  </r>
  <r>
    <n v="75936"/>
    <x v="2"/>
    <x v="1"/>
    <n v="482"/>
    <n v="150"/>
    <n v="63.16"/>
    <x v="3"/>
    <d v="2024-06-04T00:00:00"/>
    <d v="2024-07-07T00:00:00"/>
    <x v="0"/>
    <x v="0"/>
    <n v="30443.119999999999"/>
    <x v="0"/>
    <x v="0"/>
    <x v="0"/>
  </r>
  <r>
    <n v="11353"/>
    <x v="9"/>
    <x v="1"/>
    <n v="339"/>
    <n v="40"/>
    <n v="262.47000000000003"/>
    <x v="0"/>
    <d v="2024-08-13T00:00:00"/>
    <d v="2024-08-27T00:00:00"/>
    <x v="2"/>
    <x v="0"/>
    <n v="88977.330000000016"/>
    <x v="0"/>
    <x v="0"/>
    <x v="0"/>
  </r>
  <r>
    <n v="30800"/>
    <x v="1"/>
    <x v="0"/>
    <n v="459"/>
    <n v="40"/>
    <n v="101.7"/>
    <x v="1"/>
    <d v="2024-06-03T00:00:00"/>
    <d v="2024-06-13T00:00:00"/>
    <x v="2"/>
    <x v="0"/>
    <n v="46680.3"/>
    <x v="0"/>
    <x v="0"/>
    <x v="0"/>
  </r>
  <r>
    <n v="57279"/>
    <x v="8"/>
    <x v="1"/>
    <n v="124"/>
    <n v="150"/>
    <n v="253.34"/>
    <x v="4"/>
    <d v="2024-02-20T00:00:00"/>
    <d v="2024-03-19T00:00:00"/>
    <x v="2"/>
    <x v="1"/>
    <n v="31414.16"/>
    <x v="61"/>
    <x v="1"/>
    <x v="1"/>
  </r>
  <r>
    <n v="73755"/>
    <x v="5"/>
    <x v="2"/>
    <n v="192"/>
    <n v="50"/>
    <n v="486.48"/>
    <x v="1"/>
    <d v="2024-07-22T00:00:00"/>
    <d v="2024-08-06T00:00:00"/>
    <x v="2"/>
    <x v="0"/>
    <n v="93404.160000000003"/>
    <x v="0"/>
    <x v="0"/>
    <x v="0"/>
  </r>
  <r>
    <n v="36751"/>
    <x v="3"/>
    <x v="2"/>
    <n v="288"/>
    <n v="80"/>
    <n v="264.70999999999998"/>
    <x v="4"/>
    <d v="2024-11-09T00:00:00"/>
    <d v="2024-12-07T00:00:00"/>
    <x v="0"/>
    <x v="0"/>
    <n v="76236.479999999996"/>
    <x v="0"/>
    <x v="0"/>
    <x v="0"/>
  </r>
  <r>
    <n v="60231"/>
    <x v="11"/>
    <x v="4"/>
    <n v="229"/>
    <n v="150"/>
    <n v="398.1"/>
    <x v="0"/>
    <d v="2024-07-16T00:00:00"/>
    <d v="2024-07-23T00:00:00"/>
    <x v="1"/>
    <x v="0"/>
    <n v="91164.900000000009"/>
    <x v="0"/>
    <x v="1"/>
    <x v="0"/>
  </r>
  <r>
    <n v="31390"/>
    <x v="7"/>
    <x v="3"/>
    <n v="91"/>
    <n v="30"/>
    <n v="98.83"/>
    <x v="1"/>
    <d v="2024-02-26T00:00:00"/>
    <d v="2024-03-08T00:00:00"/>
    <x v="2"/>
    <x v="0"/>
    <n v="8993.5300000000007"/>
    <x v="0"/>
    <x v="0"/>
    <x v="0"/>
  </r>
  <r>
    <n v="57013"/>
    <x v="0"/>
    <x v="0"/>
    <n v="87"/>
    <n v="30"/>
    <n v="123.49"/>
    <x v="1"/>
    <d v="2024-02-12T00:00:00"/>
    <d v="2024-03-13T00:00:00"/>
    <x v="0"/>
    <x v="0"/>
    <n v="10743.63"/>
    <x v="0"/>
    <x v="1"/>
    <x v="0"/>
  </r>
  <r>
    <n v="34124"/>
    <x v="10"/>
    <x v="2"/>
    <n v="289"/>
    <n v="20"/>
    <n v="405.14"/>
    <x v="4"/>
    <d v="2024-07-31T00:00:00"/>
    <d v="2024-08-24T00:00:00"/>
    <x v="1"/>
    <x v="0"/>
    <n v="117085.45999999999"/>
    <x v="0"/>
    <x v="0"/>
    <x v="0"/>
  </r>
  <r>
    <n v="95283"/>
    <x v="4"/>
    <x v="0"/>
    <n v="403"/>
    <n v="30"/>
    <n v="397.38"/>
    <x v="4"/>
    <d v="2024-12-18T00:00:00"/>
    <d v="2025-01-15T00:00:00"/>
    <x v="1"/>
    <x v="0"/>
    <n v="160144.13999999998"/>
    <x v="0"/>
    <x v="0"/>
    <x v="0"/>
  </r>
  <r>
    <n v="39377"/>
    <x v="12"/>
    <x v="0"/>
    <n v="310"/>
    <n v="80"/>
    <n v="305.7"/>
    <x v="3"/>
    <d v="2024-07-23T00:00:00"/>
    <d v="2024-08-20T00:00:00"/>
    <x v="0"/>
    <x v="0"/>
    <n v="94767"/>
    <x v="0"/>
    <x v="0"/>
    <x v="0"/>
  </r>
  <r>
    <n v="65283"/>
    <x v="3"/>
    <x v="2"/>
    <n v="162"/>
    <n v="40"/>
    <n v="260.92"/>
    <x v="1"/>
    <d v="2024-12-02T00:00:00"/>
    <d v="2025-01-03T00:00:00"/>
    <x v="1"/>
    <x v="0"/>
    <n v="42269.04"/>
    <x v="0"/>
    <x v="0"/>
    <x v="0"/>
  </r>
  <r>
    <n v="32553"/>
    <x v="11"/>
    <x v="4"/>
    <n v="203"/>
    <n v="150"/>
    <n v="145.36000000000001"/>
    <x v="0"/>
    <d v="2024-10-14T00:00:00"/>
    <d v="2024-11-19T00:00:00"/>
    <x v="0"/>
    <x v="0"/>
    <n v="29508.080000000002"/>
    <x v="0"/>
    <x v="1"/>
    <x v="0"/>
  </r>
  <r>
    <n v="92227"/>
    <x v="13"/>
    <x v="3"/>
    <n v="105"/>
    <n v="30"/>
    <n v="155.74"/>
    <x v="0"/>
    <d v="2024-08-18T00:00:00"/>
    <d v="2024-08-29T00:00:00"/>
    <x v="0"/>
    <x v="0"/>
    <n v="16352.7"/>
    <x v="0"/>
    <x v="0"/>
    <x v="0"/>
  </r>
  <r>
    <n v="71607"/>
    <x v="11"/>
    <x v="4"/>
    <n v="48"/>
    <n v="20"/>
    <n v="465.31"/>
    <x v="4"/>
    <d v="2024-02-22T00:00:00"/>
    <d v="2024-03-16T00:00:00"/>
    <x v="0"/>
    <x v="0"/>
    <n v="22334.880000000001"/>
    <x v="0"/>
    <x v="1"/>
    <x v="0"/>
  </r>
  <r>
    <n v="18837"/>
    <x v="2"/>
    <x v="1"/>
    <n v="145"/>
    <n v="50"/>
    <n v="69.569999999999993"/>
    <x v="0"/>
    <d v="2024-06-15T00:00:00"/>
    <d v="2024-06-28T00:00:00"/>
    <x v="2"/>
    <x v="0"/>
    <n v="10087.65"/>
    <x v="0"/>
    <x v="1"/>
    <x v="0"/>
  </r>
  <r>
    <n v="86349"/>
    <x v="7"/>
    <x v="3"/>
    <n v="384"/>
    <n v="40"/>
    <n v="42.39"/>
    <x v="4"/>
    <d v="2024-07-29T00:00:00"/>
    <d v="2024-08-19T00:00:00"/>
    <x v="0"/>
    <x v="0"/>
    <n v="16277.76"/>
    <x v="0"/>
    <x v="0"/>
    <x v="0"/>
  </r>
  <r>
    <n v="52487"/>
    <x v="2"/>
    <x v="1"/>
    <n v="285"/>
    <n v="150"/>
    <n v="232.52"/>
    <x v="2"/>
    <d v="2024-03-22T00:00:00"/>
    <d v="2024-04-05T00:00:00"/>
    <x v="0"/>
    <x v="0"/>
    <n v="66268.2"/>
    <x v="0"/>
    <x v="1"/>
    <x v="0"/>
  </r>
  <r>
    <n v="28976"/>
    <x v="0"/>
    <x v="0"/>
    <n v="88"/>
    <n v="80"/>
    <n v="6.9"/>
    <x v="1"/>
    <d v="2024-12-09T00:00:00"/>
    <d v="2024-12-15T00:00:00"/>
    <x v="1"/>
    <x v="0"/>
    <n v="607.20000000000005"/>
    <x v="0"/>
    <x v="1"/>
    <x v="0"/>
  </r>
  <r>
    <n v="94360"/>
    <x v="9"/>
    <x v="1"/>
    <n v="486"/>
    <n v="80"/>
    <n v="370"/>
    <x v="2"/>
    <d v="2024-02-11T00:00:00"/>
    <d v="2024-03-07T00:00:00"/>
    <x v="1"/>
    <x v="0"/>
    <n v="179820"/>
    <x v="0"/>
    <x v="0"/>
    <x v="0"/>
  </r>
  <r>
    <n v="15190"/>
    <x v="10"/>
    <x v="2"/>
    <n v="324"/>
    <n v="20"/>
    <n v="61.52"/>
    <x v="2"/>
    <d v="2024-11-15T00:00:00"/>
    <d v="2024-12-12T00:00:00"/>
    <x v="0"/>
    <x v="0"/>
    <n v="19932.48"/>
    <x v="0"/>
    <x v="0"/>
    <x v="0"/>
  </r>
  <r>
    <n v="97858"/>
    <x v="10"/>
    <x v="2"/>
    <n v="389"/>
    <n v="150"/>
    <n v="458.01"/>
    <x v="2"/>
    <d v="2024-01-09T00:00:00"/>
    <d v="2024-02-15T00:00:00"/>
    <x v="2"/>
    <x v="0"/>
    <n v="178165.88999999998"/>
    <x v="0"/>
    <x v="1"/>
    <x v="0"/>
  </r>
  <r>
    <n v="85271"/>
    <x v="6"/>
    <x v="3"/>
    <n v="481"/>
    <n v="20"/>
    <n v="274.29000000000002"/>
    <x v="1"/>
    <d v="2024-01-14T00:00:00"/>
    <d v="2024-02-02T00:00:00"/>
    <x v="0"/>
    <x v="0"/>
    <n v="131933.49000000002"/>
    <x v="0"/>
    <x v="0"/>
    <x v="0"/>
  </r>
  <r>
    <n v="48409"/>
    <x v="1"/>
    <x v="0"/>
    <n v="445"/>
    <n v="100"/>
    <n v="303.69"/>
    <x v="1"/>
    <d v="2024-11-02T00:00:00"/>
    <d v="2024-12-05T00:00:00"/>
    <x v="1"/>
    <x v="0"/>
    <n v="135142.04999999999"/>
    <x v="0"/>
    <x v="0"/>
    <x v="0"/>
  </r>
  <r>
    <n v="91238"/>
    <x v="14"/>
    <x v="4"/>
    <n v="294"/>
    <n v="80"/>
    <n v="254.05"/>
    <x v="3"/>
    <d v="2024-07-06T00:00:00"/>
    <d v="2024-07-30T00:00:00"/>
    <x v="2"/>
    <x v="0"/>
    <n v="74690.7"/>
    <x v="0"/>
    <x v="0"/>
    <x v="0"/>
  </r>
  <r>
    <n v="38341"/>
    <x v="4"/>
    <x v="0"/>
    <n v="431"/>
    <n v="20"/>
    <n v="277.52"/>
    <x v="2"/>
    <d v="2024-11-12T00:00:00"/>
    <d v="2024-11-26T00:00:00"/>
    <x v="0"/>
    <x v="0"/>
    <n v="119611.12"/>
    <x v="0"/>
    <x v="0"/>
    <x v="0"/>
  </r>
  <r>
    <n v="48383"/>
    <x v="16"/>
    <x v="3"/>
    <n v="132"/>
    <n v="150"/>
    <n v="146.36000000000001"/>
    <x v="4"/>
    <d v="2024-08-10T00:00:00"/>
    <d v="2024-09-06T00:00:00"/>
    <x v="1"/>
    <x v="1"/>
    <n v="19319.52"/>
    <x v="12"/>
    <x v="1"/>
    <x v="1"/>
  </r>
  <r>
    <n v="65612"/>
    <x v="8"/>
    <x v="1"/>
    <n v="353"/>
    <n v="80"/>
    <n v="292"/>
    <x v="0"/>
    <d v="2024-10-10T00:00:00"/>
    <d v="2024-11-15T00:00:00"/>
    <x v="1"/>
    <x v="0"/>
    <n v="103076"/>
    <x v="0"/>
    <x v="0"/>
    <x v="0"/>
  </r>
  <r>
    <n v="16853"/>
    <x v="9"/>
    <x v="1"/>
    <n v="456"/>
    <n v="30"/>
    <n v="413.01"/>
    <x v="3"/>
    <d v="2024-07-23T00:00:00"/>
    <d v="2024-08-01T00:00:00"/>
    <x v="1"/>
    <x v="0"/>
    <n v="188332.56"/>
    <x v="0"/>
    <x v="0"/>
    <x v="0"/>
  </r>
  <r>
    <n v="87186"/>
    <x v="1"/>
    <x v="0"/>
    <n v="456"/>
    <n v="30"/>
    <n v="69.790000000000006"/>
    <x v="3"/>
    <d v="2024-05-11T00:00:00"/>
    <d v="2024-06-09T00:00:00"/>
    <x v="2"/>
    <x v="0"/>
    <n v="31824.240000000002"/>
    <x v="0"/>
    <x v="0"/>
    <x v="0"/>
  </r>
  <r>
    <n v="19969"/>
    <x v="4"/>
    <x v="0"/>
    <n v="289"/>
    <n v="40"/>
    <n v="386.26"/>
    <x v="1"/>
    <d v="2024-10-04T00:00:00"/>
    <d v="2024-10-14T00:00:00"/>
    <x v="2"/>
    <x v="0"/>
    <n v="111629.14"/>
    <x v="0"/>
    <x v="0"/>
    <x v="0"/>
  </r>
  <r>
    <n v="99614"/>
    <x v="11"/>
    <x v="4"/>
    <n v="399"/>
    <n v="50"/>
    <n v="481.29"/>
    <x v="4"/>
    <d v="2024-03-12T00:00:00"/>
    <d v="2024-03-29T00:00:00"/>
    <x v="2"/>
    <x v="0"/>
    <n v="192034.71000000002"/>
    <x v="0"/>
    <x v="0"/>
    <x v="0"/>
  </r>
  <r>
    <n v="20131"/>
    <x v="13"/>
    <x v="3"/>
    <n v="146"/>
    <n v="150"/>
    <n v="57.52"/>
    <x v="4"/>
    <d v="2024-05-18T00:00:00"/>
    <d v="2024-06-11T00:00:00"/>
    <x v="2"/>
    <x v="1"/>
    <n v="8397.92"/>
    <x v="64"/>
    <x v="1"/>
    <x v="1"/>
  </r>
  <r>
    <n v="98822"/>
    <x v="2"/>
    <x v="1"/>
    <n v="329"/>
    <n v="30"/>
    <n v="47.28"/>
    <x v="2"/>
    <d v="2024-07-19T00:00:00"/>
    <d v="2024-08-23T00:00:00"/>
    <x v="0"/>
    <x v="0"/>
    <n v="15555.12"/>
    <x v="0"/>
    <x v="0"/>
    <x v="0"/>
  </r>
  <r>
    <n v="28706"/>
    <x v="13"/>
    <x v="3"/>
    <n v="333"/>
    <n v="50"/>
    <n v="117.25"/>
    <x v="4"/>
    <d v="2024-12-24T00:00:00"/>
    <d v="2025-01-14T00:00:00"/>
    <x v="1"/>
    <x v="0"/>
    <n v="39044.25"/>
    <x v="0"/>
    <x v="0"/>
    <x v="0"/>
  </r>
  <r>
    <n v="48015"/>
    <x v="2"/>
    <x v="1"/>
    <n v="318"/>
    <n v="80"/>
    <n v="315.83999999999997"/>
    <x v="1"/>
    <d v="2024-06-01T00:00:00"/>
    <d v="2024-06-16T00:00:00"/>
    <x v="2"/>
    <x v="0"/>
    <n v="100437.12"/>
    <x v="0"/>
    <x v="0"/>
    <x v="0"/>
  </r>
  <r>
    <n v="55784"/>
    <x v="9"/>
    <x v="1"/>
    <n v="158"/>
    <n v="30"/>
    <n v="120.79"/>
    <x v="1"/>
    <d v="2024-01-23T00:00:00"/>
    <d v="2024-02-09T00:00:00"/>
    <x v="2"/>
    <x v="0"/>
    <n v="19084.82"/>
    <x v="0"/>
    <x v="0"/>
    <x v="0"/>
  </r>
  <r>
    <n v="65989"/>
    <x v="8"/>
    <x v="1"/>
    <n v="418"/>
    <n v="20"/>
    <n v="46.04"/>
    <x v="1"/>
    <d v="2024-03-25T00:00:00"/>
    <d v="2024-04-30T00:00:00"/>
    <x v="1"/>
    <x v="0"/>
    <n v="19244.72"/>
    <x v="0"/>
    <x v="0"/>
    <x v="0"/>
  </r>
  <r>
    <n v="77560"/>
    <x v="2"/>
    <x v="1"/>
    <n v="229"/>
    <n v="100"/>
    <n v="385.54"/>
    <x v="1"/>
    <d v="2024-06-04T00:00:00"/>
    <d v="2024-06-09T00:00:00"/>
    <x v="1"/>
    <x v="0"/>
    <n v="88288.66"/>
    <x v="0"/>
    <x v="1"/>
    <x v="0"/>
  </r>
  <r>
    <n v="25916"/>
    <x v="12"/>
    <x v="0"/>
    <n v="381"/>
    <n v="30"/>
    <n v="7.42"/>
    <x v="3"/>
    <d v="2024-09-26T00:00:00"/>
    <d v="2024-10-12T00:00:00"/>
    <x v="1"/>
    <x v="0"/>
    <n v="2827.02"/>
    <x v="0"/>
    <x v="0"/>
    <x v="0"/>
  </r>
  <r>
    <n v="45233"/>
    <x v="15"/>
    <x v="4"/>
    <n v="252"/>
    <n v="20"/>
    <n v="450.88"/>
    <x v="3"/>
    <d v="2024-09-30T00:00:00"/>
    <d v="2024-10-24T00:00:00"/>
    <x v="2"/>
    <x v="0"/>
    <n v="113621.75999999999"/>
    <x v="0"/>
    <x v="0"/>
    <x v="0"/>
  </r>
  <r>
    <n v="78295"/>
    <x v="11"/>
    <x v="4"/>
    <n v="185"/>
    <n v="30"/>
    <n v="213.78"/>
    <x v="2"/>
    <d v="2024-09-09T00:00:00"/>
    <d v="2024-10-02T00:00:00"/>
    <x v="1"/>
    <x v="0"/>
    <n v="39549.300000000003"/>
    <x v="0"/>
    <x v="0"/>
    <x v="0"/>
  </r>
  <r>
    <n v="81309"/>
    <x v="3"/>
    <x v="2"/>
    <n v="235"/>
    <n v="150"/>
    <n v="181.35"/>
    <x v="0"/>
    <d v="2024-08-15T00:00:00"/>
    <d v="2024-09-05T00:00:00"/>
    <x v="0"/>
    <x v="0"/>
    <n v="42617.25"/>
    <x v="0"/>
    <x v="1"/>
    <x v="0"/>
  </r>
  <r>
    <n v="16791"/>
    <x v="7"/>
    <x v="3"/>
    <n v="164"/>
    <n v="40"/>
    <n v="463.87"/>
    <x v="2"/>
    <d v="2024-02-22T00:00:00"/>
    <d v="2024-03-08T00:00:00"/>
    <x v="1"/>
    <x v="0"/>
    <n v="76074.680000000008"/>
    <x v="0"/>
    <x v="0"/>
    <x v="0"/>
  </r>
  <r>
    <n v="53220"/>
    <x v="1"/>
    <x v="0"/>
    <n v="357"/>
    <n v="150"/>
    <n v="407.03"/>
    <x v="2"/>
    <d v="2024-02-17T00:00:00"/>
    <d v="2024-03-19T00:00:00"/>
    <x v="1"/>
    <x v="0"/>
    <n v="145309.71"/>
    <x v="0"/>
    <x v="1"/>
    <x v="0"/>
  </r>
  <r>
    <n v="38261"/>
    <x v="16"/>
    <x v="3"/>
    <n v="72"/>
    <n v="50"/>
    <n v="326.33"/>
    <x v="1"/>
    <d v="2024-03-17T00:00:00"/>
    <d v="2024-04-16T00:00:00"/>
    <x v="0"/>
    <x v="0"/>
    <n v="23495.759999999998"/>
    <x v="0"/>
    <x v="1"/>
    <x v="0"/>
  </r>
  <r>
    <n v="43012"/>
    <x v="4"/>
    <x v="0"/>
    <n v="274"/>
    <n v="40"/>
    <n v="225.62"/>
    <x v="1"/>
    <d v="2024-03-17T00:00:00"/>
    <d v="2024-04-18T00:00:00"/>
    <x v="2"/>
    <x v="0"/>
    <n v="61819.880000000005"/>
    <x v="0"/>
    <x v="0"/>
    <x v="0"/>
  </r>
  <r>
    <n v="45167"/>
    <x v="13"/>
    <x v="3"/>
    <n v="200"/>
    <n v="20"/>
    <n v="271.14999999999998"/>
    <x v="3"/>
    <d v="2024-03-24T00:00:00"/>
    <d v="2024-04-12T00:00:00"/>
    <x v="0"/>
    <x v="0"/>
    <n v="54229.999999999993"/>
    <x v="0"/>
    <x v="0"/>
    <x v="0"/>
  </r>
  <r>
    <n v="51002"/>
    <x v="13"/>
    <x v="3"/>
    <n v="250"/>
    <n v="150"/>
    <n v="14.96"/>
    <x v="2"/>
    <d v="2024-07-27T00:00:00"/>
    <d v="2024-09-01T00:00:00"/>
    <x v="1"/>
    <x v="0"/>
    <n v="3740"/>
    <x v="0"/>
    <x v="1"/>
    <x v="0"/>
  </r>
  <r>
    <n v="28205"/>
    <x v="7"/>
    <x v="3"/>
    <n v="83"/>
    <n v="100"/>
    <n v="272.68"/>
    <x v="0"/>
    <d v="2024-06-25T00:00:00"/>
    <d v="2024-08-01T00:00:00"/>
    <x v="1"/>
    <x v="1"/>
    <n v="22632.440000000002"/>
    <x v="14"/>
    <x v="1"/>
    <x v="1"/>
  </r>
  <r>
    <n v="45645"/>
    <x v="15"/>
    <x v="4"/>
    <n v="91"/>
    <n v="100"/>
    <n v="347.19"/>
    <x v="2"/>
    <d v="2024-04-03T00:00:00"/>
    <d v="2024-05-10T00:00:00"/>
    <x v="2"/>
    <x v="1"/>
    <n v="31594.29"/>
    <x v="79"/>
    <x v="1"/>
    <x v="1"/>
  </r>
  <r>
    <n v="22213"/>
    <x v="2"/>
    <x v="1"/>
    <n v="427"/>
    <n v="40"/>
    <n v="87.9"/>
    <x v="3"/>
    <d v="2024-07-08T00:00:00"/>
    <d v="2024-08-06T00:00:00"/>
    <x v="1"/>
    <x v="0"/>
    <n v="37533.300000000003"/>
    <x v="0"/>
    <x v="0"/>
    <x v="0"/>
  </r>
  <r>
    <n v="32369"/>
    <x v="11"/>
    <x v="4"/>
    <n v="19"/>
    <n v="20"/>
    <n v="467.74"/>
    <x v="3"/>
    <d v="2024-02-15T00:00:00"/>
    <d v="2024-02-28T00:00:00"/>
    <x v="1"/>
    <x v="1"/>
    <n v="8887.06"/>
    <x v="32"/>
    <x v="1"/>
    <x v="1"/>
  </r>
  <r>
    <n v="37328"/>
    <x v="6"/>
    <x v="3"/>
    <n v="60"/>
    <n v="20"/>
    <n v="403.39"/>
    <x v="0"/>
    <d v="2024-09-02T00:00:00"/>
    <d v="2024-09-21T00:00:00"/>
    <x v="2"/>
    <x v="0"/>
    <n v="24203.399999999998"/>
    <x v="0"/>
    <x v="1"/>
    <x v="0"/>
  </r>
  <r>
    <n v="59882"/>
    <x v="4"/>
    <x v="0"/>
    <n v="494"/>
    <n v="20"/>
    <n v="230.53"/>
    <x v="3"/>
    <d v="2024-01-10T00:00:00"/>
    <d v="2024-01-15T00:00:00"/>
    <x v="1"/>
    <x v="0"/>
    <n v="113881.82"/>
    <x v="0"/>
    <x v="0"/>
    <x v="0"/>
  </r>
  <r>
    <n v="77042"/>
    <x v="10"/>
    <x v="2"/>
    <n v="132"/>
    <n v="150"/>
    <n v="346.56"/>
    <x v="4"/>
    <d v="2024-12-14T00:00:00"/>
    <d v="2025-01-02T00:00:00"/>
    <x v="1"/>
    <x v="1"/>
    <n v="45745.919999999998"/>
    <x v="12"/>
    <x v="1"/>
    <x v="1"/>
  </r>
  <r>
    <n v="99110"/>
    <x v="4"/>
    <x v="0"/>
    <n v="19"/>
    <n v="80"/>
    <n v="128.99"/>
    <x v="0"/>
    <d v="2024-05-01T00:00:00"/>
    <d v="2024-05-31T00:00:00"/>
    <x v="0"/>
    <x v="1"/>
    <n v="2450.8100000000004"/>
    <x v="33"/>
    <x v="1"/>
    <x v="1"/>
  </r>
  <r>
    <n v="13621"/>
    <x v="8"/>
    <x v="1"/>
    <n v="411"/>
    <n v="40"/>
    <n v="181.42"/>
    <x v="2"/>
    <d v="2024-02-21T00:00:00"/>
    <d v="2024-03-13T00:00:00"/>
    <x v="0"/>
    <x v="0"/>
    <n v="74563.62"/>
    <x v="0"/>
    <x v="0"/>
    <x v="0"/>
  </r>
  <r>
    <n v="25659"/>
    <x v="15"/>
    <x v="4"/>
    <n v="50"/>
    <n v="20"/>
    <n v="351.73"/>
    <x v="2"/>
    <d v="2024-11-06T00:00:00"/>
    <d v="2024-11-25T00:00:00"/>
    <x v="0"/>
    <x v="0"/>
    <n v="17586.5"/>
    <x v="0"/>
    <x v="1"/>
    <x v="0"/>
  </r>
  <r>
    <n v="67745"/>
    <x v="12"/>
    <x v="0"/>
    <n v="127"/>
    <n v="20"/>
    <n v="145.72"/>
    <x v="2"/>
    <d v="2024-05-27T00:00:00"/>
    <d v="2024-06-11T00:00:00"/>
    <x v="0"/>
    <x v="0"/>
    <n v="18506.439999999999"/>
    <x v="0"/>
    <x v="0"/>
    <x v="0"/>
  </r>
  <r>
    <n v="38797"/>
    <x v="0"/>
    <x v="0"/>
    <n v="267"/>
    <n v="80"/>
    <n v="200.43"/>
    <x v="1"/>
    <d v="2024-11-15T00:00:00"/>
    <d v="2024-11-28T00:00:00"/>
    <x v="2"/>
    <x v="0"/>
    <n v="53514.810000000005"/>
    <x v="0"/>
    <x v="0"/>
    <x v="0"/>
  </r>
  <r>
    <n v="85591"/>
    <x v="9"/>
    <x v="1"/>
    <n v="115"/>
    <n v="20"/>
    <n v="398.67"/>
    <x v="4"/>
    <d v="2024-07-27T00:00:00"/>
    <d v="2024-08-25T00:00:00"/>
    <x v="0"/>
    <x v="0"/>
    <n v="45847.05"/>
    <x v="0"/>
    <x v="0"/>
    <x v="0"/>
  </r>
  <r>
    <n v="67632"/>
    <x v="9"/>
    <x v="1"/>
    <n v="146"/>
    <n v="150"/>
    <n v="140.03"/>
    <x v="1"/>
    <d v="2024-04-03T00:00:00"/>
    <d v="2024-04-23T00:00:00"/>
    <x v="2"/>
    <x v="1"/>
    <n v="20444.38"/>
    <x v="64"/>
    <x v="1"/>
    <x v="1"/>
  </r>
  <r>
    <n v="63517"/>
    <x v="2"/>
    <x v="1"/>
    <n v="185"/>
    <n v="20"/>
    <n v="471.94"/>
    <x v="4"/>
    <d v="2024-12-11T00:00:00"/>
    <d v="2024-12-31T00:00:00"/>
    <x v="1"/>
    <x v="0"/>
    <n v="87308.9"/>
    <x v="0"/>
    <x v="0"/>
    <x v="0"/>
  </r>
  <r>
    <n v="23275"/>
    <x v="5"/>
    <x v="2"/>
    <n v="385"/>
    <n v="40"/>
    <n v="462.62"/>
    <x v="2"/>
    <d v="2024-08-02T00:00:00"/>
    <d v="2024-08-14T00:00:00"/>
    <x v="2"/>
    <x v="0"/>
    <n v="178108.7"/>
    <x v="0"/>
    <x v="0"/>
    <x v="0"/>
  </r>
  <r>
    <n v="42624"/>
    <x v="13"/>
    <x v="3"/>
    <n v="92"/>
    <n v="20"/>
    <n v="33.85"/>
    <x v="1"/>
    <d v="2024-03-03T00:00:00"/>
    <d v="2024-04-08T00:00:00"/>
    <x v="0"/>
    <x v="0"/>
    <n v="3114.2000000000003"/>
    <x v="0"/>
    <x v="0"/>
    <x v="0"/>
  </r>
  <r>
    <n v="75546"/>
    <x v="12"/>
    <x v="0"/>
    <n v="268"/>
    <n v="50"/>
    <n v="152.35"/>
    <x v="0"/>
    <d v="2024-05-31T00:00:00"/>
    <d v="2024-06-28T00:00:00"/>
    <x v="2"/>
    <x v="0"/>
    <n v="40829.799999999996"/>
    <x v="0"/>
    <x v="0"/>
    <x v="0"/>
  </r>
  <r>
    <n v="65872"/>
    <x v="14"/>
    <x v="4"/>
    <n v="410"/>
    <n v="50"/>
    <n v="243.58"/>
    <x v="3"/>
    <d v="2024-05-07T00:00:00"/>
    <d v="2024-06-08T00:00:00"/>
    <x v="1"/>
    <x v="0"/>
    <n v="99867.8"/>
    <x v="0"/>
    <x v="0"/>
    <x v="0"/>
  </r>
  <r>
    <n v="54135"/>
    <x v="4"/>
    <x v="0"/>
    <n v="318"/>
    <n v="80"/>
    <n v="418.61"/>
    <x v="2"/>
    <d v="2024-07-28T00:00:00"/>
    <d v="2024-08-07T00:00:00"/>
    <x v="0"/>
    <x v="0"/>
    <n v="133117.98000000001"/>
    <x v="0"/>
    <x v="0"/>
    <x v="0"/>
  </r>
  <r>
    <n v="42872"/>
    <x v="12"/>
    <x v="0"/>
    <n v="329"/>
    <n v="100"/>
    <n v="134.53"/>
    <x v="1"/>
    <d v="2024-01-31T00:00:00"/>
    <d v="2024-02-11T00:00:00"/>
    <x v="2"/>
    <x v="0"/>
    <n v="44260.37"/>
    <x v="0"/>
    <x v="0"/>
    <x v="0"/>
  </r>
  <r>
    <n v="32228"/>
    <x v="6"/>
    <x v="3"/>
    <n v="155"/>
    <n v="100"/>
    <n v="109.96"/>
    <x v="2"/>
    <d v="2024-03-07T00:00:00"/>
    <d v="2024-03-26T00:00:00"/>
    <x v="0"/>
    <x v="0"/>
    <n v="17043.8"/>
    <x v="0"/>
    <x v="1"/>
    <x v="0"/>
  </r>
  <r>
    <n v="71756"/>
    <x v="1"/>
    <x v="0"/>
    <n v="238"/>
    <n v="20"/>
    <n v="10.35"/>
    <x v="2"/>
    <d v="2024-04-01T00:00:00"/>
    <d v="2024-04-28T00:00:00"/>
    <x v="2"/>
    <x v="0"/>
    <n v="2463.2999999999997"/>
    <x v="0"/>
    <x v="0"/>
    <x v="0"/>
  </r>
  <r>
    <n v="68182"/>
    <x v="5"/>
    <x v="2"/>
    <n v="217"/>
    <n v="100"/>
    <n v="384"/>
    <x v="1"/>
    <d v="2024-10-04T00:00:00"/>
    <d v="2024-10-26T00:00:00"/>
    <x v="2"/>
    <x v="0"/>
    <n v="83328"/>
    <x v="0"/>
    <x v="1"/>
    <x v="0"/>
  </r>
  <r>
    <n v="17436"/>
    <x v="15"/>
    <x v="4"/>
    <n v="312"/>
    <n v="80"/>
    <n v="315"/>
    <x v="1"/>
    <d v="2024-11-22T00:00:00"/>
    <d v="2024-12-05T00:00:00"/>
    <x v="1"/>
    <x v="0"/>
    <n v="98280"/>
    <x v="0"/>
    <x v="0"/>
    <x v="0"/>
  </r>
  <r>
    <n v="27157"/>
    <x v="10"/>
    <x v="2"/>
    <n v="276"/>
    <n v="150"/>
    <n v="136.08000000000001"/>
    <x v="4"/>
    <d v="2024-06-11T00:00:00"/>
    <d v="2024-06-30T00:00:00"/>
    <x v="0"/>
    <x v="0"/>
    <n v="37558.080000000002"/>
    <x v="0"/>
    <x v="1"/>
    <x v="0"/>
  </r>
  <r>
    <n v="37213"/>
    <x v="9"/>
    <x v="1"/>
    <n v="224"/>
    <n v="50"/>
    <n v="481.37"/>
    <x v="0"/>
    <d v="2024-04-27T00:00:00"/>
    <d v="2024-06-04T00:00:00"/>
    <x v="1"/>
    <x v="0"/>
    <n v="107826.88"/>
    <x v="0"/>
    <x v="0"/>
    <x v="0"/>
  </r>
  <r>
    <n v="43371"/>
    <x v="0"/>
    <x v="0"/>
    <n v="356"/>
    <n v="50"/>
    <n v="366.3"/>
    <x v="4"/>
    <d v="2024-01-26T00:00:00"/>
    <d v="2024-02-17T00:00:00"/>
    <x v="1"/>
    <x v="0"/>
    <n v="130402.8"/>
    <x v="0"/>
    <x v="0"/>
    <x v="0"/>
  </r>
  <r>
    <n v="44381"/>
    <x v="10"/>
    <x v="2"/>
    <n v="479"/>
    <n v="40"/>
    <n v="313.98"/>
    <x v="2"/>
    <d v="2024-07-05T00:00:00"/>
    <d v="2024-07-15T00:00:00"/>
    <x v="2"/>
    <x v="0"/>
    <n v="150396.42000000001"/>
    <x v="0"/>
    <x v="0"/>
    <x v="0"/>
  </r>
  <r>
    <n v="36745"/>
    <x v="16"/>
    <x v="3"/>
    <n v="298"/>
    <n v="50"/>
    <n v="176.4"/>
    <x v="0"/>
    <d v="2024-05-28T00:00:00"/>
    <d v="2024-06-28T00:00:00"/>
    <x v="2"/>
    <x v="0"/>
    <n v="52567.200000000004"/>
    <x v="0"/>
    <x v="0"/>
    <x v="0"/>
  </r>
  <r>
    <n v="74555"/>
    <x v="7"/>
    <x v="3"/>
    <n v="237"/>
    <n v="30"/>
    <n v="109.21"/>
    <x v="4"/>
    <d v="2024-09-29T00:00:00"/>
    <d v="2024-10-07T00:00:00"/>
    <x v="0"/>
    <x v="0"/>
    <n v="25882.769999999997"/>
    <x v="0"/>
    <x v="0"/>
    <x v="0"/>
  </r>
  <r>
    <n v="57096"/>
    <x v="10"/>
    <x v="2"/>
    <n v="195"/>
    <n v="30"/>
    <n v="241.61"/>
    <x v="3"/>
    <d v="2024-11-18T00:00:00"/>
    <d v="2024-11-24T00:00:00"/>
    <x v="0"/>
    <x v="0"/>
    <n v="47113.950000000004"/>
    <x v="0"/>
    <x v="0"/>
    <x v="0"/>
  </r>
  <r>
    <n v="62726"/>
    <x v="15"/>
    <x v="4"/>
    <n v="26"/>
    <n v="20"/>
    <n v="379.93"/>
    <x v="2"/>
    <d v="2024-09-13T00:00:00"/>
    <d v="2024-09-20T00:00:00"/>
    <x v="0"/>
    <x v="0"/>
    <n v="9878.18"/>
    <x v="0"/>
    <x v="1"/>
    <x v="0"/>
  </r>
  <r>
    <n v="88182"/>
    <x v="6"/>
    <x v="3"/>
    <n v="270"/>
    <n v="100"/>
    <n v="473.92"/>
    <x v="1"/>
    <d v="2024-02-25T00:00:00"/>
    <d v="2024-03-26T00:00:00"/>
    <x v="2"/>
    <x v="0"/>
    <n v="127958.40000000001"/>
    <x v="0"/>
    <x v="1"/>
    <x v="0"/>
  </r>
  <r>
    <n v="79918"/>
    <x v="8"/>
    <x v="1"/>
    <n v="338"/>
    <n v="100"/>
    <n v="247.89"/>
    <x v="2"/>
    <d v="2024-08-10T00:00:00"/>
    <d v="2024-08-21T00:00:00"/>
    <x v="2"/>
    <x v="0"/>
    <n v="83786.819999999992"/>
    <x v="0"/>
    <x v="0"/>
    <x v="0"/>
  </r>
  <r>
    <n v="63450"/>
    <x v="14"/>
    <x v="4"/>
    <n v="22"/>
    <n v="80"/>
    <n v="257.01"/>
    <x v="4"/>
    <d v="2024-02-07T00:00:00"/>
    <d v="2024-03-09T00:00:00"/>
    <x v="0"/>
    <x v="1"/>
    <n v="5654.2199999999993"/>
    <x v="82"/>
    <x v="1"/>
    <x v="1"/>
  </r>
  <r>
    <n v="27290"/>
    <x v="9"/>
    <x v="1"/>
    <n v="474"/>
    <n v="150"/>
    <n v="473.31"/>
    <x v="2"/>
    <d v="2024-04-19T00:00:00"/>
    <d v="2024-05-06T00:00:00"/>
    <x v="0"/>
    <x v="0"/>
    <n v="224348.94"/>
    <x v="0"/>
    <x v="0"/>
    <x v="0"/>
  </r>
  <r>
    <n v="20447"/>
    <x v="11"/>
    <x v="4"/>
    <n v="347"/>
    <n v="80"/>
    <n v="430.37"/>
    <x v="3"/>
    <d v="2024-09-16T00:00:00"/>
    <d v="2024-10-08T00:00:00"/>
    <x v="0"/>
    <x v="0"/>
    <n v="149338.39000000001"/>
    <x v="0"/>
    <x v="0"/>
    <x v="0"/>
  </r>
  <r>
    <n v="94853"/>
    <x v="4"/>
    <x v="0"/>
    <n v="328"/>
    <n v="40"/>
    <n v="172.58"/>
    <x v="1"/>
    <d v="2024-02-29T00:00:00"/>
    <d v="2024-03-07T00:00:00"/>
    <x v="0"/>
    <x v="0"/>
    <n v="56606.240000000005"/>
    <x v="0"/>
    <x v="0"/>
    <x v="0"/>
  </r>
  <r>
    <n v="91060"/>
    <x v="11"/>
    <x v="4"/>
    <n v="319"/>
    <n v="150"/>
    <n v="301.94"/>
    <x v="0"/>
    <d v="2024-10-06T00:00:00"/>
    <d v="2024-11-06T00:00:00"/>
    <x v="1"/>
    <x v="0"/>
    <n v="96318.86"/>
    <x v="0"/>
    <x v="1"/>
    <x v="0"/>
  </r>
  <r>
    <n v="30874"/>
    <x v="14"/>
    <x v="4"/>
    <n v="375"/>
    <n v="50"/>
    <n v="427.43"/>
    <x v="1"/>
    <d v="2024-09-13T00:00:00"/>
    <d v="2024-10-09T00:00:00"/>
    <x v="1"/>
    <x v="0"/>
    <n v="160286.25"/>
    <x v="0"/>
    <x v="0"/>
    <x v="0"/>
  </r>
  <r>
    <n v="71509"/>
    <x v="9"/>
    <x v="1"/>
    <n v="217"/>
    <n v="80"/>
    <n v="225.02"/>
    <x v="3"/>
    <d v="2024-05-18T00:00:00"/>
    <d v="2024-06-02T00:00:00"/>
    <x v="2"/>
    <x v="0"/>
    <n v="48829.340000000004"/>
    <x v="0"/>
    <x v="1"/>
    <x v="0"/>
  </r>
  <r>
    <n v="35457"/>
    <x v="13"/>
    <x v="3"/>
    <n v="55"/>
    <n v="150"/>
    <n v="44.23"/>
    <x v="2"/>
    <d v="2024-06-23T00:00:00"/>
    <d v="2024-07-24T00:00:00"/>
    <x v="2"/>
    <x v="1"/>
    <n v="2432.6499999999996"/>
    <x v="25"/>
    <x v="1"/>
    <x v="1"/>
  </r>
  <r>
    <n v="62137"/>
    <x v="14"/>
    <x v="4"/>
    <n v="441"/>
    <n v="50"/>
    <n v="66.03"/>
    <x v="1"/>
    <d v="2024-03-04T00:00:00"/>
    <d v="2024-03-15T00:00:00"/>
    <x v="2"/>
    <x v="0"/>
    <n v="29119.23"/>
    <x v="0"/>
    <x v="0"/>
    <x v="0"/>
  </r>
  <r>
    <n v="10037"/>
    <x v="2"/>
    <x v="1"/>
    <n v="404"/>
    <n v="50"/>
    <n v="382.98"/>
    <x v="3"/>
    <d v="2024-03-05T00:00:00"/>
    <d v="2024-04-11T00:00:00"/>
    <x v="2"/>
    <x v="0"/>
    <n v="154723.92000000001"/>
    <x v="0"/>
    <x v="0"/>
    <x v="0"/>
  </r>
  <r>
    <n v="72008"/>
    <x v="6"/>
    <x v="3"/>
    <n v="475"/>
    <n v="20"/>
    <n v="266.11"/>
    <x v="3"/>
    <d v="2024-10-23T00:00:00"/>
    <d v="2024-11-26T00:00:00"/>
    <x v="0"/>
    <x v="0"/>
    <n v="126402.25"/>
    <x v="0"/>
    <x v="0"/>
    <x v="0"/>
  </r>
  <r>
    <n v="43439"/>
    <x v="8"/>
    <x v="1"/>
    <n v="215"/>
    <n v="100"/>
    <n v="57.53"/>
    <x v="1"/>
    <d v="2024-10-07T00:00:00"/>
    <d v="2024-10-12T00:00:00"/>
    <x v="2"/>
    <x v="0"/>
    <n v="12368.95"/>
    <x v="0"/>
    <x v="1"/>
    <x v="0"/>
  </r>
  <r>
    <n v="44743"/>
    <x v="10"/>
    <x v="2"/>
    <n v="146"/>
    <n v="50"/>
    <n v="177.78"/>
    <x v="3"/>
    <d v="2024-01-02T00:00:00"/>
    <d v="2024-01-15T00:00:00"/>
    <x v="2"/>
    <x v="0"/>
    <n v="25955.88"/>
    <x v="0"/>
    <x v="1"/>
    <x v="0"/>
  </r>
  <r>
    <n v="92896"/>
    <x v="0"/>
    <x v="0"/>
    <n v="272"/>
    <n v="20"/>
    <n v="25.09"/>
    <x v="1"/>
    <d v="2024-05-10T00:00:00"/>
    <d v="2024-05-18T00:00:00"/>
    <x v="0"/>
    <x v="0"/>
    <n v="6824.48"/>
    <x v="0"/>
    <x v="0"/>
    <x v="0"/>
  </r>
  <r>
    <n v="10636"/>
    <x v="15"/>
    <x v="4"/>
    <n v="416"/>
    <n v="40"/>
    <n v="184.48"/>
    <x v="1"/>
    <d v="2024-08-17T00:00:00"/>
    <d v="2024-09-14T00:00:00"/>
    <x v="0"/>
    <x v="0"/>
    <n v="76743.679999999993"/>
    <x v="0"/>
    <x v="0"/>
    <x v="0"/>
  </r>
  <r>
    <n v="83309"/>
    <x v="2"/>
    <x v="1"/>
    <n v="203"/>
    <n v="20"/>
    <n v="305.81"/>
    <x v="0"/>
    <d v="2024-03-01T00:00:00"/>
    <d v="2024-03-20T00:00:00"/>
    <x v="1"/>
    <x v="0"/>
    <n v="62079.43"/>
    <x v="0"/>
    <x v="0"/>
    <x v="0"/>
  </r>
  <r>
    <n v="24367"/>
    <x v="14"/>
    <x v="4"/>
    <n v="185"/>
    <n v="150"/>
    <n v="98.62"/>
    <x v="3"/>
    <d v="2024-10-28T00:00:00"/>
    <d v="2024-12-02T00:00:00"/>
    <x v="1"/>
    <x v="0"/>
    <n v="18244.7"/>
    <x v="0"/>
    <x v="1"/>
    <x v="0"/>
  </r>
  <r>
    <n v="99859"/>
    <x v="6"/>
    <x v="3"/>
    <n v="180"/>
    <n v="80"/>
    <n v="179.39"/>
    <x v="0"/>
    <d v="2024-03-20T00:00:00"/>
    <d v="2024-03-31T00:00:00"/>
    <x v="1"/>
    <x v="0"/>
    <n v="32290.199999999997"/>
    <x v="0"/>
    <x v="1"/>
    <x v="0"/>
  </r>
  <r>
    <n v="22780"/>
    <x v="9"/>
    <x v="1"/>
    <n v="202"/>
    <n v="50"/>
    <n v="201.16"/>
    <x v="0"/>
    <d v="2024-11-05T00:00:00"/>
    <d v="2024-11-26T00:00:00"/>
    <x v="2"/>
    <x v="0"/>
    <n v="40634.32"/>
    <x v="0"/>
    <x v="0"/>
    <x v="0"/>
  </r>
  <r>
    <n v="36148"/>
    <x v="10"/>
    <x v="2"/>
    <n v="485"/>
    <n v="100"/>
    <n v="339.39"/>
    <x v="3"/>
    <d v="2024-04-24T00:00:00"/>
    <d v="2024-05-25T00:00:00"/>
    <x v="1"/>
    <x v="0"/>
    <n v="164604.15"/>
    <x v="0"/>
    <x v="0"/>
    <x v="0"/>
  </r>
  <r>
    <n v="30601"/>
    <x v="1"/>
    <x v="0"/>
    <n v="335"/>
    <n v="80"/>
    <n v="88.38"/>
    <x v="3"/>
    <d v="2024-08-15T00:00:00"/>
    <d v="2024-09-07T00:00:00"/>
    <x v="0"/>
    <x v="0"/>
    <n v="29607.3"/>
    <x v="0"/>
    <x v="0"/>
    <x v="0"/>
  </r>
  <r>
    <n v="79035"/>
    <x v="11"/>
    <x v="4"/>
    <n v="374"/>
    <n v="30"/>
    <n v="120.93"/>
    <x v="2"/>
    <d v="2024-06-04T00:00:00"/>
    <d v="2024-06-09T00:00:00"/>
    <x v="1"/>
    <x v="0"/>
    <n v="45227.82"/>
    <x v="0"/>
    <x v="0"/>
    <x v="0"/>
  </r>
  <r>
    <n v="88287"/>
    <x v="13"/>
    <x v="3"/>
    <n v="400"/>
    <n v="100"/>
    <n v="81.3"/>
    <x v="0"/>
    <d v="2024-05-16T00:00:00"/>
    <d v="2024-06-02T00:00:00"/>
    <x v="2"/>
    <x v="0"/>
    <n v="32520"/>
    <x v="0"/>
    <x v="0"/>
    <x v="0"/>
  </r>
  <r>
    <n v="30125"/>
    <x v="15"/>
    <x v="4"/>
    <n v="125"/>
    <n v="30"/>
    <n v="152.68"/>
    <x v="2"/>
    <d v="2024-12-02T00:00:00"/>
    <d v="2024-12-30T00:00:00"/>
    <x v="0"/>
    <x v="0"/>
    <n v="19085"/>
    <x v="0"/>
    <x v="0"/>
    <x v="0"/>
  </r>
  <r>
    <n v="48737"/>
    <x v="3"/>
    <x v="2"/>
    <n v="392"/>
    <n v="40"/>
    <n v="218.34"/>
    <x v="4"/>
    <d v="2024-04-13T00:00:00"/>
    <d v="2024-05-09T00:00:00"/>
    <x v="1"/>
    <x v="0"/>
    <n v="85589.28"/>
    <x v="0"/>
    <x v="0"/>
    <x v="0"/>
  </r>
  <r>
    <n v="27824"/>
    <x v="11"/>
    <x v="4"/>
    <n v="241"/>
    <n v="40"/>
    <n v="145.03"/>
    <x v="4"/>
    <d v="2024-03-20T00:00:00"/>
    <d v="2024-04-04T00:00:00"/>
    <x v="2"/>
    <x v="0"/>
    <n v="34952.230000000003"/>
    <x v="0"/>
    <x v="0"/>
    <x v="0"/>
  </r>
  <r>
    <n v="89409"/>
    <x v="0"/>
    <x v="0"/>
    <n v="106"/>
    <n v="40"/>
    <n v="68.650000000000006"/>
    <x v="3"/>
    <d v="2024-05-13T00:00:00"/>
    <d v="2024-05-26T00:00:00"/>
    <x v="1"/>
    <x v="0"/>
    <n v="7276.9000000000005"/>
    <x v="0"/>
    <x v="1"/>
    <x v="0"/>
  </r>
  <r>
    <n v="14311"/>
    <x v="12"/>
    <x v="0"/>
    <n v="53"/>
    <n v="100"/>
    <n v="254.69"/>
    <x v="3"/>
    <d v="2024-08-22T00:00:00"/>
    <d v="2024-08-29T00:00:00"/>
    <x v="0"/>
    <x v="1"/>
    <n v="13498.57"/>
    <x v="83"/>
    <x v="1"/>
    <x v="1"/>
  </r>
  <r>
    <n v="19386"/>
    <x v="15"/>
    <x v="4"/>
    <n v="44"/>
    <n v="50"/>
    <n v="260.49"/>
    <x v="2"/>
    <d v="2024-01-21T00:00:00"/>
    <d v="2024-02-12T00:00:00"/>
    <x v="1"/>
    <x v="1"/>
    <n v="11461.560000000001"/>
    <x v="48"/>
    <x v="1"/>
    <x v="1"/>
  </r>
  <r>
    <n v="24260"/>
    <x v="16"/>
    <x v="3"/>
    <n v="299"/>
    <n v="30"/>
    <n v="310.05"/>
    <x v="2"/>
    <d v="2024-11-20T00:00:00"/>
    <d v="2024-11-28T00:00:00"/>
    <x v="1"/>
    <x v="0"/>
    <n v="92704.95"/>
    <x v="0"/>
    <x v="0"/>
    <x v="0"/>
  </r>
  <r>
    <n v="12176"/>
    <x v="7"/>
    <x v="3"/>
    <n v="78"/>
    <n v="20"/>
    <n v="368.44"/>
    <x v="0"/>
    <d v="2024-03-14T00:00:00"/>
    <d v="2024-04-10T00:00:00"/>
    <x v="0"/>
    <x v="0"/>
    <n v="28738.32"/>
    <x v="0"/>
    <x v="0"/>
    <x v="0"/>
  </r>
  <r>
    <n v="59752"/>
    <x v="15"/>
    <x v="4"/>
    <n v="58"/>
    <n v="50"/>
    <n v="422.26"/>
    <x v="3"/>
    <d v="2024-03-07T00:00:00"/>
    <d v="2024-03-30T00:00:00"/>
    <x v="0"/>
    <x v="0"/>
    <n v="24491.079999999998"/>
    <x v="0"/>
    <x v="1"/>
    <x v="0"/>
  </r>
  <r>
    <n v="14482"/>
    <x v="13"/>
    <x v="3"/>
    <n v="345"/>
    <n v="50"/>
    <n v="228.1"/>
    <x v="4"/>
    <d v="2024-08-06T00:00:00"/>
    <d v="2024-09-12T00:00:00"/>
    <x v="0"/>
    <x v="0"/>
    <n v="78694.5"/>
    <x v="0"/>
    <x v="0"/>
    <x v="0"/>
  </r>
  <r>
    <n v="32821"/>
    <x v="0"/>
    <x v="0"/>
    <n v="228"/>
    <n v="40"/>
    <n v="101.58"/>
    <x v="0"/>
    <d v="2024-10-08T00:00:00"/>
    <d v="2024-11-16T00:00:00"/>
    <x v="0"/>
    <x v="0"/>
    <n v="23160.239999999998"/>
    <x v="0"/>
    <x v="0"/>
    <x v="0"/>
  </r>
  <r>
    <n v="95677"/>
    <x v="6"/>
    <x v="3"/>
    <n v="246"/>
    <n v="50"/>
    <n v="491.95"/>
    <x v="3"/>
    <d v="2024-08-31T00:00:00"/>
    <d v="2024-09-23T00:00:00"/>
    <x v="2"/>
    <x v="0"/>
    <n v="121019.7"/>
    <x v="0"/>
    <x v="0"/>
    <x v="0"/>
  </r>
  <r>
    <n v="39669"/>
    <x v="8"/>
    <x v="1"/>
    <n v="378"/>
    <n v="100"/>
    <n v="451.22"/>
    <x v="3"/>
    <d v="2024-12-18T00:00:00"/>
    <d v="2025-01-04T00:00:00"/>
    <x v="1"/>
    <x v="0"/>
    <n v="170561.16"/>
    <x v="0"/>
    <x v="0"/>
    <x v="0"/>
  </r>
  <r>
    <n v="46943"/>
    <x v="5"/>
    <x v="2"/>
    <n v="422"/>
    <n v="20"/>
    <n v="149.25"/>
    <x v="3"/>
    <d v="2024-11-20T00:00:00"/>
    <d v="2024-11-30T00:00:00"/>
    <x v="2"/>
    <x v="0"/>
    <n v="62983.5"/>
    <x v="0"/>
    <x v="0"/>
    <x v="0"/>
  </r>
  <r>
    <n v="63836"/>
    <x v="8"/>
    <x v="1"/>
    <n v="51"/>
    <n v="30"/>
    <n v="74.38"/>
    <x v="0"/>
    <d v="2024-02-10T00:00:00"/>
    <d v="2024-03-16T00:00:00"/>
    <x v="1"/>
    <x v="0"/>
    <n v="3793.3799999999997"/>
    <x v="0"/>
    <x v="1"/>
    <x v="0"/>
  </r>
  <r>
    <n v="53744"/>
    <x v="11"/>
    <x v="4"/>
    <n v="432"/>
    <n v="50"/>
    <n v="45.12"/>
    <x v="1"/>
    <d v="2024-04-18T00:00:00"/>
    <d v="2024-05-24T00:00:00"/>
    <x v="0"/>
    <x v="0"/>
    <n v="19491.84"/>
    <x v="0"/>
    <x v="0"/>
    <x v="0"/>
  </r>
  <r>
    <n v="16806"/>
    <x v="7"/>
    <x v="3"/>
    <n v="66"/>
    <n v="80"/>
    <n v="404.7"/>
    <x v="2"/>
    <d v="2024-07-09T00:00:00"/>
    <d v="2024-08-04T00:00:00"/>
    <x v="2"/>
    <x v="1"/>
    <n v="26710.2"/>
    <x v="46"/>
    <x v="1"/>
    <x v="1"/>
  </r>
  <r>
    <n v="68830"/>
    <x v="6"/>
    <x v="3"/>
    <n v="96"/>
    <n v="80"/>
    <n v="434.2"/>
    <x v="2"/>
    <d v="2024-05-04T00:00:00"/>
    <d v="2024-05-16T00:00:00"/>
    <x v="2"/>
    <x v="0"/>
    <n v="41683.199999999997"/>
    <x v="0"/>
    <x v="1"/>
    <x v="0"/>
  </r>
  <r>
    <n v="21136"/>
    <x v="16"/>
    <x v="3"/>
    <n v="120"/>
    <n v="80"/>
    <n v="397.23"/>
    <x v="2"/>
    <d v="2024-05-01T00:00:00"/>
    <d v="2024-05-31T00:00:00"/>
    <x v="1"/>
    <x v="0"/>
    <n v="47667.600000000006"/>
    <x v="0"/>
    <x v="1"/>
    <x v="0"/>
  </r>
  <r>
    <n v="15206"/>
    <x v="14"/>
    <x v="4"/>
    <n v="288"/>
    <n v="50"/>
    <n v="116.06"/>
    <x v="1"/>
    <d v="2024-06-21T00:00:00"/>
    <d v="2024-07-21T00:00:00"/>
    <x v="2"/>
    <x v="0"/>
    <n v="33425.279999999999"/>
    <x v="0"/>
    <x v="0"/>
    <x v="0"/>
  </r>
  <r>
    <n v="56728"/>
    <x v="4"/>
    <x v="0"/>
    <n v="11"/>
    <n v="20"/>
    <n v="394.55"/>
    <x v="1"/>
    <d v="2024-05-10T00:00:00"/>
    <d v="2024-06-09T00:00:00"/>
    <x v="1"/>
    <x v="1"/>
    <n v="4340.05"/>
    <x v="79"/>
    <x v="1"/>
    <x v="1"/>
  </r>
  <r>
    <n v="87256"/>
    <x v="11"/>
    <x v="4"/>
    <n v="380"/>
    <n v="40"/>
    <n v="363.08"/>
    <x v="4"/>
    <d v="2024-08-29T00:00:00"/>
    <d v="2024-09-26T00:00:00"/>
    <x v="2"/>
    <x v="0"/>
    <n v="137970.4"/>
    <x v="0"/>
    <x v="0"/>
    <x v="0"/>
  </r>
  <r>
    <n v="86772"/>
    <x v="6"/>
    <x v="3"/>
    <n v="88"/>
    <n v="150"/>
    <n v="78.569999999999993"/>
    <x v="3"/>
    <d v="2024-03-25T00:00:00"/>
    <d v="2024-04-18T00:00:00"/>
    <x v="0"/>
    <x v="1"/>
    <n v="6914.16"/>
    <x v="57"/>
    <x v="1"/>
    <x v="1"/>
  </r>
  <r>
    <n v="78112"/>
    <x v="8"/>
    <x v="1"/>
    <n v="257"/>
    <n v="40"/>
    <n v="297.5"/>
    <x v="2"/>
    <d v="2024-08-20T00:00:00"/>
    <d v="2024-09-22T00:00:00"/>
    <x v="0"/>
    <x v="0"/>
    <n v="76457.5"/>
    <x v="0"/>
    <x v="0"/>
    <x v="0"/>
  </r>
  <r>
    <n v="14535"/>
    <x v="4"/>
    <x v="0"/>
    <n v="83"/>
    <n v="40"/>
    <n v="57.11"/>
    <x v="2"/>
    <d v="2024-12-03T00:00:00"/>
    <d v="2025-01-02T00:00:00"/>
    <x v="0"/>
    <x v="0"/>
    <n v="4740.13"/>
    <x v="0"/>
    <x v="1"/>
    <x v="0"/>
  </r>
  <r>
    <n v="93583"/>
    <x v="16"/>
    <x v="3"/>
    <n v="120"/>
    <n v="20"/>
    <n v="273.57"/>
    <x v="1"/>
    <d v="2024-01-04T00:00:00"/>
    <d v="2024-01-30T00:00:00"/>
    <x v="2"/>
    <x v="0"/>
    <n v="32828.400000000001"/>
    <x v="0"/>
    <x v="0"/>
    <x v="0"/>
  </r>
  <r>
    <n v="53351"/>
    <x v="10"/>
    <x v="2"/>
    <n v="479"/>
    <n v="150"/>
    <n v="361.71"/>
    <x v="3"/>
    <d v="2024-09-24T00:00:00"/>
    <d v="2024-10-09T00:00:00"/>
    <x v="2"/>
    <x v="0"/>
    <n v="173259.09"/>
    <x v="0"/>
    <x v="0"/>
    <x v="0"/>
  </r>
  <r>
    <n v="37657"/>
    <x v="4"/>
    <x v="0"/>
    <n v="481"/>
    <n v="40"/>
    <n v="475.94"/>
    <x v="2"/>
    <d v="2024-07-02T00:00:00"/>
    <d v="2024-07-20T00:00:00"/>
    <x v="1"/>
    <x v="0"/>
    <n v="228927.13999999998"/>
    <x v="0"/>
    <x v="0"/>
    <x v="0"/>
  </r>
  <r>
    <n v="48165"/>
    <x v="0"/>
    <x v="0"/>
    <n v="426"/>
    <n v="40"/>
    <n v="354.22"/>
    <x v="3"/>
    <d v="2024-10-01T00:00:00"/>
    <d v="2024-10-26T00:00:00"/>
    <x v="0"/>
    <x v="0"/>
    <n v="150897.72"/>
    <x v="0"/>
    <x v="0"/>
    <x v="0"/>
  </r>
  <r>
    <n v="56716"/>
    <x v="9"/>
    <x v="1"/>
    <n v="272"/>
    <n v="50"/>
    <n v="339.19"/>
    <x v="0"/>
    <d v="2024-01-08T00:00:00"/>
    <d v="2024-01-28T00:00:00"/>
    <x v="0"/>
    <x v="0"/>
    <n v="92259.68"/>
    <x v="0"/>
    <x v="0"/>
    <x v="0"/>
  </r>
  <r>
    <n v="25185"/>
    <x v="2"/>
    <x v="1"/>
    <n v="296"/>
    <n v="150"/>
    <n v="28.68"/>
    <x v="3"/>
    <d v="2024-03-20T00:00:00"/>
    <d v="2024-04-11T00:00:00"/>
    <x v="1"/>
    <x v="0"/>
    <n v="8489.2800000000007"/>
    <x v="0"/>
    <x v="1"/>
    <x v="0"/>
  </r>
  <r>
    <n v="78945"/>
    <x v="7"/>
    <x v="3"/>
    <n v="386"/>
    <n v="30"/>
    <n v="498.72"/>
    <x v="1"/>
    <d v="2024-11-20T00:00:00"/>
    <d v="2024-12-13T00:00:00"/>
    <x v="0"/>
    <x v="0"/>
    <n v="192505.92"/>
    <x v="0"/>
    <x v="0"/>
    <x v="0"/>
  </r>
  <r>
    <n v="22109"/>
    <x v="9"/>
    <x v="1"/>
    <n v="145"/>
    <n v="80"/>
    <n v="336.78"/>
    <x v="0"/>
    <d v="2024-09-28T00:00:00"/>
    <d v="2024-10-18T00:00:00"/>
    <x v="0"/>
    <x v="0"/>
    <n v="48833.1"/>
    <x v="0"/>
    <x v="1"/>
    <x v="0"/>
  </r>
  <r>
    <n v="27040"/>
    <x v="2"/>
    <x v="1"/>
    <n v="149"/>
    <n v="40"/>
    <n v="24.34"/>
    <x v="4"/>
    <d v="2024-01-29T00:00:00"/>
    <d v="2024-02-18T00:00:00"/>
    <x v="1"/>
    <x v="0"/>
    <n v="3626.66"/>
    <x v="0"/>
    <x v="0"/>
    <x v="0"/>
  </r>
  <r>
    <n v="39048"/>
    <x v="8"/>
    <x v="1"/>
    <n v="327"/>
    <n v="80"/>
    <n v="50.67"/>
    <x v="1"/>
    <d v="2024-09-15T00:00:00"/>
    <d v="2024-10-24T00:00:00"/>
    <x v="0"/>
    <x v="0"/>
    <n v="16569.09"/>
    <x v="0"/>
    <x v="0"/>
    <x v="0"/>
  </r>
  <r>
    <n v="37703"/>
    <x v="2"/>
    <x v="1"/>
    <n v="433"/>
    <n v="80"/>
    <n v="376.58"/>
    <x v="1"/>
    <d v="2024-04-09T00:00:00"/>
    <d v="2024-04-30T00:00:00"/>
    <x v="2"/>
    <x v="0"/>
    <n v="163059.13999999998"/>
    <x v="0"/>
    <x v="0"/>
    <x v="0"/>
  </r>
  <r>
    <n v="93509"/>
    <x v="10"/>
    <x v="2"/>
    <n v="141"/>
    <n v="40"/>
    <n v="26.7"/>
    <x v="1"/>
    <d v="2024-04-03T00:00:00"/>
    <d v="2024-04-30T00:00:00"/>
    <x v="0"/>
    <x v="0"/>
    <n v="3764.7"/>
    <x v="0"/>
    <x v="0"/>
    <x v="0"/>
  </r>
  <r>
    <n v="71142"/>
    <x v="7"/>
    <x v="3"/>
    <n v="40"/>
    <n v="30"/>
    <n v="181.11"/>
    <x v="2"/>
    <d v="2024-08-16T00:00:00"/>
    <d v="2024-09-11T00:00:00"/>
    <x v="0"/>
    <x v="0"/>
    <n v="7244.4000000000005"/>
    <x v="0"/>
    <x v="1"/>
    <x v="0"/>
  </r>
  <r>
    <n v="93591"/>
    <x v="2"/>
    <x v="1"/>
    <n v="479"/>
    <n v="30"/>
    <n v="77.989999999999995"/>
    <x v="0"/>
    <d v="2024-12-07T00:00:00"/>
    <d v="2024-12-24T00:00:00"/>
    <x v="0"/>
    <x v="0"/>
    <n v="37357.21"/>
    <x v="0"/>
    <x v="0"/>
    <x v="0"/>
  </r>
  <r>
    <n v="29159"/>
    <x v="8"/>
    <x v="1"/>
    <n v="460"/>
    <n v="150"/>
    <n v="241.11"/>
    <x v="4"/>
    <d v="2024-09-10T00:00:00"/>
    <d v="2024-09-21T00:00:00"/>
    <x v="0"/>
    <x v="0"/>
    <n v="110910.6"/>
    <x v="0"/>
    <x v="0"/>
    <x v="0"/>
  </r>
  <r>
    <n v="20532"/>
    <x v="2"/>
    <x v="1"/>
    <n v="72"/>
    <n v="100"/>
    <n v="142.33000000000001"/>
    <x v="4"/>
    <d v="2024-07-26T00:00:00"/>
    <d v="2024-08-20T00:00:00"/>
    <x v="0"/>
    <x v="1"/>
    <n v="10247.76"/>
    <x v="73"/>
    <x v="1"/>
    <x v="1"/>
  </r>
  <r>
    <n v="84142"/>
    <x v="6"/>
    <x v="3"/>
    <n v="109"/>
    <n v="40"/>
    <n v="493.23"/>
    <x v="3"/>
    <d v="2024-06-02T00:00:00"/>
    <d v="2024-06-16T00:00:00"/>
    <x v="0"/>
    <x v="0"/>
    <n v="53762.07"/>
    <x v="0"/>
    <x v="1"/>
    <x v="0"/>
  </r>
  <r>
    <n v="61939"/>
    <x v="16"/>
    <x v="3"/>
    <n v="256"/>
    <n v="150"/>
    <n v="465.11"/>
    <x v="0"/>
    <d v="2024-03-07T00:00:00"/>
    <d v="2024-03-18T00:00:00"/>
    <x v="1"/>
    <x v="0"/>
    <n v="119068.16"/>
    <x v="0"/>
    <x v="1"/>
    <x v="0"/>
  </r>
  <r>
    <n v="19628"/>
    <x v="10"/>
    <x v="2"/>
    <n v="29"/>
    <n v="150"/>
    <n v="139.78"/>
    <x v="1"/>
    <d v="2024-11-11T00:00:00"/>
    <d v="2024-11-16T00:00:00"/>
    <x v="0"/>
    <x v="1"/>
    <n v="4053.62"/>
    <x v="35"/>
    <x v="1"/>
    <x v="1"/>
  </r>
  <r>
    <n v="51679"/>
    <x v="3"/>
    <x v="2"/>
    <n v="291"/>
    <n v="40"/>
    <n v="468.32"/>
    <x v="2"/>
    <d v="2024-08-22T00:00:00"/>
    <d v="2024-09-21T00:00:00"/>
    <x v="0"/>
    <x v="0"/>
    <n v="136281.12"/>
    <x v="0"/>
    <x v="0"/>
    <x v="0"/>
  </r>
  <r>
    <n v="27165"/>
    <x v="0"/>
    <x v="0"/>
    <n v="160"/>
    <n v="80"/>
    <n v="376.64"/>
    <x v="2"/>
    <d v="2024-03-31T00:00:00"/>
    <d v="2024-04-27T00:00:00"/>
    <x v="1"/>
    <x v="0"/>
    <n v="60262.399999999994"/>
    <x v="0"/>
    <x v="1"/>
    <x v="0"/>
  </r>
  <r>
    <n v="29464"/>
    <x v="12"/>
    <x v="0"/>
    <n v="174"/>
    <n v="100"/>
    <n v="382.21"/>
    <x v="4"/>
    <d v="2024-07-29T00:00:00"/>
    <d v="2024-09-02T00:00:00"/>
    <x v="0"/>
    <x v="0"/>
    <n v="66504.539999999994"/>
    <x v="0"/>
    <x v="1"/>
    <x v="0"/>
  </r>
  <r>
    <n v="92970"/>
    <x v="4"/>
    <x v="0"/>
    <n v="309"/>
    <n v="30"/>
    <n v="40.83"/>
    <x v="1"/>
    <d v="2024-06-13T00:00:00"/>
    <d v="2024-07-10T00:00:00"/>
    <x v="2"/>
    <x v="0"/>
    <n v="12616.47"/>
    <x v="0"/>
    <x v="0"/>
    <x v="0"/>
  </r>
  <r>
    <n v="46135"/>
    <x v="16"/>
    <x v="3"/>
    <n v="332"/>
    <n v="40"/>
    <n v="279.26"/>
    <x v="4"/>
    <d v="2024-01-19T00:00:00"/>
    <d v="2024-01-24T00:00:00"/>
    <x v="2"/>
    <x v="0"/>
    <n v="92714.319999999992"/>
    <x v="0"/>
    <x v="0"/>
    <x v="0"/>
  </r>
  <r>
    <n v="65107"/>
    <x v="10"/>
    <x v="2"/>
    <n v="182"/>
    <n v="40"/>
    <n v="273.48"/>
    <x v="0"/>
    <d v="2024-09-20T00:00:00"/>
    <d v="2024-10-16T00:00:00"/>
    <x v="0"/>
    <x v="0"/>
    <n v="49773.36"/>
    <x v="0"/>
    <x v="0"/>
    <x v="0"/>
  </r>
  <r>
    <n v="96555"/>
    <x v="11"/>
    <x v="4"/>
    <n v="335"/>
    <n v="150"/>
    <n v="318.76"/>
    <x v="2"/>
    <d v="2024-03-30T00:00:00"/>
    <d v="2024-04-22T00:00:00"/>
    <x v="0"/>
    <x v="0"/>
    <n v="106784.59999999999"/>
    <x v="0"/>
    <x v="1"/>
    <x v="0"/>
  </r>
  <r>
    <n v="19001"/>
    <x v="15"/>
    <x v="4"/>
    <n v="119"/>
    <n v="40"/>
    <n v="234.38"/>
    <x v="3"/>
    <d v="2024-10-07T00:00:00"/>
    <d v="2024-10-13T00:00:00"/>
    <x v="0"/>
    <x v="0"/>
    <n v="27891.22"/>
    <x v="0"/>
    <x v="1"/>
    <x v="0"/>
  </r>
  <r>
    <n v="36797"/>
    <x v="0"/>
    <x v="0"/>
    <n v="163"/>
    <n v="20"/>
    <n v="445.21"/>
    <x v="3"/>
    <d v="2024-10-20T00:00:00"/>
    <d v="2024-11-26T00:00:00"/>
    <x v="0"/>
    <x v="0"/>
    <n v="72569.23"/>
    <x v="0"/>
    <x v="0"/>
    <x v="0"/>
  </r>
  <r>
    <n v="26571"/>
    <x v="11"/>
    <x v="4"/>
    <n v="337"/>
    <n v="50"/>
    <n v="12.19"/>
    <x v="4"/>
    <d v="2024-06-24T00:00:00"/>
    <d v="2024-07-06T00:00:00"/>
    <x v="0"/>
    <x v="0"/>
    <n v="4108.03"/>
    <x v="0"/>
    <x v="0"/>
    <x v="0"/>
  </r>
  <r>
    <n v="66125"/>
    <x v="2"/>
    <x v="1"/>
    <n v="287"/>
    <n v="100"/>
    <n v="192.12"/>
    <x v="4"/>
    <d v="2024-09-25T00:00:00"/>
    <d v="2024-10-22T00:00:00"/>
    <x v="2"/>
    <x v="0"/>
    <n v="55138.44"/>
    <x v="0"/>
    <x v="1"/>
    <x v="0"/>
  </r>
  <r>
    <n v="31604"/>
    <x v="8"/>
    <x v="1"/>
    <n v="47"/>
    <n v="80"/>
    <n v="170.44"/>
    <x v="0"/>
    <d v="2024-07-20T00:00:00"/>
    <d v="2024-08-12T00:00:00"/>
    <x v="0"/>
    <x v="1"/>
    <n v="8010.68"/>
    <x v="84"/>
    <x v="1"/>
    <x v="1"/>
  </r>
  <r>
    <n v="93629"/>
    <x v="13"/>
    <x v="3"/>
    <n v="65"/>
    <n v="100"/>
    <n v="20.260000000000002"/>
    <x v="0"/>
    <d v="2024-10-07T00:00:00"/>
    <d v="2024-10-18T00:00:00"/>
    <x v="2"/>
    <x v="1"/>
    <n v="1316.9"/>
    <x v="40"/>
    <x v="1"/>
    <x v="1"/>
  </r>
  <r>
    <n v="29689"/>
    <x v="16"/>
    <x v="3"/>
    <n v="20"/>
    <n v="20"/>
    <n v="199.02"/>
    <x v="0"/>
    <d v="2024-02-02T00:00:00"/>
    <d v="2024-02-10T00:00:00"/>
    <x v="1"/>
    <x v="0"/>
    <n v="3980.4"/>
    <x v="0"/>
    <x v="1"/>
    <x v="0"/>
  </r>
  <r>
    <n v="75277"/>
    <x v="0"/>
    <x v="0"/>
    <n v="226"/>
    <n v="50"/>
    <n v="468.74"/>
    <x v="3"/>
    <d v="2024-11-08T00:00:00"/>
    <d v="2024-12-05T00:00:00"/>
    <x v="1"/>
    <x v="0"/>
    <n v="105935.24"/>
    <x v="0"/>
    <x v="0"/>
    <x v="0"/>
  </r>
  <r>
    <n v="44651"/>
    <x v="16"/>
    <x v="3"/>
    <n v="233"/>
    <n v="80"/>
    <n v="162.58000000000001"/>
    <x v="2"/>
    <d v="2024-11-20T00:00:00"/>
    <d v="2024-12-25T00:00:00"/>
    <x v="2"/>
    <x v="0"/>
    <n v="37881.14"/>
    <x v="0"/>
    <x v="1"/>
    <x v="0"/>
  </r>
  <r>
    <n v="96240"/>
    <x v="15"/>
    <x v="4"/>
    <n v="354"/>
    <n v="30"/>
    <n v="115.43"/>
    <x v="3"/>
    <d v="2024-11-11T00:00:00"/>
    <d v="2024-12-03T00:00:00"/>
    <x v="1"/>
    <x v="0"/>
    <n v="40862.22"/>
    <x v="0"/>
    <x v="0"/>
    <x v="0"/>
  </r>
  <r>
    <n v="98593"/>
    <x v="6"/>
    <x v="3"/>
    <n v="379"/>
    <n v="30"/>
    <n v="470.57"/>
    <x v="3"/>
    <d v="2024-08-22T00:00:00"/>
    <d v="2024-09-27T00:00:00"/>
    <x v="2"/>
    <x v="0"/>
    <n v="178346.03"/>
    <x v="0"/>
    <x v="0"/>
    <x v="0"/>
  </r>
  <r>
    <n v="47180"/>
    <x v="11"/>
    <x v="4"/>
    <n v="244"/>
    <n v="40"/>
    <n v="429.08"/>
    <x v="2"/>
    <d v="2024-02-04T00:00:00"/>
    <d v="2024-02-19T00:00:00"/>
    <x v="0"/>
    <x v="0"/>
    <n v="104695.51999999999"/>
    <x v="0"/>
    <x v="0"/>
    <x v="0"/>
  </r>
  <r>
    <n v="56978"/>
    <x v="0"/>
    <x v="0"/>
    <n v="431"/>
    <n v="50"/>
    <n v="209.67"/>
    <x v="4"/>
    <d v="2024-06-14T00:00:00"/>
    <d v="2024-06-19T00:00:00"/>
    <x v="2"/>
    <x v="0"/>
    <n v="90367.76999999999"/>
    <x v="0"/>
    <x v="0"/>
    <x v="0"/>
  </r>
  <r>
    <n v="54706"/>
    <x v="2"/>
    <x v="1"/>
    <n v="205"/>
    <n v="20"/>
    <n v="286.32"/>
    <x v="0"/>
    <d v="2024-09-06T00:00:00"/>
    <d v="2024-09-23T00:00:00"/>
    <x v="2"/>
    <x v="0"/>
    <n v="58695.6"/>
    <x v="0"/>
    <x v="0"/>
    <x v="0"/>
  </r>
  <r>
    <n v="38460"/>
    <x v="7"/>
    <x v="3"/>
    <n v="255"/>
    <n v="40"/>
    <n v="433.88"/>
    <x v="2"/>
    <d v="2024-05-25T00:00:00"/>
    <d v="2024-06-05T00:00:00"/>
    <x v="0"/>
    <x v="0"/>
    <n v="110639.4"/>
    <x v="0"/>
    <x v="0"/>
    <x v="0"/>
  </r>
  <r>
    <n v="43001"/>
    <x v="14"/>
    <x v="4"/>
    <n v="390"/>
    <n v="150"/>
    <n v="419.09"/>
    <x v="4"/>
    <d v="2024-08-22T00:00:00"/>
    <d v="2024-08-28T00:00:00"/>
    <x v="0"/>
    <x v="0"/>
    <n v="163445.09999999998"/>
    <x v="0"/>
    <x v="1"/>
    <x v="0"/>
  </r>
  <r>
    <n v="76267"/>
    <x v="3"/>
    <x v="2"/>
    <n v="377"/>
    <n v="150"/>
    <n v="103.07"/>
    <x v="2"/>
    <d v="2024-07-02T00:00:00"/>
    <d v="2024-07-12T00:00:00"/>
    <x v="2"/>
    <x v="0"/>
    <n v="38857.39"/>
    <x v="0"/>
    <x v="1"/>
    <x v="0"/>
  </r>
  <r>
    <n v="61690"/>
    <x v="11"/>
    <x v="4"/>
    <n v="323"/>
    <n v="150"/>
    <n v="152.38999999999999"/>
    <x v="3"/>
    <d v="2024-04-23T00:00:00"/>
    <d v="2024-05-05T00:00:00"/>
    <x v="1"/>
    <x v="0"/>
    <n v="49221.969999999994"/>
    <x v="0"/>
    <x v="1"/>
    <x v="0"/>
  </r>
  <r>
    <n v="14261"/>
    <x v="2"/>
    <x v="1"/>
    <n v="462"/>
    <n v="100"/>
    <n v="12.65"/>
    <x v="1"/>
    <d v="2024-01-04T00:00:00"/>
    <d v="2024-01-14T00:00:00"/>
    <x v="1"/>
    <x v="0"/>
    <n v="5844.3"/>
    <x v="0"/>
    <x v="0"/>
    <x v="0"/>
  </r>
  <r>
    <n v="19422"/>
    <x v="14"/>
    <x v="4"/>
    <n v="215"/>
    <n v="50"/>
    <n v="284.27999999999997"/>
    <x v="0"/>
    <d v="2024-07-23T00:00:00"/>
    <d v="2024-08-31T00:00:00"/>
    <x v="2"/>
    <x v="0"/>
    <n v="61120.2"/>
    <x v="0"/>
    <x v="0"/>
    <x v="0"/>
  </r>
  <r>
    <n v="34435"/>
    <x v="7"/>
    <x v="3"/>
    <n v="317"/>
    <n v="20"/>
    <n v="254.27"/>
    <x v="4"/>
    <d v="2024-09-03T00:00:00"/>
    <d v="2024-10-12T00:00:00"/>
    <x v="2"/>
    <x v="0"/>
    <n v="80603.59"/>
    <x v="0"/>
    <x v="0"/>
    <x v="0"/>
  </r>
  <r>
    <n v="84034"/>
    <x v="3"/>
    <x v="2"/>
    <n v="380"/>
    <n v="100"/>
    <n v="247.77"/>
    <x v="0"/>
    <d v="2024-01-21T00:00:00"/>
    <d v="2024-02-29T00:00:00"/>
    <x v="1"/>
    <x v="0"/>
    <n v="94152.6"/>
    <x v="0"/>
    <x v="0"/>
    <x v="0"/>
  </r>
  <r>
    <n v="85160"/>
    <x v="6"/>
    <x v="3"/>
    <n v="427"/>
    <n v="20"/>
    <n v="496.09"/>
    <x v="2"/>
    <d v="2024-03-28T00:00:00"/>
    <d v="2024-04-17T00:00:00"/>
    <x v="1"/>
    <x v="0"/>
    <n v="211830.43"/>
    <x v="0"/>
    <x v="0"/>
    <x v="0"/>
  </r>
  <r>
    <n v="96576"/>
    <x v="5"/>
    <x v="2"/>
    <n v="138"/>
    <n v="40"/>
    <n v="218.95"/>
    <x v="3"/>
    <d v="2024-05-14T00:00:00"/>
    <d v="2024-05-19T00:00:00"/>
    <x v="0"/>
    <x v="0"/>
    <n v="30215.1"/>
    <x v="0"/>
    <x v="0"/>
    <x v="0"/>
  </r>
  <r>
    <n v="32923"/>
    <x v="15"/>
    <x v="4"/>
    <n v="428"/>
    <n v="40"/>
    <n v="323.57"/>
    <x v="2"/>
    <d v="2024-12-23T00:00:00"/>
    <d v="2025-01-29T00:00:00"/>
    <x v="1"/>
    <x v="0"/>
    <n v="138487.96"/>
    <x v="0"/>
    <x v="0"/>
    <x v="0"/>
  </r>
  <r>
    <n v="67811"/>
    <x v="10"/>
    <x v="2"/>
    <n v="35"/>
    <n v="40"/>
    <n v="427.41"/>
    <x v="2"/>
    <d v="2024-06-03T00:00:00"/>
    <d v="2024-07-10T00:00:00"/>
    <x v="0"/>
    <x v="1"/>
    <n v="14959.35"/>
    <x v="18"/>
    <x v="1"/>
    <x v="1"/>
  </r>
  <r>
    <n v="87518"/>
    <x v="7"/>
    <x v="3"/>
    <n v="375"/>
    <n v="150"/>
    <n v="134.94"/>
    <x v="1"/>
    <d v="2024-01-19T00:00:00"/>
    <d v="2024-02-05T00:00:00"/>
    <x v="2"/>
    <x v="0"/>
    <n v="50602.5"/>
    <x v="0"/>
    <x v="1"/>
    <x v="0"/>
  </r>
  <r>
    <n v="55227"/>
    <x v="8"/>
    <x v="1"/>
    <n v="432"/>
    <n v="20"/>
    <n v="193.8"/>
    <x v="1"/>
    <d v="2024-08-23T00:00:00"/>
    <d v="2024-09-26T00:00:00"/>
    <x v="1"/>
    <x v="0"/>
    <n v="83721.600000000006"/>
    <x v="0"/>
    <x v="0"/>
    <x v="0"/>
  </r>
  <r>
    <n v="26375"/>
    <x v="10"/>
    <x v="2"/>
    <n v="257"/>
    <n v="50"/>
    <n v="89.84"/>
    <x v="0"/>
    <d v="2024-06-02T00:00:00"/>
    <d v="2024-06-21T00:00:00"/>
    <x v="2"/>
    <x v="0"/>
    <n v="23088.880000000001"/>
    <x v="0"/>
    <x v="0"/>
    <x v="0"/>
  </r>
  <r>
    <n v="23795"/>
    <x v="15"/>
    <x v="4"/>
    <n v="347"/>
    <n v="150"/>
    <n v="79.400000000000006"/>
    <x v="4"/>
    <d v="2024-09-06T00:00:00"/>
    <d v="2024-09-17T00:00:00"/>
    <x v="1"/>
    <x v="0"/>
    <n v="27551.800000000003"/>
    <x v="0"/>
    <x v="1"/>
    <x v="0"/>
  </r>
  <r>
    <n v="82089"/>
    <x v="1"/>
    <x v="0"/>
    <n v="92"/>
    <n v="50"/>
    <n v="20.329999999999998"/>
    <x v="0"/>
    <d v="2024-06-06T00:00:00"/>
    <d v="2024-07-09T00:00:00"/>
    <x v="2"/>
    <x v="0"/>
    <n v="1870.36"/>
    <x v="0"/>
    <x v="1"/>
    <x v="0"/>
  </r>
  <r>
    <n v="17548"/>
    <x v="6"/>
    <x v="3"/>
    <n v="221"/>
    <n v="40"/>
    <n v="133.31"/>
    <x v="3"/>
    <d v="2024-09-15T00:00:00"/>
    <d v="2024-09-26T00:00:00"/>
    <x v="0"/>
    <x v="0"/>
    <n v="29461.510000000002"/>
    <x v="0"/>
    <x v="0"/>
    <x v="0"/>
  </r>
  <r>
    <n v="45036"/>
    <x v="8"/>
    <x v="1"/>
    <n v="296"/>
    <n v="30"/>
    <n v="138.91"/>
    <x v="0"/>
    <d v="2024-05-06T00:00:00"/>
    <d v="2024-05-15T00:00:00"/>
    <x v="1"/>
    <x v="0"/>
    <n v="41117.360000000001"/>
    <x v="0"/>
    <x v="0"/>
    <x v="0"/>
  </r>
  <r>
    <n v="93038"/>
    <x v="5"/>
    <x v="2"/>
    <n v="268"/>
    <n v="150"/>
    <n v="420.29"/>
    <x v="3"/>
    <d v="2024-03-01T00:00:00"/>
    <d v="2024-03-13T00:00:00"/>
    <x v="2"/>
    <x v="0"/>
    <n v="112637.72"/>
    <x v="0"/>
    <x v="1"/>
    <x v="0"/>
  </r>
  <r>
    <n v="79506"/>
    <x v="7"/>
    <x v="3"/>
    <n v="266"/>
    <n v="30"/>
    <n v="282.13"/>
    <x v="0"/>
    <d v="2024-07-12T00:00:00"/>
    <d v="2024-08-19T00:00:00"/>
    <x v="1"/>
    <x v="0"/>
    <n v="75046.58"/>
    <x v="0"/>
    <x v="0"/>
    <x v="0"/>
  </r>
  <r>
    <n v="98284"/>
    <x v="2"/>
    <x v="1"/>
    <n v="211"/>
    <n v="20"/>
    <n v="361.53"/>
    <x v="3"/>
    <d v="2024-12-27T00:00:00"/>
    <d v="2025-01-11T00:00:00"/>
    <x v="2"/>
    <x v="0"/>
    <n v="76282.829999999987"/>
    <x v="0"/>
    <x v="0"/>
    <x v="0"/>
  </r>
  <r>
    <n v="43690"/>
    <x v="9"/>
    <x v="1"/>
    <n v="439"/>
    <n v="50"/>
    <n v="379.49"/>
    <x v="1"/>
    <d v="2024-01-02T00:00:00"/>
    <d v="2024-01-30T00:00:00"/>
    <x v="0"/>
    <x v="0"/>
    <n v="166596.11000000002"/>
    <x v="0"/>
    <x v="0"/>
    <x v="0"/>
  </r>
  <r>
    <n v="42705"/>
    <x v="0"/>
    <x v="0"/>
    <n v="140"/>
    <n v="50"/>
    <n v="114.51"/>
    <x v="1"/>
    <d v="2024-05-07T00:00:00"/>
    <d v="2024-05-19T00:00:00"/>
    <x v="0"/>
    <x v="0"/>
    <n v="16031.400000000001"/>
    <x v="0"/>
    <x v="1"/>
    <x v="0"/>
  </r>
  <r>
    <n v="74356"/>
    <x v="11"/>
    <x v="4"/>
    <n v="278"/>
    <n v="40"/>
    <n v="171.55"/>
    <x v="2"/>
    <d v="2024-01-29T00:00:00"/>
    <d v="2024-03-07T00:00:00"/>
    <x v="0"/>
    <x v="0"/>
    <n v="47690.9"/>
    <x v="0"/>
    <x v="0"/>
    <x v="0"/>
  </r>
  <r>
    <n v="20482"/>
    <x v="7"/>
    <x v="3"/>
    <n v="70"/>
    <n v="100"/>
    <n v="34.44"/>
    <x v="1"/>
    <d v="2024-12-29T00:00:00"/>
    <d v="2025-01-20T00:00:00"/>
    <x v="0"/>
    <x v="1"/>
    <n v="2410.7999999999997"/>
    <x v="68"/>
    <x v="1"/>
    <x v="1"/>
  </r>
  <r>
    <n v="39550"/>
    <x v="16"/>
    <x v="3"/>
    <n v="446"/>
    <n v="80"/>
    <n v="53.99"/>
    <x v="1"/>
    <d v="2024-03-22T00:00:00"/>
    <d v="2024-04-19T00:00:00"/>
    <x v="1"/>
    <x v="0"/>
    <n v="24079.54"/>
    <x v="0"/>
    <x v="0"/>
    <x v="0"/>
  </r>
  <r>
    <n v="77342"/>
    <x v="12"/>
    <x v="0"/>
    <n v="144"/>
    <n v="20"/>
    <n v="137.80000000000001"/>
    <x v="0"/>
    <d v="2024-04-23T00:00:00"/>
    <d v="2024-05-23T00:00:00"/>
    <x v="0"/>
    <x v="0"/>
    <n v="19843.2"/>
    <x v="0"/>
    <x v="0"/>
    <x v="0"/>
  </r>
  <r>
    <n v="66344"/>
    <x v="6"/>
    <x v="3"/>
    <n v="94"/>
    <n v="40"/>
    <n v="238.45"/>
    <x v="3"/>
    <d v="2024-03-16T00:00:00"/>
    <d v="2024-04-08T00:00:00"/>
    <x v="1"/>
    <x v="0"/>
    <n v="22414.3"/>
    <x v="0"/>
    <x v="1"/>
    <x v="0"/>
  </r>
  <r>
    <n v="84947"/>
    <x v="12"/>
    <x v="0"/>
    <n v="332"/>
    <n v="50"/>
    <n v="201.83"/>
    <x v="4"/>
    <d v="2024-11-21T00:00:00"/>
    <d v="2024-12-03T00:00:00"/>
    <x v="0"/>
    <x v="0"/>
    <n v="67007.56"/>
    <x v="0"/>
    <x v="0"/>
    <x v="0"/>
  </r>
  <r>
    <n v="78580"/>
    <x v="12"/>
    <x v="0"/>
    <n v="278"/>
    <n v="50"/>
    <n v="132.27000000000001"/>
    <x v="3"/>
    <d v="2024-05-05T00:00:00"/>
    <d v="2024-05-30T00:00:00"/>
    <x v="2"/>
    <x v="0"/>
    <n v="36771.060000000005"/>
    <x v="0"/>
    <x v="0"/>
    <x v="0"/>
  </r>
  <r>
    <n v="78682"/>
    <x v="3"/>
    <x v="2"/>
    <n v="48"/>
    <n v="20"/>
    <n v="108.61"/>
    <x v="1"/>
    <d v="2024-12-08T00:00:00"/>
    <d v="2025-01-15T00:00:00"/>
    <x v="0"/>
    <x v="0"/>
    <n v="5213.28"/>
    <x v="0"/>
    <x v="1"/>
    <x v="0"/>
  </r>
  <r>
    <n v="46731"/>
    <x v="11"/>
    <x v="4"/>
    <n v="124"/>
    <n v="150"/>
    <n v="417.47"/>
    <x v="1"/>
    <d v="2024-07-04T00:00:00"/>
    <d v="2024-08-11T00:00:00"/>
    <x v="1"/>
    <x v="1"/>
    <n v="51766.280000000006"/>
    <x v="61"/>
    <x v="1"/>
    <x v="1"/>
  </r>
  <r>
    <n v="38451"/>
    <x v="14"/>
    <x v="4"/>
    <n v="184"/>
    <n v="150"/>
    <n v="183.93"/>
    <x v="0"/>
    <d v="2024-09-21T00:00:00"/>
    <d v="2024-10-04T00:00:00"/>
    <x v="0"/>
    <x v="0"/>
    <n v="33843.120000000003"/>
    <x v="0"/>
    <x v="1"/>
    <x v="0"/>
  </r>
  <r>
    <n v="27669"/>
    <x v="11"/>
    <x v="4"/>
    <n v="405"/>
    <n v="80"/>
    <n v="224.44"/>
    <x v="1"/>
    <d v="2024-09-10T00:00:00"/>
    <d v="2024-10-13T00:00:00"/>
    <x v="1"/>
    <x v="0"/>
    <n v="90898.2"/>
    <x v="0"/>
    <x v="0"/>
    <x v="0"/>
  </r>
  <r>
    <n v="35395"/>
    <x v="6"/>
    <x v="3"/>
    <n v="307"/>
    <n v="30"/>
    <n v="99.57"/>
    <x v="0"/>
    <d v="2024-09-10T00:00:00"/>
    <d v="2024-09-15T00:00:00"/>
    <x v="2"/>
    <x v="0"/>
    <n v="30567.989999999998"/>
    <x v="0"/>
    <x v="0"/>
    <x v="0"/>
  </r>
  <r>
    <n v="55913"/>
    <x v="11"/>
    <x v="4"/>
    <n v="344"/>
    <n v="40"/>
    <n v="401.58"/>
    <x v="4"/>
    <d v="2024-04-24T00:00:00"/>
    <d v="2024-04-30T00:00:00"/>
    <x v="2"/>
    <x v="0"/>
    <n v="138143.51999999999"/>
    <x v="0"/>
    <x v="0"/>
    <x v="0"/>
  </r>
  <r>
    <n v="38690"/>
    <x v="11"/>
    <x v="4"/>
    <n v="426"/>
    <n v="30"/>
    <n v="333.36"/>
    <x v="1"/>
    <d v="2024-10-04T00:00:00"/>
    <d v="2024-10-12T00:00:00"/>
    <x v="1"/>
    <x v="0"/>
    <n v="142011.36000000002"/>
    <x v="0"/>
    <x v="0"/>
    <x v="0"/>
  </r>
  <r>
    <n v="96612"/>
    <x v="9"/>
    <x v="1"/>
    <n v="399"/>
    <n v="100"/>
    <n v="267.27"/>
    <x v="0"/>
    <d v="2024-09-30T00:00:00"/>
    <d v="2024-10-27T00:00:00"/>
    <x v="1"/>
    <x v="0"/>
    <n v="106640.73"/>
    <x v="0"/>
    <x v="0"/>
    <x v="0"/>
  </r>
  <r>
    <n v="98267"/>
    <x v="8"/>
    <x v="1"/>
    <n v="446"/>
    <n v="100"/>
    <n v="67.83"/>
    <x v="1"/>
    <d v="2024-08-05T00:00:00"/>
    <d v="2024-09-12T00:00:00"/>
    <x v="2"/>
    <x v="0"/>
    <n v="30252.18"/>
    <x v="0"/>
    <x v="0"/>
    <x v="0"/>
  </r>
  <r>
    <n v="24588"/>
    <x v="13"/>
    <x v="3"/>
    <n v="196"/>
    <n v="50"/>
    <n v="342.32"/>
    <x v="3"/>
    <d v="2024-05-12T00:00:00"/>
    <d v="2024-05-20T00:00:00"/>
    <x v="0"/>
    <x v="0"/>
    <n v="67094.720000000001"/>
    <x v="0"/>
    <x v="0"/>
    <x v="0"/>
  </r>
  <r>
    <n v="39317"/>
    <x v="5"/>
    <x v="2"/>
    <n v="207"/>
    <n v="30"/>
    <n v="210.67"/>
    <x v="3"/>
    <d v="2024-03-01T00:00:00"/>
    <d v="2024-03-15T00:00:00"/>
    <x v="0"/>
    <x v="0"/>
    <n v="43608.689999999995"/>
    <x v="0"/>
    <x v="0"/>
    <x v="0"/>
  </r>
  <r>
    <n v="53826"/>
    <x v="11"/>
    <x v="4"/>
    <n v="190"/>
    <n v="40"/>
    <n v="460.93"/>
    <x v="1"/>
    <d v="2024-11-14T00:00:00"/>
    <d v="2024-12-13T00:00:00"/>
    <x v="0"/>
    <x v="0"/>
    <n v="87576.7"/>
    <x v="0"/>
    <x v="0"/>
    <x v="0"/>
  </r>
  <r>
    <n v="52915"/>
    <x v="1"/>
    <x v="0"/>
    <n v="122"/>
    <n v="40"/>
    <n v="94.72"/>
    <x v="0"/>
    <d v="2024-11-25T00:00:00"/>
    <d v="2025-01-02T00:00:00"/>
    <x v="2"/>
    <x v="0"/>
    <n v="11555.84"/>
    <x v="0"/>
    <x v="0"/>
    <x v="0"/>
  </r>
  <r>
    <n v="27629"/>
    <x v="10"/>
    <x v="2"/>
    <n v="18"/>
    <n v="30"/>
    <n v="248.25"/>
    <x v="0"/>
    <d v="2024-10-23T00:00:00"/>
    <d v="2024-11-13T00:00:00"/>
    <x v="2"/>
    <x v="1"/>
    <n v="4468.5"/>
    <x v="50"/>
    <x v="1"/>
    <x v="1"/>
  </r>
  <r>
    <n v="20599"/>
    <x v="10"/>
    <x v="2"/>
    <n v="442"/>
    <n v="20"/>
    <n v="408.94"/>
    <x v="0"/>
    <d v="2024-09-30T00:00:00"/>
    <d v="2024-10-30T00:00:00"/>
    <x v="1"/>
    <x v="0"/>
    <n v="180751.48"/>
    <x v="0"/>
    <x v="0"/>
    <x v="0"/>
  </r>
  <r>
    <n v="30951"/>
    <x v="0"/>
    <x v="0"/>
    <n v="133"/>
    <n v="20"/>
    <n v="121.82"/>
    <x v="3"/>
    <d v="2024-02-20T00:00:00"/>
    <d v="2024-03-16T00:00:00"/>
    <x v="1"/>
    <x v="0"/>
    <n v="16202.06"/>
    <x v="0"/>
    <x v="0"/>
    <x v="0"/>
  </r>
  <r>
    <n v="38064"/>
    <x v="9"/>
    <x v="1"/>
    <n v="82"/>
    <n v="80"/>
    <n v="497.92"/>
    <x v="3"/>
    <d v="2024-11-07T00:00:00"/>
    <d v="2024-11-23T00:00:00"/>
    <x v="0"/>
    <x v="0"/>
    <n v="40829.440000000002"/>
    <x v="0"/>
    <x v="1"/>
    <x v="0"/>
  </r>
  <r>
    <n v="35905"/>
    <x v="13"/>
    <x v="3"/>
    <n v="379"/>
    <n v="30"/>
    <n v="14.76"/>
    <x v="4"/>
    <d v="2024-11-21T00:00:00"/>
    <d v="2024-12-12T00:00:00"/>
    <x v="2"/>
    <x v="0"/>
    <n v="5594.04"/>
    <x v="0"/>
    <x v="0"/>
    <x v="0"/>
  </r>
  <r>
    <n v="30234"/>
    <x v="14"/>
    <x v="4"/>
    <n v="373"/>
    <n v="80"/>
    <n v="148.34"/>
    <x v="0"/>
    <d v="2024-08-03T00:00:00"/>
    <d v="2024-08-23T00:00:00"/>
    <x v="1"/>
    <x v="0"/>
    <n v="55330.82"/>
    <x v="0"/>
    <x v="0"/>
    <x v="0"/>
  </r>
  <r>
    <n v="93391"/>
    <x v="2"/>
    <x v="1"/>
    <n v="164"/>
    <n v="80"/>
    <n v="206.09"/>
    <x v="3"/>
    <d v="2024-12-11T00:00:00"/>
    <d v="2025-01-01T00:00:00"/>
    <x v="1"/>
    <x v="0"/>
    <n v="33798.76"/>
    <x v="0"/>
    <x v="1"/>
    <x v="0"/>
  </r>
  <r>
    <n v="52235"/>
    <x v="2"/>
    <x v="1"/>
    <n v="358"/>
    <n v="30"/>
    <n v="406.36"/>
    <x v="2"/>
    <d v="2024-09-19T00:00:00"/>
    <d v="2024-10-09T00:00:00"/>
    <x v="0"/>
    <x v="0"/>
    <n v="145476.88"/>
    <x v="0"/>
    <x v="0"/>
    <x v="0"/>
  </r>
  <r>
    <n v="24633"/>
    <x v="4"/>
    <x v="0"/>
    <n v="111"/>
    <n v="40"/>
    <n v="160.12"/>
    <x v="4"/>
    <d v="2024-09-24T00:00:00"/>
    <d v="2024-10-19T00:00:00"/>
    <x v="2"/>
    <x v="0"/>
    <n v="17773.32"/>
    <x v="0"/>
    <x v="1"/>
    <x v="0"/>
  </r>
  <r>
    <n v="83177"/>
    <x v="13"/>
    <x v="3"/>
    <n v="33"/>
    <n v="150"/>
    <n v="128.36000000000001"/>
    <x v="0"/>
    <d v="2024-09-27T00:00:00"/>
    <d v="2024-10-02T00:00:00"/>
    <x v="0"/>
    <x v="1"/>
    <n v="4235.88"/>
    <x v="85"/>
    <x v="1"/>
    <x v="1"/>
  </r>
  <r>
    <n v="66151"/>
    <x v="15"/>
    <x v="4"/>
    <n v="250"/>
    <n v="150"/>
    <n v="296.72000000000003"/>
    <x v="4"/>
    <d v="2024-06-28T00:00:00"/>
    <d v="2024-07-17T00:00:00"/>
    <x v="1"/>
    <x v="0"/>
    <n v="74180"/>
    <x v="0"/>
    <x v="1"/>
    <x v="0"/>
  </r>
  <r>
    <n v="48333"/>
    <x v="8"/>
    <x v="1"/>
    <n v="92"/>
    <n v="100"/>
    <n v="224.17"/>
    <x v="2"/>
    <d v="2024-11-04T00:00:00"/>
    <d v="2024-11-13T00:00:00"/>
    <x v="2"/>
    <x v="1"/>
    <n v="20623.64"/>
    <x v="44"/>
    <x v="1"/>
    <x v="1"/>
  </r>
  <r>
    <n v="29340"/>
    <x v="15"/>
    <x v="4"/>
    <n v="80"/>
    <n v="30"/>
    <n v="340.28"/>
    <x v="4"/>
    <d v="2024-10-06T00:00:00"/>
    <d v="2024-10-12T00:00:00"/>
    <x v="1"/>
    <x v="0"/>
    <n v="27222.399999999998"/>
    <x v="0"/>
    <x v="1"/>
    <x v="0"/>
  </r>
  <r>
    <n v="52875"/>
    <x v="16"/>
    <x v="3"/>
    <n v="484"/>
    <n v="40"/>
    <n v="457.04"/>
    <x v="2"/>
    <d v="2024-06-28T00:00:00"/>
    <d v="2024-07-25T00:00:00"/>
    <x v="2"/>
    <x v="0"/>
    <n v="221207.36000000002"/>
    <x v="0"/>
    <x v="0"/>
    <x v="0"/>
  </r>
  <r>
    <n v="59063"/>
    <x v="11"/>
    <x v="4"/>
    <n v="243"/>
    <n v="50"/>
    <n v="209.36"/>
    <x v="3"/>
    <d v="2024-06-02T00:00:00"/>
    <d v="2024-06-23T00:00:00"/>
    <x v="0"/>
    <x v="0"/>
    <n v="50874.48"/>
    <x v="0"/>
    <x v="0"/>
    <x v="0"/>
  </r>
  <r>
    <n v="62115"/>
    <x v="5"/>
    <x v="2"/>
    <n v="139"/>
    <n v="150"/>
    <n v="409.35"/>
    <x v="4"/>
    <d v="2024-03-14T00:00:00"/>
    <d v="2024-03-30T00:00:00"/>
    <x v="0"/>
    <x v="1"/>
    <n v="56899.65"/>
    <x v="52"/>
    <x v="1"/>
    <x v="1"/>
  </r>
  <r>
    <n v="99180"/>
    <x v="4"/>
    <x v="0"/>
    <n v="121"/>
    <n v="100"/>
    <n v="249.9"/>
    <x v="3"/>
    <d v="2024-01-29T00:00:00"/>
    <d v="2024-02-12T00:00:00"/>
    <x v="2"/>
    <x v="0"/>
    <n v="30237.9"/>
    <x v="0"/>
    <x v="1"/>
    <x v="0"/>
  </r>
  <r>
    <n v="97695"/>
    <x v="3"/>
    <x v="2"/>
    <n v="272"/>
    <n v="20"/>
    <n v="306.35000000000002"/>
    <x v="0"/>
    <d v="2024-09-21T00:00:00"/>
    <d v="2024-10-02T00:00:00"/>
    <x v="1"/>
    <x v="0"/>
    <n v="83327.200000000012"/>
    <x v="0"/>
    <x v="0"/>
    <x v="0"/>
  </r>
  <r>
    <n v="38555"/>
    <x v="15"/>
    <x v="4"/>
    <n v="138"/>
    <n v="80"/>
    <n v="223.43"/>
    <x v="4"/>
    <d v="2024-09-06T00:00:00"/>
    <d v="2024-09-23T00:00:00"/>
    <x v="2"/>
    <x v="0"/>
    <n v="30833.34"/>
    <x v="0"/>
    <x v="1"/>
    <x v="0"/>
  </r>
  <r>
    <n v="90738"/>
    <x v="4"/>
    <x v="0"/>
    <n v="163"/>
    <n v="50"/>
    <n v="51.18"/>
    <x v="4"/>
    <d v="2024-02-06T00:00:00"/>
    <d v="2024-02-22T00:00:00"/>
    <x v="2"/>
    <x v="0"/>
    <n v="8342.34"/>
    <x v="0"/>
    <x v="0"/>
    <x v="0"/>
  </r>
  <r>
    <n v="56638"/>
    <x v="11"/>
    <x v="4"/>
    <n v="296"/>
    <n v="80"/>
    <n v="395.2"/>
    <x v="4"/>
    <d v="2024-05-16T00:00:00"/>
    <d v="2024-06-11T00:00:00"/>
    <x v="0"/>
    <x v="0"/>
    <n v="116979.2"/>
    <x v="0"/>
    <x v="0"/>
    <x v="0"/>
  </r>
  <r>
    <n v="34918"/>
    <x v="4"/>
    <x v="0"/>
    <n v="293"/>
    <n v="40"/>
    <n v="172.19"/>
    <x v="1"/>
    <d v="2024-04-24T00:00:00"/>
    <d v="2024-05-01T00:00:00"/>
    <x v="1"/>
    <x v="0"/>
    <n v="50451.67"/>
    <x v="0"/>
    <x v="0"/>
    <x v="0"/>
  </r>
  <r>
    <n v="38546"/>
    <x v="11"/>
    <x v="4"/>
    <n v="140"/>
    <n v="30"/>
    <n v="304.52999999999997"/>
    <x v="3"/>
    <d v="2024-05-01T00:00:00"/>
    <d v="2024-05-28T00:00:00"/>
    <x v="1"/>
    <x v="0"/>
    <n v="42634.2"/>
    <x v="0"/>
    <x v="0"/>
    <x v="0"/>
  </r>
  <r>
    <n v="38013"/>
    <x v="15"/>
    <x v="4"/>
    <n v="346"/>
    <n v="50"/>
    <n v="69.81"/>
    <x v="4"/>
    <d v="2024-10-06T00:00:00"/>
    <d v="2024-10-18T00:00:00"/>
    <x v="2"/>
    <x v="0"/>
    <n v="24154.260000000002"/>
    <x v="0"/>
    <x v="0"/>
    <x v="0"/>
  </r>
  <r>
    <n v="74068"/>
    <x v="6"/>
    <x v="3"/>
    <n v="436"/>
    <n v="50"/>
    <n v="281.52"/>
    <x v="4"/>
    <d v="2024-02-09T00:00:00"/>
    <d v="2024-02-19T00:00:00"/>
    <x v="0"/>
    <x v="0"/>
    <n v="122742.71999999999"/>
    <x v="0"/>
    <x v="0"/>
    <x v="0"/>
  </r>
  <r>
    <n v="40776"/>
    <x v="11"/>
    <x v="4"/>
    <n v="188"/>
    <n v="150"/>
    <n v="145.87"/>
    <x v="1"/>
    <d v="2024-01-17T00:00:00"/>
    <d v="2024-02-11T00:00:00"/>
    <x v="1"/>
    <x v="0"/>
    <n v="27423.56"/>
    <x v="0"/>
    <x v="1"/>
    <x v="0"/>
  </r>
  <r>
    <n v="92027"/>
    <x v="0"/>
    <x v="0"/>
    <n v="218"/>
    <n v="150"/>
    <n v="11.15"/>
    <x v="1"/>
    <d v="2024-01-31T00:00:00"/>
    <d v="2024-02-10T00:00:00"/>
    <x v="0"/>
    <x v="0"/>
    <n v="2430.7000000000003"/>
    <x v="0"/>
    <x v="1"/>
    <x v="0"/>
  </r>
  <r>
    <n v="45050"/>
    <x v="10"/>
    <x v="2"/>
    <n v="73"/>
    <n v="20"/>
    <n v="102.67"/>
    <x v="3"/>
    <d v="2024-11-21T00:00:00"/>
    <d v="2024-12-14T00:00:00"/>
    <x v="0"/>
    <x v="0"/>
    <n v="7494.91"/>
    <x v="0"/>
    <x v="0"/>
    <x v="0"/>
  </r>
  <r>
    <n v="72863"/>
    <x v="13"/>
    <x v="3"/>
    <n v="58"/>
    <n v="20"/>
    <n v="499.86"/>
    <x v="2"/>
    <d v="2024-01-24T00:00:00"/>
    <d v="2024-02-22T00:00:00"/>
    <x v="2"/>
    <x v="0"/>
    <n v="28991.88"/>
    <x v="0"/>
    <x v="1"/>
    <x v="0"/>
  </r>
  <r>
    <n v="51542"/>
    <x v="16"/>
    <x v="3"/>
    <n v="387"/>
    <n v="30"/>
    <n v="327.14999999999998"/>
    <x v="0"/>
    <d v="2024-12-13T00:00:00"/>
    <d v="2025-01-03T00:00:00"/>
    <x v="0"/>
    <x v="0"/>
    <n v="126607.04999999999"/>
    <x v="0"/>
    <x v="0"/>
    <x v="0"/>
  </r>
  <r>
    <n v="71993"/>
    <x v="7"/>
    <x v="3"/>
    <n v="478"/>
    <n v="100"/>
    <n v="305.82"/>
    <x v="0"/>
    <d v="2024-04-08T00:00:00"/>
    <d v="2024-05-12T00:00:00"/>
    <x v="1"/>
    <x v="0"/>
    <n v="146181.96"/>
    <x v="0"/>
    <x v="0"/>
    <x v="0"/>
  </r>
  <r>
    <n v="24706"/>
    <x v="3"/>
    <x v="2"/>
    <n v="71"/>
    <n v="40"/>
    <n v="259.89"/>
    <x v="2"/>
    <d v="2024-02-14T00:00:00"/>
    <d v="2024-03-13T00:00:00"/>
    <x v="0"/>
    <x v="0"/>
    <n v="18452.189999999999"/>
    <x v="0"/>
    <x v="1"/>
    <x v="0"/>
  </r>
  <r>
    <n v="62076"/>
    <x v="4"/>
    <x v="0"/>
    <n v="171"/>
    <n v="50"/>
    <n v="169.95"/>
    <x v="0"/>
    <d v="2024-10-07T00:00:00"/>
    <d v="2024-10-18T00:00:00"/>
    <x v="1"/>
    <x v="0"/>
    <n v="29061.449999999997"/>
    <x v="0"/>
    <x v="0"/>
    <x v="0"/>
  </r>
  <r>
    <n v="33447"/>
    <x v="12"/>
    <x v="0"/>
    <n v="264"/>
    <n v="40"/>
    <n v="290.94"/>
    <x v="4"/>
    <d v="2024-06-16T00:00:00"/>
    <d v="2024-07-19T00:00:00"/>
    <x v="0"/>
    <x v="0"/>
    <n v="76808.160000000003"/>
    <x v="0"/>
    <x v="0"/>
    <x v="0"/>
  </r>
  <r>
    <n v="50581"/>
    <x v="15"/>
    <x v="4"/>
    <n v="44"/>
    <n v="80"/>
    <n v="271.5"/>
    <x v="4"/>
    <d v="2024-08-18T00:00:00"/>
    <d v="2024-09-20T00:00:00"/>
    <x v="0"/>
    <x v="1"/>
    <n v="11946"/>
    <x v="86"/>
    <x v="1"/>
    <x v="1"/>
  </r>
  <r>
    <n v="27110"/>
    <x v="15"/>
    <x v="4"/>
    <n v="491"/>
    <n v="100"/>
    <n v="264.02999999999997"/>
    <x v="0"/>
    <d v="2024-07-14T00:00:00"/>
    <d v="2024-08-22T00:00:00"/>
    <x v="2"/>
    <x v="0"/>
    <n v="129638.72999999998"/>
    <x v="0"/>
    <x v="0"/>
    <x v="0"/>
  </r>
  <r>
    <n v="99796"/>
    <x v="12"/>
    <x v="0"/>
    <n v="251"/>
    <n v="40"/>
    <n v="381.55"/>
    <x v="2"/>
    <d v="2024-05-10T00:00:00"/>
    <d v="2024-06-15T00:00:00"/>
    <x v="2"/>
    <x v="0"/>
    <n v="95769.05"/>
    <x v="0"/>
    <x v="0"/>
    <x v="0"/>
  </r>
  <r>
    <n v="45999"/>
    <x v="1"/>
    <x v="0"/>
    <n v="25"/>
    <n v="150"/>
    <n v="212.45"/>
    <x v="3"/>
    <d v="2024-07-04T00:00:00"/>
    <d v="2024-07-13T00:00:00"/>
    <x v="0"/>
    <x v="1"/>
    <n v="5311.25"/>
    <x v="54"/>
    <x v="1"/>
    <x v="1"/>
  </r>
  <r>
    <n v="21244"/>
    <x v="10"/>
    <x v="2"/>
    <n v="7"/>
    <n v="20"/>
    <n v="431.9"/>
    <x v="0"/>
    <d v="2024-01-28T00:00:00"/>
    <d v="2024-02-15T00:00:00"/>
    <x v="1"/>
    <x v="1"/>
    <n v="3023.2999999999997"/>
    <x v="37"/>
    <x v="1"/>
    <x v="1"/>
  </r>
  <r>
    <n v="88616"/>
    <x v="3"/>
    <x v="2"/>
    <n v="206"/>
    <n v="100"/>
    <n v="374.92"/>
    <x v="1"/>
    <d v="2024-02-14T00:00:00"/>
    <d v="2024-03-17T00:00:00"/>
    <x v="0"/>
    <x v="0"/>
    <n v="77233.52"/>
    <x v="0"/>
    <x v="1"/>
    <x v="0"/>
  </r>
  <r>
    <n v="84176"/>
    <x v="4"/>
    <x v="0"/>
    <n v="224"/>
    <n v="100"/>
    <n v="492.55"/>
    <x v="1"/>
    <d v="2024-06-24T00:00:00"/>
    <d v="2024-07-12T00:00:00"/>
    <x v="1"/>
    <x v="0"/>
    <n v="110331.2"/>
    <x v="0"/>
    <x v="1"/>
    <x v="0"/>
  </r>
  <r>
    <n v="57800"/>
    <x v="9"/>
    <x v="1"/>
    <n v="242"/>
    <n v="150"/>
    <n v="459.42"/>
    <x v="1"/>
    <d v="2024-02-25T00:00:00"/>
    <d v="2024-03-15T00:00:00"/>
    <x v="1"/>
    <x v="0"/>
    <n v="111179.64"/>
    <x v="0"/>
    <x v="1"/>
    <x v="0"/>
  </r>
  <r>
    <n v="61444"/>
    <x v="8"/>
    <x v="1"/>
    <n v="214"/>
    <n v="80"/>
    <n v="451.24"/>
    <x v="4"/>
    <d v="2024-06-30T00:00:00"/>
    <d v="2024-07-18T00:00:00"/>
    <x v="1"/>
    <x v="0"/>
    <n v="96565.36"/>
    <x v="0"/>
    <x v="1"/>
    <x v="0"/>
  </r>
  <r>
    <n v="40099"/>
    <x v="3"/>
    <x v="2"/>
    <n v="335"/>
    <n v="40"/>
    <n v="12.56"/>
    <x v="4"/>
    <d v="2024-10-26T00:00:00"/>
    <d v="2024-11-17T00:00:00"/>
    <x v="1"/>
    <x v="0"/>
    <n v="4207.6000000000004"/>
    <x v="0"/>
    <x v="0"/>
    <x v="0"/>
  </r>
  <r>
    <n v="70204"/>
    <x v="13"/>
    <x v="3"/>
    <n v="217"/>
    <n v="100"/>
    <n v="326.8"/>
    <x v="4"/>
    <d v="2024-10-29T00:00:00"/>
    <d v="2024-12-01T00:00:00"/>
    <x v="0"/>
    <x v="0"/>
    <n v="70915.600000000006"/>
    <x v="0"/>
    <x v="1"/>
    <x v="0"/>
  </r>
  <r>
    <n v="90249"/>
    <x v="0"/>
    <x v="0"/>
    <n v="346"/>
    <n v="50"/>
    <n v="72.680000000000007"/>
    <x v="2"/>
    <d v="2024-07-18T00:00:00"/>
    <d v="2024-08-05T00:00:00"/>
    <x v="0"/>
    <x v="0"/>
    <n v="25147.280000000002"/>
    <x v="0"/>
    <x v="0"/>
    <x v="0"/>
  </r>
  <r>
    <n v="16487"/>
    <x v="8"/>
    <x v="1"/>
    <n v="476"/>
    <n v="100"/>
    <n v="96.99"/>
    <x v="4"/>
    <d v="2024-08-31T00:00:00"/>
    <d v="2024-10-08T00:00:00"/>
    <x v="0"/>
    <x v="0"/>
    <n v="46167.24"/>
    <x v="0"/>
    <x v="0"/>
    <x v="0"/>
  </r>
  <r>
    <n v="13017"/>
    <x v="8"/>
    <x v="1"/>
    <n v="258"/>
    <n v="50"/>
    <n v="279.29000000000002"/>
    <x v="4"/>
    <d v="2024-04-04T00:00:00"/>
    <d v="2024-04-24T00:00:00"/>
    <x v="1"/>
    <x v="0"/>
    <n v="72056.820000000007"/>
    <x v="0"/>
    <x v="0"/>
    <x v="0"/>
  </r>
  <r>
    <n v="51300"/>
    <x v="5"/>
    <x v="2"/>
    <n v="412"/>
    <n v="20"/>
    <n v="300.11"/>
    <x v="0"/>
    <d v="2024-05-04T00:00:00"/>
    <d v="2024-05-25T00:00:00"/>
    <x v="2"/>
    <x v="0"/>
    <n v="123645.32"/>
    <x v="0"/>
    <x v="0"/>
    <x v="0"/>
  </r>
  <r>
    <n v="98913"/>
    <x v="3"/>
    <x v="2"/>
    <n v="169"/>
    <n v="150"/>
    <n v="163.06"/>
    <x v="0"/>
    <d v="2024-02-17T00:00:00"/>
    <d v="2024-03-13T00:00:00"/>
    <x v="1"/>
    <x v="0"/>
    <n v="27557.14"/>
    <x v="0"/>
    <x v="1"/>
    <x v="0"/>
  </r>
  <r>
    <n v="27862"/>
    <x v="16"/>
    <x v="3"/>
    <n v="178"/>
    <n v="50"/>
    <n v="215.07"/>
    <x v="1"/>
    <d v="2024-02-06T00:00:00"/>
    <d v="2024-02-16T00:00:00"/>
    <x v="2"/>
    <x v="0"/>
    <n v="38282.46"/>
    <x v="0"/>
    <x v="0"/>
    <x v="0"/>
  </r>
  <r>
    <n v="16050"/>
    <x v="9"/>
    <x v="1"/>
    <n v="3"/>
    <n v="80"/>
    <n v="341.62"/>
    <x v="3"/>
    <d v="2024-01-25T00:00:00"/>
    <d v="2024-02-13T00:00:00"/>
    <x v="1"/>
    <x v="1"/>
    <n v="1024.8600000000001"/>
    <x v="87"/>
    <x v="1"/>
    <x v="1"/>
  </r>
  <r>
    <n v="97363"/>
    <x v="8"/>
    <x v="1"/>
    <n v="184"/>
    <n v="30"/>
    <n v="165.33"/>
    <x v="4"/>
    <d v="2024-11-12T00:00:00"/>
    <d v="2024-11-30T00:00:00"/>
    <x v="2"/>
    <x v="0"/>
    <n v="30420.720000000001"/>
    <x v="0"/>
    <x v="0"/>
    <x v="0"/>
  </r>
  <r>
    <n v="37370"/>
    <x v="0"/>
    <x v="0"/>
    <n v="407"/>
    <n v="50"/>
    <n v="338.73"/>
    <x v="2"/>
    <d v="2024-10-12T00:00:00"/>
    <d v="2024-11-09T00:00:00"/>
    <x v="2"/>
    <x v="0"/>
    <n v="137863.11000000002"/>
    <x v="0"/>
    <x v="0"/>
    <x v="0"/>
  </r>
  <r>
    <n v="13932"/>
    <x v="12"/>
    <x v="0"/>
    <n v="429"/>
    <n v="150"/>
    <n v="197.12"/>
    <x v="4"/>
    <d v="2024-08-27T00:00:00"/>
    <d v="2024-09-15T00:00:00"/>
    <x v="1"/>
    <x v="0"/>
    <n v="84564.479999999996"/>
    <x v="0"/>
    <x v="1"/>
    <x v="0"/>
  </r>
  <r>
    <n v="23782"/>
    <x v="8"/>
    <x v="1"/>
    <n v="270"/>
    <n v="100"/>
    <n v="496.45"/>
    <x v="4"/>
    <d v="2024-01-15T00:00:00"/>
    <d v="2024-01-23T00:00:00"/>
    <x v="0"/>
    <x v="0"/>
    <n v="134041.5"/>
    <x v="0"/>
    <x v="1"/>
    <x v="0"/>
  </r>
  <r>
    <n v="16057"/>
    <x v="7"/>
    <x v="3"/>
    <n v="318"/>
    <n v="20"/>
    <n v="329.79"/>
    <x v="2"/>
    <d v="2024-04-29T00:00:00"/>
    <d v="2024-05-10T00:00:00"/>
    <x v="0"/>
    <x v="0"/>
    <n v="104873.22"/>
    <x v="0"/>
    <x v="0"/>
    <x v="0"/>
  </r>
  <r>
    <n v="17043"/>
    <x v="6"/>
    <x v="3"/>
    <n v="254"/>
    <n v="20"/>
    <n v="476.56"/>
    <x v="1"/>
    <d v="2024-02-10T00:00:00"/>
    <d v="2024-03-15T00:00:00"/>
    <x v="2"/>
    <x v="0"/>
    <n v="121046.24"/>
    <x v="0"/>
    <x v="0"/>
    <x v="0"/>
  </r>
  <r>
    <n v="79000"/>
    <x v="5"/>
    <x v="2"/>
    <n v="148"/>
    <n v="100"/>
    <n v="340.42"/>
    <x v="2"/>
    <d v="2024-12-03T00:00:00"/>
    <d v="2024-12-12T00:00:00"/>
    <x v="2"/>
    <x v="0"/>
    <n v="50382.16"/>
    <x v="0"/>
    <x v="1"/>
    <x v="0"/>
  </r>
  <r>
    <n v="85838"/>
    <x v="15"/>
    <x v="4"/>
    <n v="130"/>
    <n v="20"/>
    <n v="57.43"/>
    <x v="1"/>
    <d v="2024-02-18T00:00:00"/>
    <d v="2024-03-10T00:00:00"/>
    <x v="0"/>
    <x v="0"/>
    <n v="7465.9"/>
    <x v="0"/>
    <x v="0"/>
    <x v="0"/>
  </r>
  <r>
    <n v="42599"/>
    <x v="8"/>
    <x v="1"/>
    <n v="14"/>
    <n v="150"/>
    <n v="158.29"/>
    <x v="4"/>
    <d v="2024-09-15T00:00:00"/>
    <d v="2024-09-23T00:00:00"/>
    <x v="1"/>
    <x v="1"/>
    <n v="2216.06"/>
    <x v="88"/>
    <x v="1"/>
    <x v="1"/>
  </r>
  <r>
    <n v="64766"/>
    <x v="6"/>
    <x v="3"/>
    <n v="330"/>
    <n v="80"/>
    <n v="37.81"/>
    <x v="1"/>
    <d v="2024-03-05T00:00:00"/>
    <d v="2024-03-12T00:00:00"/>
    <x v="0"/>
    <x v="0"/>
    <n v="12477.300000000001"/>
    <x v="0"/>
    <x v="0"/>
    <x v="0"/>
  </r>
  <r>
    <n v="96120"/>
    <x v="15"/>
    <x v="4"/>
    <n v="29"/>
    <n v="30"/>
    <n v="440.3"/>
    <x v="3"/>
    <d v="2024-08-04T00:00:00"/>
    <d v="2024-08-30T00:00:00"/>
    <x v="2"/>
    <x v="1"/>
    <n v="12768.7"/>
    <x v="32"/>
    <x v="1"/>
    <x v="1"/>
  </r>
  <r>
    <n v="65609"/>
    <x v="0"/>
    <x v="0"/>
    <n v="46"/>
    <n v="150"/>
    <n v="455.95"/>
    <x v="0"/>
    <d v="2024-05-08T00:00:00"/>
    <d v="2024-05-14T00:00:00"/>
    <x v="2"/>
    <x v="1"/>
    <n v="20973.7"/>
    <x v="45"/>
    <x v="1"/>
    <x v="1"/>
  </r>
  <r>
    <n v="46923"/>
    <x v="4"/>
    <x v="0"/>
    <n v="26"/>
    <n v="80"/>
    <n v="12.42"/>
    <x v="0"/>
    <d v="2024-09-09T00:00:00"/>
    <d v="2024-09-14T00:00:00"/>
    <x v="0"/>
    <x v="1"/>
    <n v="322.92"/>
    <x v="89"/>
    <x v="1"/>
    <x v="1"/>
  </r>
  <r>
    <n v="19304"/>
    <x v="3"/>
    <x v="2"/>
    <n v="145"/>
    <n v="50"/>
    <n v="417.89"/>
    <x v="2"/>
    <d v="2024-04-05T00:00:00"/>
    <d v="2024-05-08T00:00:00"/>
    <x v="2"/>
    <x v="0"/>
    <n v="60594.049999999996"/>
    <x v="0"/>
    <x v="1"/>
    <x v="0"/>
  </r>
  <r>
    <n v="86394"/>
    <x v="5"/>
    <x v="2"/>
    <n v="110"/>
    <n v="30"/>
    <n v="114.64"/>
    <x v="0"/>
    <d v="2024-06-14T00:00:00"/>
    <d v="2024-07-23T00:00:00"/>
    <x v="1"/>
    <x v="0"/>
    <n v="12610.4"/>
    <x v="0"/>
    <x v="0"/>
    <x v="0"/>
  </r>
  <r>
    <n v="72796"/>
    <x v="15"/>
    <x v="4"/>
    <n v="142"/>
    <n v="40"/>
    <n v="304.11"/>
    <x v="4"/>
    <d v="2024-09-07T00:00:00"/>
    <d v="2024-10-05T00:00:00"/>
    <x v="0"/>
    <x v="0"/>
    <n v="43183.62"/>
    <x v="0"/>
    <x v="0"/>
    <x v="0"/>
  </r>
  <r>
    <n v="37195"/>
    <x v="8"/>
    <x v="1"/>
    <n v="496"/>
    <n v="30"/>
    <n v="156.47"/>
    <x v="1"/>
    <d v="2024-10-30T00:00:00"/>
    <d v="2024-11-10T00:00:00"/>
    <x v="0"/>
    <x v="0"/>
    <n v="77609.119999999995"/>
    <x v="0"/>
    <x v="0"/>
    <x v="0"/>
  </r>
  <r>
    <n v="11816"/>
    <x v="3"/>
    <x v="2"/>
    <n v="185"/>
    <n v="50"/>
    <n v="252.28"/>
    <x v="4"/>
    <d v="2024-08-13T00:00:00"/>
    <d v="2024-09-20T00:00:00"/>
    <x v="1"/>
    <x v="0"/>
    <n v="46671.8"/>
    <x v="0"/>
    <x v="0"/>
    <x v="0"/>
  </r>
  <r>
    <n v="22809"/>
    <x v="11"/>
    <x v="4"/>
    <n v="108"/>
    <n v="30"/>
    <n v="219.69"/>
    <x v="0"/>
    <d v="2024-10-01T00:00:00"/>
    <d v="2024-10-13T00:00:00"/>
    <x v="2"/>
    <x v="0"/>
    <n v="23726.52"/>
    <x v="0"/>
    <x v="0"/>
    <x v="0"/>
  </r>
  <r>
    <n v="42009"/>
    <x v="6"/>
    <x v="3"/>
    <n v="86"/>
    <n v="150"/>
    <n v="17.61"/>
    <x v="2"/>
    <d v="2024-01-28T00:00:00"/>
    <d v="2024-02-27T00:00:00"/>
    <x v="1"/>
    <x v="1"/>
    <n v="1514.46"/>
    <x v="90"/>
    <x v="1"/>
    <x v="1"/>
  </r>
  <r>
    <n v="21419"/>
    <x v="15"/>
    <x v="4"/>
    <n v="134"/>
    <n v="150"/>
    <n v="166.12"/>
    <x v="3"/>
    <d v="2024-03-14T00:00:00"/>
    <d v="2024-04-06T00:00:00"/>
    <x v="1"/>
    <x v="1"/>
    <n v="22260.080000000002"/>
    <x v="91"/>
    <x v="1"/>
    <x v="1"/>
  </r>
  <r>
    <n v="54291"/>
    <x v="6"/>
    <x v="3"/>
    <n v="19"/>
    <n v="80"/>
    <n v="405.04"/>
    <x v="4"/>
    <d v="2024-11-01T00:00:00"/>
    <d v="2024-12-03T00:00:00"/>
    <x v="1"/>
    <x v="1"/>
    <n v="7695.76"/>
    <x v="33"/>
    <x v="1"/>
    <x v="1"/>
  </r>
  <r>
    <n v="80729"/>
    <x v="14"/>
    <x v="4"/>
    <n v="299"/>
    <n v="30"/>
    <n v="330.85"/>
    <x v="3"/>
    <d v="2024-05-09T00:00:00"/>
    <d v="2024-06-10T00:00:00"/>
    <x v="2"/>
    <x v="0"/>
    <n v="98924.150000000009"/>
    <x v="0"/>
    <x v="0"/>
    <x v="0"/>
  </r>
  <r>
    <n v="25957"/>
    <x v="3"/>
    <x v="2"/>
    <n v="235"/>
    <n v="50"/>
    <n v="210.76"/>
    <x v="3"/>
    <d v="2024-12-13T00:00:00"/>
    <d v="2024-12-27T00:00:00"/>
    <x v="0"/>
    <x v="0"/>
    <n v="49528.6"/>
    <x v="0"/>
    <x v="0"/>
    <x v="0"/>
  </r>
  <r>
    <n v="43642"/>
    <x v="0"/>
    <x v="0"/>
    <n v="460"/>
    <n v="40"/>
    <n v="432.46"/>
    <x v="4"/>
    <d v="2024-03-26T00:00:00"/>
    <d v="2024-04-29T00:00:00"/>
    <x v="2"/>
    <x v="0"/>
    <n v="198931.59999999998"/>
    <x v="0"/>
    <x v="0"/>
    <x v="0"/>
  </r>
  <r>
    <n v="56023"/>
    <x v="1"/>
    <x v="0"/>
    <n v="481"/>
    <n v="30"/>
    <n v="417.3"/>
    <x v="3"/>
    <d v="2024-08-14T00:00:00"/>
    <d v="2024-09-06T00:00:00"/>
    <x v="0"/>
    <x v="0"/>
    <n v="200721.30000000002"/>
    <x v="0"/>
    <x v="0"/>
    <x v="0"/>
  </r>
  <r>
    <n v="70289"/>
    <x v="0"/>
    <x v="0"/>
    <n v="367"/>
    <n v="20"/>
    <n v="412.71"/>
    <x v="2"/>
    <d v="2024-12-09T00:00:00"/>
    <d v="2025-01-03T00:00:00"/>
    <x v="0"/>
    <x v="0"/>
    <n v="151464.57"/>
    <x v="0"/>
    <x v="0"/>
    <x v="0"/>
  </r>
  <r>
    <n v="58791"/>
    <x v="1"/>
    <x v="0"/>
    <n v="11"/>
    <n v="40"/>
    <n v="204.89"/>
    <x v="1"/>
    <d v="2024-08-31T00:00:00"/>
    <d v="2024-09-28T00:00:00"/>
    <x v="1"/>
    <x v="1"/>
    <n v="2253.79"/>
    <x v="56"/>
    <x v="1"/>
    <x v="1"/>
  </r>
  <r>
    <n v="19032"/>
    <x v="6"/>
    <x v="3"/>
    <n v="199"/>
    <n v="30"/>
    <n v="129.77000000000001"/>
    <x v="2"/>
    <d v="2024-10-02T00:00:00"/>
    <d v="2024-10-14T00:00:00"/>
    <x v="2"/>
    <x v="0"/>
    <n v="25824.230000000003"/>
    <x v="0"/>
    <x v="0"/>
    <x v="0"/>
  </r>
  <r>
    <n v="98365"/>
    <x v="9"/>
    <x v="1"/>
    <n v="7"/>
    <n v="80"/>
    <n v="297.42"/>
    <x v="1"/>
    <d v="2024-10-17T00:00:00"/>
    <d v="2024-11-13T00:00:00"/>
    <x v="0"/>
    <x v="1"/>
    <n v="2081.94"/>
    <x v="92"/>
    <x v="1"/>
    <x v="1"/>
  </r>
  <r>
    <n v="55028"/>
    <x v="10"/>
    <x v="2"/>
    <n v="307"/>
    <n v="50"/>
    <n v="56.4"/>
    <x v="3"/>
    <d v="2024-03-07T00:00:00"/>
    <d v="2024-03-30T00:00:00"/>
    <x v="2"/>
    <x v="0"/>
    <n v="17314.8"/>
    <x v="0"/>
    <x v="0"/>
    <x v="0"/>
  </r>
  <r>
    <n v="35557"/>
    <x v="12"/>
    <x v="0"/>
    <n v="53"/>
    <n v="30"/>
    <n v="110.61"/>
    <x v="4"/>
    <d v="2024-04-11T00:00:00"/>
    <d v="2024-05-10T00:00:00"/>
    <x v="2"/>
    <x v="0"/>
    <n v="5862.33"/>
    <x v="0"/>
    <x v="1"/>
    <x v="0"/>
  </r>
  <r>
    <n v="72028"/>
    <x v="12"/>
    <x v="0"/>
    <n v="376"/>
    <n v="50"/>
    <n v="86.37"/>
    <x v="4"/>
    <d v="2024-05-29T00:00:00"/>
    <d v="2024-06-23T00:00:00"/>
    <x v="2"/>
    <x v="0"/>
    <n v="32475.120000000003"/>
    <x v="0"/>
    <x v="0"/>
    <x v="0"/>
  </r>
  <r>
    <n v="24859"/>
    <x v="8"/>
    <x v="1"/>
    <n v="46"/>
    <n v="80"/>
    <n v="423.99"/>
    <x v="4"/>
    <d v="2024-02-28T00:00:00"/>
    <d v="2024-03-25T00:00:00"/>
    <x v="2"/>
    <x v="1"/>
    <n v="19503.54"/>
    <x v="38"/>
    <x v="1"/>
    <x v="1"/>
  </r>
  <r>
    <n v="51011"/>
    <x v="16"/>
    <x v="3"/>
    <n v="173"/>
    <n v="100"/>
    <n v="172.79"/>
    <x v="2"/>
    <d v="2024-12-27T00:00:00"/>
    <d v="2025-01-30T00:00:00"/>
    <x v="2"/>
    <x v="0"/>
    <n v="29892.67"/>
    <x v="0"/>
    <x v="1"/>
    <x v="0"/>
  </r>
  <r>
    <n v="95982"/>
    <x v="16"/>
    <x v="3"/>
    <n v="28"/>
    <n v="40"/>
    <n v="228.88"/>
    <x v="4"/>
    <d v="2024-10-05T00:00:00"/>
    <d v="2024-11-13T00:00:00"/>
    <x v="1"/>
    <x v="1"/>
    <n v="6408.6399999999994"/>
    <x v="50"/>
    <x v="1"/>
    <x v="1"/>
  </r>
  <r>
    <n v="19471"/>
    <x v="14"/>
    <x v="4"/>
    <n v="15"/>
    <n v="20"/>
    <n v="257.07"/>
    <x v="2"/>
    <d v="2024-09-06T00:00:00"/>
    <d v="2024-10-12T00:00:00"/>
    <x v="2"/>
    <x v="1"/>
    <n v="3856.0499999999997"/>
    <x v="18"/>
    <x v="1"/>
    <x v="1"/>
  </r>
  <r>
    <n v="30229"/>
    <x v="12"/>
    <x v="0"/>
    <n v="209"/>
    <n v="20"/>
    <n v="83.13"/>
    <x v="2"/>
    <d v="2024-08-08T00:00:00"/>
    <d v="2024-08-31T00:00:00"/>
    <x v="1"/>
    <x v="0"/>
    <n v="17374.169999999998"/>
    <x v="0"/>
    <x v="0"/>
    <x v="0"/>
  </r>
  <r>
    <n v="82571"/>
    <x v="11"/>
    <x v="4"/>
    <n v="109"/>
    <n v="50"/>
    <n v="210.35"/>
    <x v="4"/>
    <d v="2024-05-12T00:00:00"/>
    <d v="2024-06-19T00:00:00"/>
    <x v="1"/>
    <x v="0"/>
    <n v="22928.149999999998"/>
    <x v="0"/>
    <x v="1"/>
    <x v="0"/>
  </r>
  <r>
    <n v="13060"/>
    <x v="5"/>
    <x v="2"/>
    <n v="77"/>
    <n v="50"/>
    <n v="329.04"/>
    <x v="2"/>
    <d v="2024-10-26T00:00:00"/>
    <d v="2024-11-19T00:00:00"/>
    <x v="1"/>
    <x v="0"/>
    <n v="25336.080000000002"/>
    <x v="0"/>
    <x v="1"/>
    <x v="0"/>
  </r>
  <r>
    <n v="25141"/>
    <x v="3"/>
    <x v="2"/>
    <n v="476"/>
    <n v="100"/>
    <n v="154.24"/>
    <x v="1"/>
    <d v="2024-08-03T00:00:00"/>
    <d v="2024-08-30T00:00:00"/>
    <x v="1"/>
    <x v="0"/>
    <n v="73418.240000000005"/>
    <x v="0"/>
    <x v="0"/>
    <x v="0"/>
  </r>
  <r>
    <n v="12365"/>
    <x v="16"/>
    <x v="3"/>
    <n v="197"/>
    <n v="20"/>
    <n v="293.79000000000002"/>
    <x v="1"/>
    <d v="2024-11-27T00:00:00"/>
    <d v="2024-12-28T00:00:00"/>
    <x v="1"/>
    <x v="0"/>
    <n v="57876.630000000005"/>
    <x v="0"/>
    <x v="0"/>
    <x v="0"/>
  </r>
  <r>
    <n v="59396"/>
    <x v="6"/>
    <x v="3"/>
    <n v="447"/>
    <n v="150"/>
    <n v="149.76"/>
    <x v="3"/>
    <d v="2024-04-13T00:00:00"/>
    <d v="2024-05-17T00:00:00"/>
    <x v="0"/>
    <x v="0"/>
    <n v="66942.720000000001"/>
    <x v="0"/>
    <x v="1"/>
    <x v="0"/>
  </r>
  <r>
    <n v="11919"/>
    <x v="0"/>
    <x v="0"/>
    <n v="417"/>
    <n v="50"/>
    <n v="124.75"/>
    <x v="2"/>
    <d v="2024-01-25T00:00:00"/>
    <d v="2024-01-31T00:00:00"/>
    <x v="2"/>
    <x v="0"/>
    <n v="52020.75"/>
    <x v="0"/>
    <x v="0"/>
    <x v="0"/>
  </r>
  <r>
    <n v="93721"/>
    <x v="6"/>
    <x v="3"/>
    <n v="169"/>
    <n v="30"/>
    <n v="496.16"/>
    <x v="4"/>
    <d v="2024-02-01T00:00:00"/>
    <d v="2024-02-26T00:00:00"/>
    <x v="0"/>
    <x v="0"/>
    <n v="83851.040000000008"/>
    <x v="0"/>
    <x v="0"/>
    <x v="0"/>
  </r>
  <r>
    <n v="43910"/>
    <x v="6"/>
    <x v="3"/>
    <n v="144"/>
    <n v="20"/>
    <n v="460.53"/>
    <x v="4"/>
    <d v="2024-02-15T00:00:00"/>
    <d v="2024-02-27T00:00:00"/>
    <x v="1"/>
    <x v="0"/>
    <n v="66316.319999999992"/>
    <x v="0"/>
    <x v="0"/>
    <x v="0"/>
  </r>
  <r>
    <n v="80375"/>
    <x v="4"/>
    <x v="0"/>
    <n v="232"/>
    <n v="100"/>
    <n v="255.34"/>
    <x v="2"/>
    <d v="2024-09-06T00:00:00"/>
    <d v="2024-10-06T00:00:00"/>
    <x v="2"/>
    <x v="0"/>
    <n v="59238.879999999997"/>
    <x v="0"/>
    <x v="1"/>
    <x v="0"/>
  </r>
  <r>
    <n v="82534"/>
    <x v="5"/>
    <x v="2"/>
    <n v="84"/>
    <n v="150"/>
    <n v="104.41"/>
    <x v="1"/>
    <d v="2024-01-28T00:00:00"/>
    <d v="2024-03-01T00:00:00"/>
    <x v="1"/>
    <x v="1"/>
    <n v="8770.44"/>
    <x v="2"/>
    <x v="1"/>
    <x v="1"/>
  </r>
  <r>
    <n v="31818"/>
    <x v="7"/>
    <x v="3"/>
    <n v="174"/>
    <n v="30"/>
    <n v="7.16"/>
    <x v="1"/>
    <d v="2024-11-26T00:00:00"/>
    <d v="2024-12-11T00:00:00"/>
    <x v="1"/>
    <x v="0"/>
    <n v="1245.8399999999999"/>
    <x v="0"/>
    <x v="0"/>
    <x v="0"/>
  </r>
  <r>
    <n v="57037"/>
    <x v="13"/>
    <x v="3"/>
    <n v="112"/>
    <n v="80"/>
    <n v="224.24"/>
    <x v="2"/>
    <d v="2024-10-15T00:00:00"/>
    <d v="2024-11-21T00:00:00"/>
    <x v="2"/>
    <x v="0"/>
    <n v="25114.880000000001"/>
    <x v="0"/>
    <x v="1"/>
    <x v="0"/>
  </r>
  <r>
    <n v="18798"/>
    <x v="0"/>
    <x v="0"/>
    <n v="398"/>
    <n v="50"/>
    <n v="54.33"/>
    <x v="2"/>
    <d v="2024-07-14T00:00:00"/>
    <d v="2024-08-17T00:00:00"/>
    <x v="1"/>
    <x v="0"/>
    <n v="21623.34"/>
    <x v="0"/>
    <x v="0"/>
    <x v="0"/>
  </r>
  <r>
    <n v="28452"/>
    <x v="0"/>
    <x v="0"/>
    <n v="190"/>
    <n v="20"/>
    <n v="30.68"/>
    <x v="2"/>
    <d v="2024-06-09T00:00:00"/>
    <d v="2024-07-06T00:00:00"/>
    <x v="0"/>
    <x v="0"/>
    <n v="5829.2"/>
    <x v="0"/>
    <x v="0"/>
    <x v="0"/>
  </r>
  <r>
    <n v="21805"/>
    <x v="14"/>
    <x v="4"/>
    <n v="125"/>
    <n v="40"/>
    <n v="15.15"/>
    <x v="4"/>
    <d v="2024-02-17T00:00:00"/>
    <d v="2024-03-06T00:00:00"/>
    <x v="0"/>
    <x v="0"/>
    <n v="1893.75"/>
    <x v="0"/>
    <x v="0"/>
    <x v="0"/>
  </r>
  <r>
    <n v="20985"/>
    <x v="11"/>
    <x v="4"/>
    <n v="257"/>
    <n v="150"/>
    <n v="389.59"/>
    <x v="3"/>
    <d v="2024-09-26T00:00:00"/>
    <d v="2024-10-06T00:00:00"/>
    <x v="0"/>
    <x v="0"/>
    <n v="100124.62999999999"/>
    <x v="0"/>
    <x v="1"/>
    <x v="0"/>
  </r>
  <r>
    <n v="95818"/>
    <x v="7"/>
    <x v="3"/>
    <n v="267"/>
    <n v="20"/>
    <n v="368.82"/>
    <x v="4"/>
    <d v="2024-08-27T00:00:00"/>
    <d v="2024-09-25T00:00:00"/>
    <x v="0"/>
    <x v="0"/>
    <n v="98474.94"/>
    <x v="0"/>
    <x v="0"/>
    <x v="0"/>
  </r>
  <r>
    <n v="95782"/>
    <x v="2"/>
    <x v="1"/>
    <n v="426"/>
    <n v="20"/>
    <n v="7.93"/>
    <x v="2"/>
    <d v="2024-05-21T00:00:00"/>
    <d v="2024-05-31T00:00:00"/>
    <x v="1"/>
    <x v="0"/>
    <n v="3378.18"/>
    <x v="0"/>
    <x v="0"/>
    <x v="0"/>
  </r>
  <r>
    <n v="54732"/>
    <x v="0"/>
    <x v="0"/>
    <n v="355"/>
    <n v="150"/>
    <n v="89.81"/>
    <x v="3"/>
    <d v="2024-03-03T00:00:00"/>
    <d v="2024-03-15T00:00:00"/>
    <x v="2"/>
    <x v="0"/>
    <n v="31882.55"/>
    <x v="0"/>
    <x v="1"/>
    <x v="0"/>
  </r>
  <r>
    <n v="82743"/>
    <x v="12"/>
    <x v="0"/>
    <n v="227"/>
    <n v="50"/>
    <n v="61.7"/>
    <x v="4"/>
    <d v="2024-01-22T00:00:00"/>
    <d v="2024-02-18T00:00:00"/>
    <x v="1"/>
    <x v="0"/>
    <n v="14005.900000000001"/>
    <x v="0"/>
    <x v="0"/>
    <x v="0"/>
  </r>
  <r>
    <n v="46303"/>
    <x v="5"/>
    <x v="2"/>
    <n v="132"/>
    <n v="150"/>
    <n v="493.61"/>
    <x v="4"/>
    <d v="2024-03-24T00:00:00"/>
    <d v="2024-04-30T00:00:00"/>
    <x v="1"/>
    <x v="1"/>
    <n v="65156.520000000004"/>
    <x v="12"/>
    <x v="1"/>
    <x v="1"/>
  </r>
  <r>
    <n v="67988"/>
    <x v="15"/>
    <x v="4"/>
    <n v="165"/>
    <n v="80"/>
    <n v="438.18"/>
    <x v="1"/>
    <d v="2024-08-13T00:00:00"/>
    <d v="2024-09-08T00:00:00"/>
    <x v="2"/>
    <x v="0"/>
    <n v="72299.7"/>
    <x v="0"/>
    <x v="1"/>
    <x v="0"/>
  </r>
  <r>
    <n v="72040"/>
    <x v="12"/>
    <x v="0"/>
    <n v="222"/>
    <n v="40"/>
    <n v="228.02"/>
    <x v="4"/>
    <d v="2024-09-06T00:00:00"/>
    <d v="2024-10-05T00:00:00"/>
    <x v="0"/>
    <x v="0"/>
    <n v="50620.44"/>
    <x v="0"/>
    <x v="0"/>
    <x v="0"/>
  </r>
  <r>
    <n v="46572"/>
    <x v="16"/>
    <x v="3"/>
    <n v="246"/>
    <n v="100"/>
    <n v="215.65"/>
    <x v="3"/>
    <d v="2024-12-08T00:00:00"/>
    <d v="2024-12-16T00:00:00"/>
    <x v="2"/>
    <x v="0"/>
    <n v="53049.9"/>
    <x v="0"/>
    <x v="1"/>
    <x v="0"/>
  </r>
  <r>
    <n v="19862"/>
    <x v="7"/>
    <x v="3"/>
    <n v="288"/>
    <n v="20"/>
    <n v="348.45"/>
    <x v="2"/>
    <d v="2024-09-08T00:00:00"/>
    <d v="2024-10-04T00:00:00"/>
    <x v="0"/>
    <x v="0"/>
    <n v="100353.59999999999"/>
    <x v="0"/>
    <x v="0"/>
    <x v="0"/>
  </r>
  <r>
    <n v="29323"/>
    <x v="10"/>
    <x v="2"/>
    <n v="216"/>
    <n v="30"/>
    <n v="278.95"/>
    <x v="0"/>
    <d v="2024-09-12T00:00:00"/>
    <d v="2024-09-28T00:00:00"/>
    <x v="2"/>
    <x v="0"/>
    <n v="60253.2"/>
    <x v="0"/>
    <x v="0"/>
    <x v="0"/>
  </r>
  <r>
    <n v="33382"/>
    <x v="16"/>
    <x v="3"/>
    <n v="418"/>
    <n v="20"/>
    <n v="322.95"/>
    <x v="2"/>
    <d v="2024-03-04T00:00:00"/>
    <d v="2024-03-12T00:00:00"/>
    <x v="1"/>
    <x v="0"/>
    <n v="134993.1"/>
    <x v="0"/>
    <x v="0"/>
    <x v="0"/>
  </r>
  <r>
    <n v="26292"/>
    <x v="0"/>
    <x v="0"/>
    <n v="340"/>
    <n v="80"/>
    <n v="488.97"/>
    <x v="1"/>
    <d v="2024-06-28T00:00:00"/>
    <d v="2024-08-03T00:00:00"/>
    <x v="1"/>
    <x v="0"/>
    <n v="166249.80000000002"/>
    <x v="0"/>
    <x v="0"/>
    <x v="0"/>
  </r>
  <r>
    <n v="59648"/>
    <x v="0"/>
    <x v="0"/>
    <n v="368"/>
    <n v="20"/>
    <n v="426.81"/>
    <x v="3"/>
    <d v="2024-03-10T00:00:00"/>
    <d v="2024-03-31T00:00:00"/>
    <x v="0"/>
    <x v="0"/>
    <n v="157066.07999999999"/>
    <x v="0"/>
    <x v="0"/>
    <x v="0"/>
  </r>
  <r>
    <n v="32072"/>
    <x v="10"/>
    <x v="2"/>
    <n v="214"/>
    <n v="20"/>
    <n v="146.9"/>
    <x v="0"/>
    <d v="2024-07-24T00:00:00"/>
    <d v="2024-08-14T00:00:00"/>
    <x v="0"/>
    <x v="0"/>
    <n v="31436.600000000002"/>
    <x v="0"/>
    <x v="0"/>
    <x v="0"/>
  </r>
  <r>
    <n v="28781"/>
    <x v="8"/>
    <x v="1"/>
    <n v="493"/>
    <n v="40"/>
    <n v="386.39"/>
    <x v="0"/>
    <d v="2024-01-06T00:00:00"/>
    <d v="2024-02-12T00:00:00"/>
    <x v="1"/>
    <x v="0"/>
    <n v="190490.27"/>
    <x v="0"/>
    <x v="0"/>
    <x v="0"/>
  </r>
  <r>
    <n v="43746"/>
    <x v="15"/>
    <x v="4"/>
    <n v="402"/>
    <n v="40"/>
    <n v="60.86"/>
    <x v="1"/>
    <d v="2024-03-08T00:00:00"/>
    <d v="2024-04-01T00:00:00"/>
    <x v="1"/>
    <x v="0"/>
    <n v="24465.72"/>
    <x v="0"/>
    <x v="0"/>
    <x v="0"/>
  </r>
  <r>
    <n v="76483"/>
    <x v="2"/>
    <x v="1"/>
    <n v="195"/>
    <n v="100"/>
    <n v="187.2"/>
    <x v="1"/>
    <d v="2024-04-21T00:00:00"/>
    <d v="2024-05-02T00:00:00"/>
    <x v="2"/>
    <x v="0"/>
    <n v="36504"/>
    <x v="0"/>
    <x v="1"/>
    <x v="0"/>
  </r>
  <r>
    <n v="28677"/>
    <x v="10"/>
    <x v="2"/>
    <n v="316"/>
    <n v="50"/>
    <n v="262.68"/>
    <x v="3"/>
    <d v="2024-11-01T00:00:00"/>
    <d v="2024-11-21T00:00:00"/>
    <x v="2"/>
    <x v="0"/>
    <n v="83006.880000000005"/>
    <x v="0"/>
    <x v="0"/>
    <x v="0"/>
  </r>
  <r>
    <n v="59323"/>
    <x v="7"/>
    <x v="3"/>
    <n v="9"/>
    <n v="20"/>
    <n v="76.92"/>
    <x v="3"/>
    <d v="2024-09-20T00:00:00"/>
    <d v="2024-10-15T00:00:00"/>
    <x v="1"/>
    <x v="1"/>
    <n v="692.28"/>
    <x v="52"/>
    <x v="1"/>
    <x v="1"/>
  </r>
  <r>
    <n v="76697"/>
    <x v="14"/>
    <x v="4"/>
    <n v="349"/>
    <n v="50"/>
    <n v="476.8"/>
    <x v="0"/>
    <d v="2024-02-03T00:00:00"/>
    <d v="2024-02-15T00:00:00"/>
    <x v="2"/>
    <x v="0"/>
    <n v="166403.20000000001"/>
    <x v="0"/>
    <x v="0"/>
    <x v="0"/>
  </r>
  <r>
    <n v="68150"/>
    <x v="8"/>
    <x v="1"/>
    <n v="401"/>
    <n v="100"/>
    <n v="357.01"/>
    <x v="4"/>
    <d v="2024-02-15T00:00:00"/>
    <d v="2024-03-13T00:00:00"/>
    <x v="1"/>
    <x v="0"/>
    <n v="143161.01"/>
    <x v="0"/>
    <x v="0"/>
    <x v="0"/>
  </r>
  <r>
    <n v="15594"/>
    <x v="1"/>
    <x v="0"/>
    <n v="15"/>
    <n v="150"/>
    <n v="413.22"/>
    <x v="4"/>
    <d v="2024-05-20T00:00:00"/>
    <d v="2024-06-02T00:00:00"/>
    <x v="0"/>
    <x v="1"/>
    <n v="6198.3"/>
    <x v="93"/>
    <x v="1"/>
    <x v="1"/>
  </r>
  <r>
    <n v="56798"/>
    <x v="5"/>
    <x v="2"/>
    <n v="370"/>
    <n v="150"/>
    <n v="360.63"/>
    <x v="3"/>
    <d v="2024-09-24T00:00:00"/>
    <d v="2024-10-21T00:00:00"/>
    <x v="0"/>
    <x v="0"/>
    <n v="133433.1"/>
    <x v="0"/>
    <x v="1"/>
    <x v="0"/>
  </r>
  <r>
    <n v="63365"/>
    <x v="6"/>
    <x v="3"/>
    <n v="357"/>
    <n v="80"/>
    <n v="168.74"/>
    <x v="4"/>
    <d v="2024-07-11T00:00:00"/>
    <d v="2024-07-20T00:00:00"/>
    <x v="1"/>
    <x v="0"/>
    <n v="60240.18"/>
    <x v="0"/>
    <x v="0"/>
    <x v="0"/>
  </r>
  <r>
    <n v="78247"/>
    <x v="7"/>
    <x v="3"/>
    <n v="127"/>
    <n v="50"/>
    <n v="40.159999999999997"/>
    <x v="4"/>
    <d v="2024-11-05T00:00:00"/>
    <d v="2024-11-19T00:00:00"/>
    <x v="0"/>
    <x v="0"/>
    <n v="5100.32"/>
    <x v="0"/>
    <x v="1"/>
    <x v="0"/>
  </r>
  <r>
    <n v="96135"/>
    <x v="1"/>
    <x v="0"/>
    <n v="56"/>
    <n v="40"/>
    <n v="408.08"/>
    <x v="2"/>
    <d v="2024-05-29T00:00:00"/>
    <d v="2024-06-06T00:00:00"/>
    <x v="1"/>
    <x v="0"/>
    <n v="22852.48"/>
    <x v="0"/>
    <x v="1"/>
    <x v="0"/>
  </r>
  <r>
    <n v="62800"/>
    <x v="3"/>
    <x v="2"/>
    <n v="297"/>
    <n v="150"/>
    <n v="72.03"/>
    <x v="4"/>
    <d v="2024-01-02T00:00:00"/>
    <d v="2024-01-30T00:00:00"/>
    <x v="0"/>
    <x v="0"/>
    <n v="21392.91"/>
    <x v="0"/>
    <x v="1"/>
    <x v="0"/>
  </r>
  <r>
    <n v="63871"/>
    <x v="7"/>
    <x v="3"/>
    <n v="246"/>
    <n v="30"/>
    <n v="266.25"/>
    <x v="3"/>
    <d v="2024-04-12T00:00:00"/>
    <d v="2024-04-19T00:00:00"/>
    <x v="1"/>
    <x v="0"/>
    <n v="65497.5"/>
    <x v="0"/>
    <x v="0"/>
    <x v="0"/>
  </r>
  <r>
    <n v="65773"/>
    <x v="12"/>
    <x v="0"/>
    <n v="442"/>
    <n v="150"/>
    <n v="431.77"/>
    <x v="3"/>
    <d v="2024-09-14T00:00:00"/>
    <d v="2024-10-18T00:00:00"/>
    <x v="1"/>
    <x v="0"/>
    <n v="190842.34"/>
    <x v="0"/>
    <x v="1"/>
    <x v="0"/>
  </r>
  <r>
    <n v="86816"/>
    <x v="7"/>
    <x v="3"/>
    <n v="448"/>
    <n v="100"/>
    <n v="481.07"/>
    <x v="2"/>
    <d v="2024-05-17T00:00:00"/>
    <d v="2024-06-16T00:00:00"/>
    <x v="0"/>
    <x v="0"/>
    <n v="215519.35999999999"/>
    <x v="0"/>
    <x v="0"/>
    <x v="0"/>
  </r>
  <r>
    <n v="60870"/>
    <x v="12"/>
    <x v="0"/>
    <n v="429"/>
    <n v="50"/>
    <n v="129.88"/>
    <x v="1"/>
    <d v="2024-04-06T00:00:00"/>
    <d v="2024-05-06T00:00:00"/>
    <x v="0"/>
    <x v="0"/>
    <n v="55718.52"/>
    <x v="0"/>
    <x v="0"/>
    <x v="0"/>
  </r>
  <r>
    <n v="95961"/>
    <x v="5"/>
    <x v="2"/>
    <n v="359"/>
    <n v="50"/>
    <n v="269.29000000000002"/>
    <x v="1"/>
    <d v="2024-12-27T00:00:00"/>
    <d v="2025-01-05T00:00:00"/>
    <x v="0"/>
    <x v="0"/>
    <n v="96675.11"/>
    <x v="0"/>
    <x v="0"/>
    <x v="0"/>
  </r>
  <r>
    <n v="99062"/>
    <x v="3"/>
    <x v="2"/>
    <n v="445"/>
    <n v="20"/>
    <n v="36.17"/>
    <x v="3"/>
    <d v="2024-09-14T00:00:00"/>
    <d v="2024-09-20T00:00:00"/>
    <x v="2"/>
    <x v="0"/>
    <n v="16095.650000000001"/>
    <x v="0"/>
    <x v="0"/>
    <x v="0"/>
  </r>
  <r>
    <n v="69004"/>
    <x v="4"/>
    <x v="0"/>
    <n v="41"/>
    <n v="50"/>
    <n v="250.56"/>
    <x v="1"/>
    <d v="2024-06-21T00:00:00"/>
    <d v="2024-07-06T00:00:00"/>
    <x v="1"/>
    <x v="1"/>
    <n v="10272.960000000001"/>
    <x v="79"/>
    <x v="1"/>
    <x v="1"/>
  </r>
  <r>
    <n v="30754"/>
    <x v="16"/>
    <x v="3"/>
    <n v="304"/>
    <n v="50"/>
    <n v="203.89"/>
    <x v="3"/>
    <d v="2024-07-19T00:00:00"/>
    <d v="2024-07-29T00:00:00"/>
    <x v="1"/>
    <x v="0"/>
    <n v="61982.559999999998"/>
    <x v="0"/>
    <x v="0"/>
    <x v="0"/>
  </r>
  <r>
    <n v="11924"/>
    <x v="13"/>
    <x v="3"/>
    <n v="464"/>
    <n v="40"/>
    <n v="90.24"/>
    <x v="2"/>
    <d v="2024-03-05T00:00:00"/>
    <d v="2024-03-16T00:00:00"/>
    <x v="2"/>
    <x v="0"/>
    <n v="41871.360000000001"/>
    <x v="0"/>
    <x v="0"/>
    <x v="0"/>
  </r>
  <r>
    <n v="10306"/>
    <x v="10"/>
    <x v="2"/>
    <n v="228"/>
    <n v="50"/>
    <n v="103.94"/>
    <x v="4"/>
    <d v="2024-08-05T00:00:00"/>
    <d v="2024-08-24T00:00:00"/>
    <x v="1"/>
    <x v="0"/>
    <n v="23698.32"/>
    <x v="0"/>
    <x v="0"/>
    <x v="0"/>
  </r>
  <r>
    <n v="55704"/>
    <x v="8"/>
    <x v="1"/>
    <n v="414"/>
    <n v="20"/>
    <n v="61.4"/>
    <x v="0"/>
    <d v="2024-07-27T00:00:00"/>
    <d v="2024-09-03T00:00:00"/>
    <x v="0"/>
    <x v="0"/>
    <n v="25419.599999999999"/>
    <x v="0"/>
    <x v="0"/>
    <x v="0"/>
  </r>
  <r>
    <n v="88563"/>
    <x v="16"/>
    <x v="3"/>
    <n v="332"/>
    <n v="20"/>
    <n v="408.03"/>
    <x v="2"/>
    <d v="2024-02-16T00:00:00"/>
    <d v="2024-02-24T00:00:00"/>
    <x v="2"/>
    <x v="0"/>
    <n v="135465.96"/>
    <x v="0"/>
    <x v="0"/>
    <x v="0"/>
  </r>
  <r>
    <n v="14781"/>
    <x v="0"/>
    <x v="0"/>
    <n v="125"/>
    <n v="100"/>
    <n v="51.18"/>
    <x v="3"/>
    <d v="2024-05-19T00:00:00"/>
    <d v="2024-05-26T00:00:00"/>
    <x v="2"/>
    <x v="0"/>
    <n v="6397.5"/>
    <x v="0"/>
    <x v="1"/>
    <x v="0"/>
  </r>
  <r>
    <n v="17549"/>
    <x v="4"/>
    <x v="0"/>
    <n v="111"/>
    <n v="100"/>
    <n v="466.76"/>
    <x v="0"/>
    <d v="2024-04-19T00:00:00"/>
    <d v="2024-04-26T00:00:00"/>
    <x v="1"/>
    <x v="0"/>
    <n v="51810.36"/>
    <x v="0"/>
    <x v="1"/>
    <x v="0"/>
  </r>
  <r>
    <n v="93402"/>
    <x v="4"/>
    <x v="0"/>
    <n v="324"/>
    <n v="30"/>
    <n v="471.29"/>
    <x v="0"/>
    <d v="2024-12-20T00:00:00"/>
    <d v="2025-01-25T00:00:00"/>
    <x v="1"/>
    <x v="0"/>
    <n v="152697.96000000002"/>
    <x v="0"/>
    <x v="0"/>
    <x v="0"/>
  </r>
  <r>
    <n v="96839"/>
    <x v="7"/>
    <x v="3"/>
    <n v="189"/>
    <n v="30"/>
    <n v="296.69"/>
    <x v="2"/>
    <d v="2024-02-02T00:00:00"/>
    <d v="2024-02-19T00:00:00"/>
    <x v="2"/>
    <x v="0"/>
    <n v="56074.409999999996"/>
    <x v="0"/>
    <x v="0"/>
    <x v="0"/>
  </r>
  <r>
    <n v="76266"/>
    <x v="3"/>
    <x v="2"/>
    <n v="426"/>
    <n v="50"/>
    <n v="262.81"/>
    <x v="3"/>
    <d v="2024-09-12T00:00:00"/>
    <d v="2024-09-28T00:00:00"/>
    <x v="0"/>
    <x v="0"/>
    <n v="111957.06"/>
    <x v="0"/>
    <x v="0"/>
    <x v="0"/>
  </r>
  <r>
    <n v="97977"/>
    <x v="15"/>
    <x v="4"/>
    <n v="2"/>
    <n v="50"/>
    <n v="464.33"/>
    <x v="0"/>
    <d v="2024-06-24T00:00:00"/>
    <d v="2024-07-01T00:00:00"/>
    <x v="2"/>
    <x v="1"/>
    <n v="928.66"/>
    <x v="39"/>
    <x v="1"/>
    <x v="1"/>
  </r>
  <r>
    <n v="57445"/>
    <x v="12"/>
    <x v="0"/>
    <n v="351"/>
    <n v="50"/>
    <n v="67.61"/>
    <x v="0"/>
    <d v="2024-08-23T00:00:00"/>
    <d v="2024-09-09T00:00:00"/>
    <x v="1"/>
    <x v="0"/>
    <n v="23731.11"/>
    <x v="0"/>
    <x v="0"/>
    <x v="0"/>
  </r>
  <r>
    <n v="41704"/>
    <x v="0"/>
    <x v="0"/>
    <n v="493"/>
    <n v="30"/>
    <n v="226.75"/>
    <x v="0"/>
    <d v="2024-05-04T00:00:00"/>
    <d v="2024-05-29T00:00:00"/>
    <x v="1"/>
    <x v="0"/>
    <n v="111787.75"/>
    <x v="0"/>
    <x v="0"/>
    <x v="0"/>
  </r>
  <r>
    <n v="87338"/>
    <x v="0"/>
    <x v="0"/>
    <n v="430"/>
    <n v="100"/>
    <n v="166.97"/>
    <x v="3"/>
    <d v="2024-07-30T00:00:00"/>
    <d v="2024-08-22T00:00:00"/>
    <x v="2"/>
    <x v="0"/>
    <n v="71797.100000000006"/>
    <x v="0"/>
    <x v="0"/>
    <x v="0"/>
  </r>
  <r>
    <n v="65415"/>
    <x v="12"/>
    <x v="0"/>
    <n v="220"/>
    <n v="150"/>
    <n v="220.16"/>
    <x v="3"/>
    <d v="2024-09-22T00:00:00"/>
    <d v="2024-10-11T00:00:00"/>
    <x v="1"/>
    <x v="0"/>
    <n v="48435.199999999997"/>
    <x v="0"/>
    <x v="1"/>
    <x v="0"/>
  </r>
  <r>
    <n v="80022"/>
    <x v="10"/>
    <x v="2"/>
    <n v="324"/>
    <n v="30"/>
    <n v="148.13999999999999"/>
    <x v="4"/>
    <d v="2024-03-12T00:00:00"/>
    <d v="2024-03-21T00:00:00"/>
    <x v="0"/>
    <x v="0"/>
    <n v="47997.359999999993"/>
    <x v="0"/>
    <x v="0"/>
    <x v="0"/>
  </r>
  <r>
    <n v="13420"/>
    <x v="1"/>
    <x v="0"/>
    <n v="47"/>
    <n v="20"/>
    <n v="16.739999999999998"/>
    <x v="2"/>
    <d v="2024-11-21T00:00:00"/>
    <d v="2024-12-11T00:00:00"/>
    <x v="2"/>
    <x v="0"/>
    <n v="786.78"/>
    <x v="0"/>
    <x v="1"/>
    <x v="0"/>
  </r>
  <r>
    <n v="74973"/>
    <x v="7"/>
    <x v="3"/>
    <n v="317"/>
    <n v="20"/>
    <n v="467.73"/>
    <x v="2"/>
    <d v="2024-08-20T00:00:00"/>
    <d v="2024-09-22T00:00:00"/>
    <x v="2"/>
    <x v="0"/>
    <n v="148270.41"/>
    <x v="0"/>
    <x v="0"/>
    <x v="0"/>
  </r>
  <r>
    <n v="31326"/>
    <x v="4"/>
    <x v="0"/>
    <n v="236"/>
    <n v="80"/>
    <n v="276.68"/>
    <x v="3"/>
    <d v="2024-10-03T00:00:00"/>
    <d v="2024-10-23T00:00:00"/>
    <x v="0"/>
    <x v="0"/>
    <n v="65296.480000000003"/>
    <x v="0"/>
    <x v="1"/>
    <x v="0"/>
  </r>
  <r>
    <n v="67492"/>
    <x v="13"/>
    <x v="3"/>
    <n v="229"/>
    <n v="40"/>
    <n v="472"/>
    <x v="0"/>
    <d v="2024-02-05T00:00:00"/>
    <d v="2024-03-13T00:00:00"/>
    <x v="1"/>
    <x v="0"/>
    <n v="108088"/>
    <x v="0"/>
    <x v="0"/>
    <x v="0"/>
  </r>
  <r>
    <n v="40314"/>
    <x v="13"/>
    <x v="3"/>
    <n v="95"/>
    <n v="30"/>
    <n v="249.3"/>
    <x v="2"/>
    <d v="2024-10-04T00:00:00"/>
    <d v="2024-10-25T00:00:00"/>
    <x v="0"/>
    <x v="0"/>
    <n v="23683.5"/>
    <x v="0"/>
    <x v="0"/>
    <x v="0"/>
  </r>
  <r>
    <n v="31946"/>
    <x v="10"/>
    <x v="2"/>
    <n v="408"/>
    <n v="30"/>
    <n v="279.86"/>
    <x v="4"/>
    <d v="2024-06-29T00:00:00"/>
    <d v="2024-07-20T00:00:00"/>
    <x v="1"/>
    <x v="0"/>
    <n v="114182.88"/>
    <x v="0"/>
    <x v="0"/>
    <x v="0"/>
  </r>
  <r>
    <n v="97938"/>
    <x v="4"/>
    <x v="0"/>
    <n v="90"/>
    <n v="100"/>
    <n v="251.94"/>
    <x v="0"/>
    <d v="2024-01-05T00:00:00"/>
    <d v="2024-01-27T00:00:00"/>
    <x v="2"/>
    <x v="1"/>
    <n v="22674.6"/>
    <x v="60"/>
    <x v="1"/>
    <x v="1"/>
  </r>
  <r>
    <n v="46394"/>
    <x v="2"/>
    <x v="1"/>
    <n v="114"/>
    <n v="150"/>
    <n v="93.23"/>
    <x v="0"/>
    <d v="2024-07-25T00:00:00"/>
    <d v="2024-08-31T00:00:00"/>
    <x v="0"/>
    <x v="1"/>
    <n v="10628.220000000001"/>
    <x v="86"/>
    <x v="1"/>
    <x v="1"/>
  </r>
  <r>
    <n v="16765"/>
    <x v="8"/>
    <x v="1"/>
    <n v="388"/>
    <n v="80"/>
    <n v="318.18"/>
    <x v="0"/>
    <d v="2024-04-26T00:00:00"/>
    <d v="2024-05-06T00:00:00"/>
    <x v="0"/>
    <x v="0"/>
    <n v="123453.84"/>
    <x v="0"/>
    <x v="0"/>
    <x v="0"/>
  </r>
  <r>
    <n v="60304"/>
    <x v="10"/>
    <x v="2"/>
    <n v="136"/>
    <n v="40"/>
    <n v="33.86"/>
    <x v="3"/>
    <d v="2024-06-19T00:00:00"/>
    <d v="2024-07-20T00:00:00"/>
    <x v="0"/>
    <x v="0"/>
    <n v="4604.96"/>
    <x v="0"/>
    <x v="0"/>
    <x v="0"/>
  </r>
  <r>
    <n v="52548"/>
    <x v="3"/>
    <x v="2"/>
    <n v="217"/>
    <n v="150"/>
    <n v="411.99"/>
    <x v="1"/>
    <d v="2024-12-11T00:00:00"/>
    <d v="2025-01-12T00:00:00"/>
    <x v="0"/>
    <x v="0"/>
    <n v="89401.83"/>
    <x v="0"/>
    <x v="1"/>
    <x v="0"/>
  </r>
  <r>
    <n v="49846"/>
    <x v="12"/>
    <x v="0"/>
    <n v="363"/>
    <n v="100"/>
    <n v="427.9"/>
    <x v="0"/>
    <d v="2024-10-24T00:00:00"/>
    <d v="2024-11-24T00:00:00"/>
    <x v="0"/>
    <x v="0"/>
    <n v="155327.69999999998"/>
    <x v="0"/>
    <x v="0"/>
    <x v="0"/>
  </r>
  <r>
    <n v="28996"/>
    <x v="7"/>
    <x v="3"/>
    <n v="23"/>
    <n v="50"/>
    <n v="39.35"/>
    <x v="1"/>
    <d v="2024-03-06T00:00:00"/>
    <d v="2024-03-24T00:00:00"/>
    <x v="1"/>
    <x v="1"/>
    <n v="905.05000000000007"/>
    <x v="36"/>
    <x v="1"/>
    <x v="1"/>
  </r>
  <r>
    <n v="37690"/>
    <x v="15"/>
    <x v="4"/>
    <n v="103"/>
    <n v="80"/>
    <n v="390.1"/>
    <x v="0"/>
    <d v="2024-10-08T00:00:00"/>
    <d v="2024-10-24T00:00:00"/>
    <x v="2"/>
    <x v="0"/>
    <n v="40180.300000000003"/>
    <x v="0"/>
    <x v="1"/>
    <x v="0"/>
  </r>
  <r>
    <n v="57606"/>
    <x v="5"/>
    <x v="2"/>
    <n v="236"/>
    <n v="50"/>
    <n v="19.59"/>
    <x v="3"/>
    <d v="2024-04-24T00:00:00"/>
    <d v="2024-05-25T00:00:00"/>
    <x v="1"/>
    <x v="0"/>
    <n v="4623.24"/>
    <x v="0"/>
    <x v="0"/>
    <x v="0"/>
  </r>
  <r>
    <n v="93697"/>
    <x v="15"/>
    <x v="4"/>
    <n v="499"/>
    <n v="150"/>
    <n v="456.68"/>
    <x v="4"/>
    <d v="2024-03-07T00:00:00"/>
    <d v="2024-03-21T00:00:00"/>
    <x v="0"/>
    <x v="0"/>
    <n v="227883.32"/>
    <x v="0"/>
    <x v="0"/>
    <x v="0"/>
  </r>
  <r>
    <n v="27333"/>
    <x v="6"/>
    <x v="3"/>
    <n v="86"/>
    <n v="20"/>
    <n v="364.86"/>
    <x v="3"/>
    <d v="2024-08-01T00:00:00"/>
    <d v="2024-09-01T00:00:00"/>
    <x v="1"/>
    <x v="0"/>
    <n v="31377.960000000003"/>
    <x v="0"/>
    <x v="0"/>
    <x v="0"/>
  </r>
  <r>
    <n v="96153"/>
    <x v="5"/>
    <x v="2"/>
    <n v="258"/>
    <n v="40"/>
    <n v="421.55"/>
    <x v="3"/>
    <d v="2024-07-09T00:00:00"/>
    <d v="2024-07-30T00:00:00"/>
    <x v="2"/>
    <x v="0"/>
    <n v="108759.90000000001"/>
    <x v="0"/>
    <x v="0"/>
    <x v="0"/>
  </r>
  <r>
    <n v="13952"/>
    <x v="8"/>
    <x v="1"/>
    <n v="355"/>
    <n v="80"/>
    <n v="300.33"/>
    <x v="3"/>
    <d v="2024-12-10T00:00:00"/>
    <d v="2025-01-03T00:00:00"/>
    <x v="2"/>
    <x v="0"/>
    <n v="106617.15"/>
    <x v="0"/>
    <x v="0"/>
    <x v="0"/>
  </r>
  <r>
    <n v="35957"/>
    <x v="7"/>
    <x v="3"/>
    <n v="476"/>
    <n v="80"/>
    <n v="301.10000000000002"/>
    <x v="4"/>
    <d v="2024-01-16T00:00:00"/>
    <d v="2024-02-19T00:00:00"/>
    <x v="1"/>
    <x v="0"/>
    <n v="143323.6"/>
    <x v="0"/>
    <x v="0"/>
    <x v="0"/>
  </r>
  <r>
    <n v="67757"/>
    <x v="7"/>
    <x v="3"/>
    <n v="454"/>
    <n v="30"/>
    <n v="293.58"/>
    <x v="3"/>
    <d v="2024-10-31T00:00:00"/>
    <d v="2024-11-17T00:00:00"/>
    <x v="0"/>
    <x v="0"/>
    <n v="133285.32"/>
    <x v="0"/>
    <x v="0"/>
    <x v="0"/>
  </r>
  <r>
    <n v="67732"/>
    <x v="12"/>
    <x v="0"/>
    <n v="212"/>
    <n v="50"/>
    <n v="281.56"/>
    <x v="1"/>
    <d v="2024-10-02T00:00:00"/>
    <d v="2024-11-09T00:00:00"/>
    <x v="1"/>
    <x v="0"/>
    <n v="59690.720000000001"/>
    <x v="0"/>
    <x v="0"/>
    <x v="0"/>
  </r>
  <r>
    <n v="76299"/>
    <x v="10"/>
    <x v="2"/>
    <n v="184"/>
    <n v="40"/>
    <n v="499.75"/>
    <x v="1"/>
    <d v="2024-12-07T00:00:00"/>
    <d v="2024-12-31T00:00:00"/>
    <x v="1"/>
    <x v="0"/>
    <n v="91954"/>
    <x v="0"/>
    <x v="0"/>
    <x v="0"/>
  </r>
  <r>
    <n v="19395"/>
    <x v="0"/>
    <x v="0"/>
    <n v="302"/>
    <n v="50"/>
    <n v="485.43"/>
    <x v="3"/>
    <d v="2024-06-02T00:00:00"/>
    <d v="2024-06-20T00:00:00"/>
    <x v="2"/>
    <x v="0"/>
    <n v="146599.86000000002"/>
    <x v="0"/>
    <x v="0"/>
    <x v="0"/>
  </r>
  <r>
    <n v="13664"/>
    <x v="10"/>
    <x v="2"/>
    <n v="59"/>
    <n v="30"/>
    <n v="193.2"/>
    <x v="3"/>
    <d v="2024-01-21T00:00:00"/>
    <d v="2024-02-21T00:00:00"/>
    <x v="1"/>
    <x v="0"/>
    <n v="11398.8"/>
    <x v="0"/>
    <x v="1"/>
    <x v="0"/>
  </r>
  <r>
    <n v="27241"/>
    <x v="11"/>
    <x v="4"/>
    <n v="473"/>
    <n v="80"/>
    <n v="226.87"/>
    <x v="2"/>
    <d v="2024-05-11T00:00:00"/>
    <d v="2024-05-19T00:00:00"/>
    <x v="0"/>
    <x v="0"/>
    <n v="107309.51000000001"/>
    <x v="0"/>
    <x v="0"/>
    <x v="0"/>
  </r>
  <r>
    <n v="59167"/>
    <x v="2"/>
    <x v="1"/>
    <n v="114"/>
    <n v="80"/>
    <n v="455.09"/>
    <x v="4"/>
    <d v="2024-08-24T00:00:00"/>
    <d v="2024-09-20T00:00:00"/>
    <x v="2"/>
    <x v="0"/>
    <n v="51880.259999999995"/>
    <x v="0"/>
    <x v="1"/>
    <x v="0"/>
  </r>
  <r>
    <n v="21826"/>
    <x v="9"/>
    <x v="1"/>
    <n v="443"/>
    <n v="100"/>
    <n v="298.97000000000003"/>
    <x v="3"/>
    <d v="2024-07-26T00:00:00"/>
    <d v="2024-08-06T00:00:00"/>
    <x v="0"/>
    <x v="0"/>
    <n v="132443.71000000002"/>
    <x v="0"/>
    <x v="0"/>
    <x v="0"/>
  </r>
  <r>
    <n v="93106"/>
    <x v="14"/>
    <x v="4"/>
    <n v="377"/>
    <n v="150"/>
    <n v="337.14"/>
    <x v="3"/>
    <d v="2024-09-22T00:00:00"/>
    <d v="2024-10-05T00:00:00"/>
    <x v="2"/>
    <x v="0"/>
    <n v="127101.78"/>
    <x v="0"/>
    <x v="1"/>
    <x v="0"/>
  </r>
  <r>
    <n v="97340"/>
    <x v="1"/>
    <x v="0"/>
    <n v="308"/>
    <n v="50"/>
    <n v="253.17"/>
    <x v="2"/>
    <d v="2024-08-26T00:00:00"/>
    <d v="2024-09-04T00:00:00"/>
    <x v="1"/>
    <x v="0"/>
    <n v="77976.36"/>
    <x v="0"/>
    <x v="0"/>
    <x v="0"/>
  </r>
  <r>
    <n v="58807"/>
    <x v="16"/>
    <x v="3"/>
    <n v="294"/>
    <n v="100"/>
    <n v="216.71"/>
    <x v="4"/>
    <d v="2024-10-21T00:00:00"/>
    <d v="2024-11-15T00:00:00"/>
    <x v="1"/>
    <x v="0"/>
    <n v="63712.740000000005"/>
    <x v="0"/>
    <x v="1"/>
    <x v="0"/>
  </r>
  <r>
    <n v="99521"/>
    <x v="11"/>
    <x v="4"/>
    <n v="239"/>
    <n v="100"/>
    <n v="464.87"/>
    <x v="3"/>
    <d v="2024-06-13T00:00:00"/>
    <d v="2024-07-02T00:00:00"/>
    <x v="2"/>
    <x v="0"/>
    <n v="111103.93000000001"/>
    <x v="0"/>
    <x v="1"/>
    <x v="0"/>
  </r>
  <r>
    <n v="26254"/>
    <x v="10"/>
    <x v="2"/>
    <n v="299"/>
    <n v="150"/>
    <n v="479.48"/>
    <x v="3"/>
    <d v="2024-02-17T00:00:00"/>
    <d v="2024-03-10T00:00:00"/>
    <x v="0"/>
    <x v="0"/>
    <n v="143364.52000000002"/>
    <x v="0"/>
    <x v="1"/>
    <x v="0"/>
  </r>
  <r>
    <n v="60603"/>
    <x v="6"/>
    <x v="3"/>
    <n v="83"/>
    <n v="30"/>
    <n v="322.94"/>
    <x v="0"/>
    <d v="2024-04-25T00:00:00"/>
    <d v="2024-05-12T00:00:00"/>
    <x v="2"/>
    <x v="0"/>
    <n v="26804.02"/>
    <x v="0"/>
    <x v="1"/>
    <x v="0"/>
  </r>
  <r>
    <n v="72820"/>
    <x v="13"/>
    <x v="3"/>
    <n v="347"/>
    <n v="80"/>
    <n v="445.96"/>
    <x v="3"/>
    <d v="2024-06-04T00:00:00"/>
    <d v="2024-06-10T00:00:00"/>
    <x v="0"/>
    <x v="0"/>
    <n v="154748.12"/>
    <x v="0"/>
    <x v="0"/>
    <x v="0"/>
  </r>
  <r>
    <n v="83802"/>
    <x v="15"/>
    <x v="4"/>
    <n v="57"/>
    <n v="100"/>
    <n v="82.06"/>
    <x v="3"/>
    <d v="2024-06-05T00:00:00"/>
    <d v="2024-07-14T00:00:00"/>
    <x v="1"/>
    <x v="1"/>
    <n v="4677.42"/>
    <x v="94"/>
    <x v="1"/>
    <x v="1"/>
  </r>
  <r>
    <n v="79852"/>
    <x v="10"/>
    <x v="2"/>
    <n v="77"/>
    <n v="150"/>
    <n v="303.25"/>
    <x v="0"/>
    <d v="2024-10-30T00:00:00"/>
    <d v="2024-11-06T00:00:00"/>
    <x v="1"/>
    <x v="1"/>
    <n v="23350.25"/>
    <x v="92"/>
    <x v="1"/>
    <x v="1"/>
  </r>
  <r>
    <n v="53481"/>
    <x v="1"/>
    <x v="0"/>
    <n v="253"/>
    <n v="30"/>
    <n v="26.83"/>
    <x v="1"/>
    <d v="2024-08-02T00:00:00"/>
    <d v="2024-08-28T00:00:00"/>
    <x v="1"/>
    <x v="0"/>
    <n v="6787.99"/>
    <x v="0"/>
    <x v="0"/>
    <x v="0"/>
  </r>
  <r>
    <n v="37740"/>
    <x v="9"/>
    <x v="1"/>
    <n v="474"/>
    <n v="30"/>
    <n v="158.44"/>
    <x v="3"/>
    <d v="2024-03-06T00:00:00"/>
    <d v="2024-03-15T00:00:00"/>
    <x v="2"/>
    <x v="0"/>
    <n v="75100.56"/>
    <x v="0"/>
    <x v="0"/>
    <x v="0"/>
  </r>
  <r>
    <n v="66531"/>
    <x v="4"/>
    <x v="0"/>
    <n v="105"/>
    <n v="80"/>
    <n v="394.21"/>
    <x v="3"/>
    <d v="2024-11-09T00:00:00"/>
    <d v="2024-11-28T00:00:00"/>
    <x v="1"/>
    <x v="0"/>
    <n v="41392.049999999996"/>
    <x v="0"/>
    <x v="1"/>
    <x v="0"/>
  </r>
  <r>
    <n v="27881"/>
    <x v="0"/>
    <x v="0"/>
    <n v="349"/>
    <n v="100"/>
    <n v="356.4"/>
    <x v="2"/>
    <d v="2024-10-15T00:00:00"/>
    <d v="2024-11-14T00:00:00"/>
    <x v="0"/>
    <x v="0"/>
    <n v="124383.59999999999"/>
    <x v="0"/>
    <x v="0"/>
    <x v="0"/>
  </r>
  <r>
    <n v="26350"/>
    <x v="3"/>
    <x v="2"/>
    <n v="113"/>
    <n v="20"/>
    <n v="55.69"/>
    <x v="2"/>
    <d v="2024-09-14T00:00:00"/>
    <d v="2024-09-19T00:00:00"/>
    <x v="2"/>
    <x v="0"/>
    <n v="6292.9699999999993"/>
    <x v="0"/>
    <x v="0"/>
    <x v="0"/>
  </r>
  <r>
    <n v="46303"/>
    <x v="11"/>
    <x v="4"/>
    <n v="430"/>
    <n v="20"/>
    <n v="129.87"/>
    <x v="0"/>
    <d v="2024-08-14T00:00:00"/>
    <d v="2024-09-08T00:00:00"/>
    <x v="0"/>
    <x v="0"/>
    <n v="55844.1"/>
    <x v="0"/>
    <x v="0"/>
    <x v="0"/>
  </r>
  <r>
    <n v="64261"/>
    <x v="10"/>
    <x v="2"/>
    <n v="460"/>
    <n v="30"/>
    <n v="213.46"/>
    <x v="2"/>
    <d v="2024-02-29T00:00:00"/>
    <d v="2024-03-28T00:00:00"/>
    <x v="2"/>
    <x v="0"/>
    <n v="98191.6"/>
    <x v="0"/>
    <x v="0"/>
    <x v="0"/>
  </r>
  <r>
    <n v="54397"/>
    <x v="13"/>
    <x v="3"/>
    <n v="65"/>
    <n v="100"/>
    <n v="370.8"/>
    <x v="1"/>
    <d v="2024-12-02T00:00:00"/>
    <d v="2024-12-29T00:00:00"/>
    <x v="0"/>
    <x v="1"/>
    <n v="24102"/>
    <x v="40"/>
    <x v="1"/>
    <x v="1"/>
  </r>
  <r>
    <n v="78476"/>
    <x v="15"/>
    <x v="4"/>
    <n v="140"/>
    <n v="50"/>
    <n v="14.49"/>
    <x v="1"/>
    <d v="2024-10-21T00:00:00"/>
    <d v="2024-11-18T00:00:00"/>
    <x v="1"/>
    <x v="0"/>
    <n v="2028.6000000000001"/>
    <x v="0"/>
    <x v="1"/>
    <x v="0"/>
  </r>
  <r>
    <n v="35968"/>
    <x v="16"/>
    <x v="3"/>
    <n v="388"/>
    <n v="150"/>
    <n v="407.85"/>
    <x v="4"/>
    <d v="2024-02-20T00:00:00"/>
    <d v="2024-03-03T00:00:00"/>
    <x v="0"/>
    <x v="0"/>
    <n v="158245.80000000002"/>
    <x v="0"/>
    <x v="1"/>
    <x v="0"/>
  </r>
  <r>
    <n v="80423"/>
    <x v="12"/>
    <x v="0"/>
    <n v="106"/>
    <n v="40"/>
    <n v="491.43"/>
    <x v="2"/>
    <d v="2024-12-02T00:00:00"/>
    <d v="2025-01-01T00:00:00"/>
    <x v="0"/>
    <x v="0"/>
    <n v="52091.58"/>
    <x v="0"/>
    <x v="1"/>
    <x v="0"/>
  </r>
  <r>
    <n v="90781"/>
    <x v="10"/>
    <x v="2"/>
    <n v="12"/>
    <n v="80"/>
    <n v="196.29"/>
    <x v="3"/>
    <d v="2024-06-11T00:00:00"/>
    <d v="2024-07-04T00:00:00"/>
    <x v="1"/>
    <x v="1"/>
    <n v="2355.48"/>
    <x v="26"/>
    <x v="1"/>
    <x v="1"/>
  </r>
  <r>
    <n v="30545"/>
    <x v="0"/>
    <x v="0"/>
    <n v="487"/>
    <n v="40"/>
    <n v="422.52"/>
    <x v="0"/>
    <d v="2024-11-17T00:00:00"/>
    <d v="2024-12-06T00:00:00"/>
    <x v="0"/>
    <x v="0"/>
    <n v="205767.24"/>
    <x v="0"/>
    <x v="0"/>
    <x v="0"/>
  </r>
  <r>
    <n v="59431"/>
    <x v="15"/>
    <x v="4"/>
    <n v="452"/>
    <n v="40"/>
    <n v="459.54"/>
    <x v="3"/>
    <d v="2024-06-26T00:00:00"/>
    <d v="2024-08-04T00:00:00"/>
    <x v="2"/>
    <x v="0"/>
    <n v="207712.08000000002"/>
    <x v="0"/>
    <x v="0"/>
    <x v="0"/>
  </r>
  <r>
    <n v="26292"/>
    <x v="15"/>
    <x v="4"/>
    <n v="261"/>
    <n v="30"/>
    <n v="337.77"/>
    <x v="3"/>
    <d v="2024-02-04T00:00:00"/>
    <d v="2024-03-08T00:00:00"/>
    <x v="2"/>
    <x v="0"/>
    <n v="88157.97"/>
    <x v="0"/>
    <x v="0"/>
    <x v="0"/>
  </r>
  <r>
    <n v="27443"/>
    <x v="15"/>
    <x v="4"/>
    <n v="116"/>
    <n v="30"/>
    <n v="189.82"/>
    <x v="0"/>
    <d v="2024-09-08T00:00:00"/>
    <d v="2024-09-15T00:00:00"/>
    <x v="1"/>
    <x v="0"/>
    <n v="22019.119999999999"/>
    <x v="0"/>
    <x v="0"/>
    <x v="0"/>
  </r>
  <r>
    <n v="42210"/>
    <x v="2"/>
    <x v="1"/>
    <n v="496"/>
    <n v="100"/>
    <n v="32.86"/>
    <x v="0"/>
    <d v="2024-02-13T00:00:00"/>
    <d v="2024-03-15T00:00:00"/>
    <x v="2"/>
    <x v="0"/>
    <n v="16298.56"/>
    <x v="0"/>
    <x v="0"/>
    <x v="0"/>
  </r>
  <r>
    <n v="99882"/>
    <x v="6"/>
    <x v="3"/>
    <n v="332"/>
    <n v="40"/>
    <n v="84.16"/>
    <x v="2"/>
    <d v="2024-01-21T00:00:00"/>
    <d v="2024-01-27T00:00:00"/>
    <x v="2"/>
    <x v="0"/>
    <n v="27941.119999999999"/>
    <x v="0"/>
    <x v="0"/>
    <x v="0"/>
  </r>
  <r>
    <n v="71401"/>
    <x v="16"/>
    <x v="3"/>
    <n v="131"/>
    <n v="20"/>
    <n v="457.65"/>
    <x v="1"/>
    <d v="2024-01-13T00:00:00"/>
    <d v="2024-01-20T00:00:00"/>
    <x v="2"/>
    <x v="0"/>
    <n v="59952.149999999994"/>
    <x v="0"/>
    <x v="0"/>
    <x v="0"/>
  </r>
  <r>
    <n v="68798"/>
    <x v="10"/>
    <x v="2"/>
    <n v="89"/>
    <n v="20"/>
    <n v="59.15"/>
    <x v="1"/>
    <d v="2024-07-13T00:00:00"/>
    <d v="2024-07-30T00:00:00"/>
    <x v="2"/>
    <x v="0"/>
    <n v="5264.3499999999995"/>
    <x v="0"/>
    <x v="0"/>
    <x v="0"/>
  </r>
  <r>
    <n v="68215"/>
    <x v="13"/>
    <x v="3"/>
    <n v="2"/>
    <n v="40"/>
    <n v="119.32"/>
    <x v="3"/>
    <d v="2024-06-12T00:00:00"/>
    <d v="2024-06-17T00:00:00"/>
    <x v="1"/>
    <x v="1"/>
    <n v="238.64"/>
    <x v="42"/>
    <x v="1"/>
    <x v="1"/>
  </r>
  <r>
    <n v="89311"/>
    <x v="7"/>
    <x v="3"/>
    <n v="51"/>
    <n v="40"/>
    <n v="456.25"/>
    <x v="2"/>
    <d v="2024-05-21T00:00:00"/>
    <d v="2024-06-16T00:00:00"/>
    <x v="0"/>
    <x v="0"/>
    <n v="23268.75"/>
    <x v="0"/>
    <x v="1"/>
    <x v="0"/>
  </r>
  <r>
    <n v="98241"/>
    <x v="14"/>
    <x v="4"/>
    <n v="493"/>
    <n v="30"/>
    <n v="112.86"/>
    <x v="4"/>
    <d v="2024-08-17T00:00:00"/>
    <d v="2024-09-03T00:00:00"/>
    <x v="2"/>
    <x v="0"/>
    <n v="55639.98"/>
    <x v="0"/>
    <x v="0"/>
    <x v="0"/>
  </r>
  <r>
    <n v="72188"/>
    <x v="6"/>
    <x v="3"/>
    <n v="35"/>
    <n v="150"/>
    <n v="89"/>
    <x v="4"/>
    <d v="2024-10-26T00:00:00"/>
    <d v="2024-11-13T00:00:00"/>
    <x v="2"/>
    <x v="1"/>
    <n v="3115"/>
    <x v="95"/>
    <x v="1"/>
    <x v="1"/>
  </r>
  <r>
    <n v="60151"/>
    <x v="14"/>
    <x v="4"/>
    <n v="455"/>
    <n v="100"/>
    <n v="85.64"/>
    <x v="3"/>
    <d v="2024-09-08T00:00:00"/>
    <d v="2024-10-06T00:00:00"/>
    <x v="2"/>
    <x v="0"/>
    <n v="38966.199999999997"/>
    <x v="0"/>
    <x v="0"/>
    <x v="0"/>
  </r>
  <r>
    <n v="36898"/>
    <x v="1"/>
    <x v="0"/>
    <n v="267"/>
    <n v="40"/>
    <n v="375.34"/>
    <x v="1"/>
    <d v="2024-08-23T00:00:00"/>
    <d v="2024-09-02T00:00:00"/>
    <x v="1"/>
    <x v="0"/>
    <n v="100215.78"/>
    <x v="0"/>
    <x v="0"/>
    <x v="0"/>
  </r>
  <r>
    <n v="89397"/>
    <x v="10"/>
    <x v="2"/>
    <n v="328"/>
    <n v="150"/>
    <n v="200.7"/>
    <x v="2"/>
    <d v="2024-09-11T00:00:00"/>
    <d v="2024-09-23T00:00:00"/>
    <x v="1"/>
    <x v="0"/>
    <n v="65829.599999999991"/>
    <x v="0"/>
    <x v="1"/>
    <x v="0"/>
  </r>
  <r>
    <n v="14606"/>
    <x v="8"/>
    <x v="1"/>
    <n v="335"/>
    <n v="150"/>
    <n v="345.54"/>
    <x v="4"/>
    <d v="2024-06-30T00:00:00"/>
    <d v="2024-07-18T00:00:00"/>
    <x v="0"/>
    <x v="0"/>
    <n v="115755.90000000001"/>
    <x v="0"/>
    <x v="1"/>
    <x v="0"/>
  </r>
  <r>
    <n v="52853"/>
    <x v="0"/>
    <x v="0"/>
    <n v="241"/>
    <n v="50"/>
    <n v="174.05"/>
    <x v="2"/>
    <d v="2024-05-01T00:00:00"/>
    <d v="2024-05-08T00:00:00"/>
    <x v="1"/>
    <x v="0"/>
    <n v="41946.05"/>
    <x v="0"/>
    <x v="0"/>
    <x v="0"/>
  </r>
  <r>
    <n v="49994"/>
    <x v="11"/>
    <x v="4"/>
    <n v="256"/>
    <n v="20"/>
    <n v="102.71"/>
    <x v="3"/>
    <d v="2024-09-05T00:00:00"/>
    <d v="2024-09-18T00:00:00"/>
    <x v="1"/>
    <x v="0"/>
    <n v="26293.759999999998"/>
    <x v="0"/>
    <x v="0"/>
    <x v="0"/>
  </r>
  <r>
    <n v="31395"/>
    <x v="9"/>
    <x v="1"/>
    <n v="321"/>
    <n v="40"/>
    <n v="111.21"/>
    <x v="0"/>
    <d v="2024-07-01T00:00:00"/>
    <d v="2024-08-06T00:00:00"/>
    <x v="2"/>
    <x v="0"/>
    <n v="35698.409999999996"/>
    <x v="0"/>
    <x v="0"/>
    <x v="0"/>
  </r>
  <r>
    <n v="47190"/>
    <x v="9"/>
    <x v="1"/>
    <n v="289"/>
    <n v="20"/>
    <n v="96.68"/>
    <x v="1"/>
    <d v="2024-04-29T00:00:00"/>
    <d v="2024-05-22T00:00:00"/>
    <x v="2"/>
    <x v="0"/>
    <n v="27940.52"/>
    <x v="0"/>
    <x v="0"/>
    <x v="0"/>
  </r>
  <r>
    <n v="99196"/>
    <x v="0"/>
    <x v="0"/>
    <n v="378"/>
    <n v="50"/>
    <n v="185.8"/>
    <x v="3"/>
    <d v="2024-11-09T00:00:00"/>
    <d v="2024-12-03T00:00:00"/>
    <x v="2"/>
    <x v="0"/>
    <n v="70232.400000000009"/>
    <x v="0"/>
    <x v="0"/>
    <x v="0"/>
  </r>
  <r>
    <n v="82328"/>
    <x v="0"/>
    <x v="0"/>
    <n v="419"/>
    <n v="80"/>
    <n v="109.52"/>
    <x v="2"/>
    <d v="2024-10-14T00:00:00"/>
    <d v="2024-10-19T00:00:00"/>
    <x v="0"/>
    <x v="0"/>
    <n v="45888.88"/>
    <x v="0"/>
    <x v="0"/>
    <x v="0"/>
  </r>
  <r>
    <n v="76555"/>
    <x v="14"/>
    <x v="4"/>
    <n v="264"/>
    <n v="100"/>
    <n v="357.45"/>
    <x v="3"/>
    <d v="2024-11-11T00:00:00"/>
    <d v="2024-11-16T00:00:00"/>
    <x v="0"/>
    <x v="0"/>
    <n v="94366.8"/>
    <x v="0"/>
    <x v="1"/>
    <x v="0"/>
  </r>
  <r>
    <n v="42963"/>
    <x v="10"/>
    <x v="2"/>
    <n v="333"/>
    <n v="20"/>
    <n v="104"/>
    <x v="3"/>
    <d v="2024-05-11T00:00:00"/>
    <d v="2024-05-29T00:00:00"/>
    <x v="2"/>
    <x v="0"/>
    <n v="34632"/>
    <x v="0"/>
    <x v="0"/>
    <x v="0"/>
  </r>
  <r>
    <n v="92641"/>
    <x v="3"/>
    <x v="2"/>
    <n v="134"/>
    <n v="30"/>
    <n v="298.91000000000003"/>
    <x v="0"/>
    <d v="2024-02-12T00:00:00"/>
    <d v="2024-03-01T00:00:00"/>
    <x v="2"/>
    <x v="0"/>
    <n v="40053.94"/>
    <x v="0"/>
    <x v="0"/>
    <x v="0"/>
  </r>
  <r>
    <n v="44019"/>
    <x v="6"/>
    <x v="3"/>
    <n v="70"/>
    <n v="50"/>
    <n v="15.97"/>
    <x v="4"/>
    <d v="2024-03-30T00:00:00"/>
    <d v="2024-04-07T00:00:00"/>
    <x v="2"/>
    <x v="0"/>
    <n v="1117.9000000000001"/>
    <x v="0"/>
    <x v="1"/>
    <x v="0"/>
  </r>
  <r>
    <n v="52425"/>
    <x v="13"/>
    <x v="3"/>
    <n v="245"/>
    <n v="150"/>
    <n v="249.52"/>
    <x v="2"/>
    <d v="2024-04-25T00:00:00"/>
    <d v="2024-05-17T00:00:00"/>
    <x v="0"/>
    <x v="0"/>
    <n v="61132.4"/>
    <x v="0"/>
    <x v="1"/>
    <x v="0"/>
  </r>
  <r>
    <n v="20857"/>
    <x v="2"/>
    <x v="1"/>
    <n v="55"/>
    <n v="150"/>
    <n v="448.23"/>
    <x v="4"/>
    <d v="2024-07-11T00:00:00"/>
    <d v="2024-07-20T00:00:00"/>
    <x v="2"/>
    <x v="1"/>
    <n v="24652.65"/>
    <x v="25"/>
    <x v="1"/>
    <x v="1"/>
  </r>
  <r>
    <n v="44866"/>
    <x v="16"/>
    <x v="3"/>
    <n v="399"/>
    <n v="150"/>
    <n v="182.46"/>
    <x v="1"/>
    <d v="2024-11-15T00:00:00"/>
    <d v="2024-12-21T00:00:00"/>
    <x v="2"/>
    <x v="0"/>
    <n v="72801.540000000008"/>
    <x v="0"/>
    <x v="1"/>
    <x v="0"/>
  </r>
  <r>
    <n v="80726"/>
    <x v="4"/>
    <x v="0"/>
    <n v="62"/>
    <n v="50"/>
    <n v="396.04"/>
    <x v="3"/>
    <d v="2024-03-21T00:00:00"/>
    <d v="2024-04-22T00:00:00"/>
    <x v="2"/>
    <x v="0"/>
    <n v="24554.48"/>
    <x v="0"/>
    <x v="1"/>
    <x v="0"/>
  </r>
  <r>
    <n v="33437"/>
    <x v="14"/>
    <x v="4"/>
    <n v="139"/>
    <n v="150"/>
    <n v="420.06"/>
    <x v="1"/>
    <d v="2024-03-19T00:00:00"/>
    <d v="2024-04-13T00:00:00"/>
    <x v="1"/>
    <x v="1"/>
    <n v="58388.340000000004"/>
    <x v="52"/>
    <x v="1"/>
    <x v="1"/>
  </r>
  <r>
    <n v="49293"/>
    <x v="6"/>
    <x v="3"/>
    <n v="453"/>
    <n v="80"/>
    <n v="425.27"/>
    <x v="3"/>
    <d v="2024-09-18T00:00:00"/>
    <d v="2024-10-18T00:00:00"/>
    <x v="0"/>
    <x v="0"/>
    <n v="192647.31"/>
    <x v="0"/>
    <x v="0"/>
    <x v="0"/>
  </r>
  <r>
    <n v="56009"/>
    <x v="7"/>
    <x v="3"/>
    <n v="230"/>
    <n v="80"/>
    <n v="147.62"/>
    <x v="1"/>
    <d v="2024-04-16T00:00:00"/>
    <d v="2024-05-18T00:00:00"/>
    <x v="0"/>
    <x v="0"/>
    <n v="33952.6"/>
    <x v="0"/>
    <x v="1"/>
    <x v="0"/>
  </r>
  <r>
    <n v="49643"/>
    <x v="5"/>
    <x v="2"/>
    <n v="287"/>
    <n v="100"/>
    <n v="301.55"/>
    <x v="1"/>
    <d v="2024-08-02T00:00:00"/>
    <d v="2024-08-31T00:00:00"/>
    <x v="1"/>
    <x v="0"/>
    <n v="86544.85"/>
    <x v="0"/>
    <x v="1"/>
    <x v="0"/>
  </r>
  <r>
    <n v="94292"/>
    <x v="2"/>
    <x v="1"/>
    <n v="157"/>
    <n v="20"/>
    <n v="412.03"/>
    <x v="0"/>
    <d v="2024-04-11T00:00:00"/>
    <d v="2024-05-07T00:00:00"/>
    <x v="0"/>
    <x v="0"/>
    <n v="64688.71"/>
    <x v="0"/>
    <x v="0"/>
    <x v="0"/>
  </r>
  <r>
    <n v="59485"/>
    <x v="15"/>
    <x v="4"/>
    <n v="371"/>
    <n v="150"/>
    <n v="96.1"/>
    <x v="1"/>
    <d v="2024-03-27T00:00:00"/>
    <d v="2024-04-12T00:00:00"/>
    <x v="1"/>
    <x v="0"/>
    <n v="35653.1"/>
    <x v="0"/>
    <x v="1"/>
    <x v="0"/>
  </r>
  <r>
    <n v="97579"/>
    <x v="4"/>
    <x v="0"/>
    <n v="79"/>
    <n v="50"/>
    <n v="54.62"/>
    <x v="3"/>
    <d v="2024-08-08T00:00:00"/>
    <d v="2024-08-21T00:00:00"/>
    <x v="0"/>
    <x v="0"/>
    <n v="4314.9799999999996"/>
    <x v="0"/>
    <x v="1"/>
    <x v="0"/>
  </r>
  <r>
    <n v="10997"/>
    <x v="7"/>
    <x v="3"/>
    <n v="8"/>
    <n v="150"/>
    <n v="239.42"/>
    <x v="0"/>
    <d v="2024-03-16T00:00:00"/>
    <d v="2024-04-21T00:00:00"/>
    <x v="2"/>
    <x v="1"/>
    <n v="1915.36"/>
    <x v="66"/>
    <x v="1"/>
    <x v="1"/>
  </r>
  <r>
    <n v="82976"/>
    <x v="2"/>
    <x v="1"/>
    <n v="371"/>
    <n v="100"/>
    <n v="20.059999999999999"/>
    <x v="0"/>
    <d v="2024-02-25T00:00:00"/>
    <d v="2024-03-23T00:00:00"/>
    <x v="2"/>
    <x v="0"/>
    <n v="7442.2599999999993"/>
    <x v="0"/>
    <x v="0"/>
    <x v="0"/>
  </r>
  <r>
    <n v="34945"/>
    <x v="2"/>
    <x v="1"/>
    <n v="481"/>
    <n v="100"/>
    <n v="65.650000000000006"/>
    <x v="4"/>
    <d v="2024-09-29T00:00:00"/>
    <d v="2024-10-18T00:00:00"/>
    <x v="0"/>
    <x v="0"/>
    <n v="31577.65"/>
    <x v="0"/>
    <x v="0"/>
    <x v="0"/>
  </r>
  <r>
    <n v="58795"/>
    <x v="8"/>
    <x v="1"/>
    <n v="252"/>
    <n v="20"/>
    <n v="268.3"/>
    <x v="1"/>
    <d v="2024-08-14T00:00:00"/>
    <d v="2024-09-03T00:00:00"/>
    <x v="1"/>
    <x v="0"/>
    <n v="67611.600000000006"/>
    <x v="0"/>
    <x v="0"/>
    <x v="0"/>
  </r>
  <r>
    <n v="60022"/>
    <x v="8"/>
    <x v="1"/>
    <n v="47"/>
    <n v="150"/>
    <n v="159.11000000000001"/>
    <x v="1"/>
    <d v="2024-06-09T00:00:00"/>
    <d v="2024-07-16T00:00:00"/>
    <x v="1"/>
    <x v="1"/>
    <n v="7478.170000000001"/>
    <x v="96"/>
    <x v="1"/>
    <x v="1"/>
  </r>
  <r>
    <n v="34815"/>
    <x v="12"/>
    <x v="0"/>
    <n v="470"/>
    <n v="150"/>
    <n v="394.53"/>
    <x v="4"/>
    <d v="2024-02-14T00:00:00"/>
    <d v="2024-03-05T00:00:00"/>
    <x v="2"/>
    <x v="0"/>
    <n v="185429.09999999998"/>
    <x v="0"/>
    <x v="0"/>
    <x v="0"/>
  </r>
  <r>
    <n v="98757"/>
    <x v="8"/>
    <x v="1"/>
    <n v="287"/>
    <n v="50"/>
    <n v="44.06"/>
    <x v="1"/>
    <d v="2024-11-30T00:00:00"/>
    <d v="2024-12-08T00:00:00"/>
    <x v="2"/>
    <x v="0"/>
    <n v="12645.220000000001"/>
    <x v="0"/>
    <x v="0"/>
    <x v="0"/>
  </r>
  <r>
    <n v="33401"/>
    <x v="14"/>
    <x v="4"/>
    <n v="110"/>
    <n v="100"/>
    <n v="337.99"/>
    <x v="2"/>
    <d v="2024-02-16T00:00:00"/>
    <d v="2024-03-17T00:00:00"/>
    <x v="1"/>
    <x v="0"/>
    <n v="37178.9"/>
    <x v="0"/>
    <x v="1"/>
    <x v="0"/>
  </r>
  <r>
    <n v="63740"/>
    <x v="11"/>
    <x v="4"/>
    <n v="444"/>
    <n v="150"/>
    <n v="335.12"/>
    <x v="1"/>
    <d v="2024-11-03T00:00:00"/>
    <d v="2024-11-26T00:00:00"/>
    <x v="0"/>
    <x v="0"/>
    <n v="148793.28"/>
    <x v="0"/>
    <x v="1"/>
    <x v="0"/>
  </r>
  <r>
    <n v="87681"/>
    <x v="5"/>
    <x v="2"/>
    <n v="329"/>
    <n v="30"/>
    <n v="5.09"/>
    <x v="1"/>
    <d v="2024-01-28T00:00:00"/>
    <d v="2024-02-29T00:00:00"/>
    <x v="0"/>
    <x v="0"/>
    <n v="1674.61"/>
    <x v="0"/>
    <x v="0"/>
    <x v="0"/>
  </r>
  <r>
    <n v="23665"/>
    <x v="13"/>
    <x v="3"/>
    <n v="74"/>
    <n v="30"/>
    <n v="488.16"/>
    <x v="0"/>
    <d v="2024-01-15T00:00:00"/>
    <d v="2024-01-26T00:00:00"/>
    <x v="2"/>
    <x v="0"/>
    <n v="36123.840000000004"/>
    <x v="0"/>
    <x v="1"/>
    <x v="0"/>
  </r>
  <r>
    <n v="19638"/>
    <x v="13"/>
    <x v="3"/>
    <n v="286"/>
    <n v="150"/>
    <n v="318.95999999999998"/>
    <x v="2"/>
    <d v="2024-10-06T00:00:00"/>
    <d v="2024-10-30T00:00:00"/>
    <x v="2"/>
    <x v="0"/>
    <n v="91222.56"/>
    <x v="0"/>
    <x v="1"/>
    <x v="0"/>
  </r>
  <r>
    <n v="55097"/>
    <x v="9"/>
    <x v="1"/>
    <n v="373"/>
    <n v="40"/>
    <n v="165.78"/>
    <x v="4"/>
    <d v="2024-02-16T00:00:00"/>
    <d v="2024-03-26T00:00:00"/>
    <x v="2"/>
    <x v="0"/>
    <n v="61835.94"/>
    <x v="0"/>
    <x v="0"/>
    <x v="0"/>
  </r>
  <r>
    <n v="37684"/>
    <x v="0"/>
    <x v="0"/>
    <n v="464"/>
    <n v="100"/>
    <n v="449.27"/>
    <x v="0"/>
    <d v="2024-11-01T00:00:00"/>
    <d v="2024-12-07T00:00:00"/>
    <x v="1"/>
    <x v="0"/>
    <n v="208461.28"/>
    <x v="0"/>
    <x v="0"/>
    <x v="0"/>
  </r>
  <r>
    <n v="82725"/>
    <x v="3"/>
    <x v="2"/>
    <n v="493"/>
    <n v="20"/>
    <n v="469.97"/>
    <x v="2"/>
    <d v="2024-03-23T00:00:00"/>
    <d v="2024-03-31T00:00:00"/>
    <x v="0"/>
    <x v="0"/>
    <n v="231695.21000000002"/>
    <x v="0"/>
    <x v="0"/>
    <x v="0"/>
  </r>
  <r>
    <n v="89453"/>
    <x v="5"/>
    <x v="2"/>
    <n v="266"/>
    <n v="150"/>
    <n v="11.97"/>
    <x v="1"/>
    <d v="2024-09-02T00:00:00"/>
    <d v="2024-09-27T00:00:00"/>
    <x v="2"/>
    <x v="0"/>
    <n v="3184.02"/>
    <x v="0"/>
    <x v="1"/>
    <x v="0"/>
  </r>
  <r>
    <n v="18076"/>
    <x v="3"/>
    <x v="2"/>
    <n v="7"/>
    <n v="50"/>
    <n v="9.07"/>
    <x v="2"/>
    <d v="2024-10-16T00:00:00"/>
    <d v="2024-11-05T00:00:00"/>
    <x v="1"/>
    <x v="1"/>
    <n v="63.49"/>
    <x v="94"/>
    <x v="1"/>
    <x v="1"/>
  </r>
  <r>
    <n v="55650"/>
    <x v="8"/>
    <x v="1"/>
    <n v="240"/>
    <n v="40"/>
    <n v="439.53"/>
    <x v="0"/>
    <d v="2024-04-18T00:00:00"/>
    <d v="2024-05-25T00:00:00"/>
    <x v="0"/>
    <x v="0"/>
    <n v="105487.2"/>
    <x v="0"/>
    <x v="0"/>
    <x v="0"/>
  </r>
  <r>
    <n v="64850"/>
    <x v="2"/>
    <x v="1"/>
    <n v="236"/>
    <n v="100"/>
    <n v="461.37"/>
    <x v="1"/>
    <d v="2024-04-17T00:00:00"/>
    <d v="2024-04-22T00:00:00"/>
    <x v="1"/>
    <x v="0"/>
    <n v="108883.32"/>
    <x v="0"/>
    <x v="1"/>
    <x v="0"/>
  </r>
  <r>
    <n v="60808"/>
    <x v="3"/>
    <x v="2"/>
    <n v="301"/>
    <n v="80"/>
    <n v="5.47"/>
    <x v="4"/>
    <d v="2024-08-07T00:00:00"/>
    <d v="2024-08-15T00:00:00"/>
    <x v="1"/>
    <x v="0"/>
    <n v="1646.47"/>
    <x v="0"/>
    <x v="0"/>
    <x v="0"/>
  </r>
  <r>
    <n v="95970"/>
    <x v="6"/>
    <x v="3"/>
    <n v="228"/>
    <n v="50"/>
    <n v="264.83999999999997"/>
    <x v="3"/>
    <d v="2024-10-16T00:00:00"/>
    <d v="2024-11-23T00:00:00"/>
    <x v="0"/>
    <x v="0"/>
    <n v="60383.519999999997"/>
    <x v="0"/>
    <x v="0"/>
    <x v="0"/>
  </r>
  <r>
    <n v="16862"/>
    <x v="2"/>
    <x v="1"/>
    <n v="251"/>
    <n v="150"/>
    <n v="293.68"/>
    <x v="4"/>
    <d v="2024-03-12T00:00:00"/>
    <d v="2024-04-12T00:00:00"/>
    <x v="0"/>
    <x v="0"/>
    <n v="73713.680000000008"/>
    <x v="0"/>
    <x v="1"/>
    <x v="0"/>
  </r>
  <r>
    <n v="53021"/>
    <x v="0"/>
    <x v="0"/>
    <n v="19"/>
    <n v="30"/>
    <n v="450.43"/>
    <x v="2"/>
    <d v="2024-05-26T00:00:00"/>
    <d v="2024-06-05T00:00:00"/>
    <x v="2"/>
    <x v="1"/>
    <n v="8558.17"/>
    <x v="52"/>
    <x v="1"/>
    <x v="1"/>
  </r>
  <r>
    <n v="50160"/>
    <x v="3"/>
    <x v="2"/>
    <n v="230"/>
    <n v="50"/>
    <n v="318.35000000000002"/>
    <x v="1"/>
    <d v="2024-09-19T00:00:00"/>
    <d v="2024-09-26T00:00:00"/>
    <x v="2"/>
    <x v="0"/>
    <n v="73220.5"/>
    <x v="0"/>
    <x v="0"/>
    <x v="0"/>
  </r>
  <r>
    <n v="23189"/>
    <x v="9"/>
    <x v="1"/>
    <n v="23"/>
    <n v="150"/>
    <n v="384.63"/>
    <x v="3"/>
    <d v="2024-06-30T00:00:00"/>
    <d v="2024-07-18T00:00:00"/>
    <x v="2"/>
    <x v="1"/>
    <n v="8846.49"/>
    <x v="78"/>
    <x v="1"/>
    <x v="1"/>
  </r>
  <r>
    <n v="78731"/>
    <x v="12"/>
    <x v="0"/>
    <n v="445"/>
    <n v="20"/>
    <n v="326.87"/>
    <x v="2"/>
    <d v="2024-02-08T00:00:00"/>
    <d v="2024-03-15T00:00:00"/>
    <x v="0"/>
    <x v="0"/>
    <n v="145457.15"/>
    <x v="0"/>
    <x v="0"/>
    <x v="0"/>
  </r>
  <r>
    <n v="92641"/>
    <x v="5"/>
    <x v="2"/>
    <n v="179"/>
    <n v="20"/>
    <n v="211.05"/>
    <x v="2"/>
    <d v="2024-09-29T00:00:00"/>
    <d v="2024-10-20T00:00:00"/>
    <x v="1"/>
    <x v="0"/>
    <n v="37777.950000000004"/>
    <x v="0"/>
    <x v="0"/>
    <x v="0"/>
  </r>
  <r>
    <n v="43262"/>
    <x v="14"/>
    <x v="4"/>
    <n v="406"/>
    <n v="20"/>
    <n v="109.59"/>
    <x v="2"/>
    <d v="2024-05-27T00:00:00"/>
    <d v="2024-06-22T00:00:00"/>
    <x v="1"/>
    <x v="0"/>
    <n v="44493.54"/>
    <x v="0"/>
    <x v="0"/>
    <x v="0"/>
  </r>
  <r>
    <n v="31725"/>
    <x v="9"/>
    <x v="1"/>
    <n v="66"/>
    <n v="30"/>
    <n v="87.97"/>
    <x v="0"/>
    <d v="2024-03-21T00:00:00"/>
    <d v="2024-04-13T00:00:00"/>
    <x v="0"/>
    <x v="0"/>
    <n v="5806.0199999999995"/>
    <x v="0"/>
    <x v="1"/>
    <x v="0"/>
  </r>
  <r>
    <n v="23338"/>
    <x v="15"/>
    <x v="4"/>
    <n v="240"/>
    <n v="30"/>
    <n v="374.77"/>
    <x v="1"/>
    <d v="2024-10-03T00:00:00"/>
    <d v="2024-11-04T00:00:00"/>
    <x v="0"/>
    <x v="0"/>
    <n v="89944.799999999988"/>
    <x v="0"/>
    <x v="0"/>
    <x v="0"/>
  </r>
  <r>
    <n v="15349"/>
    <x v="3"/>
    <x v="2"/>
    <n v="238"/>
    <n v="80"/>
    <n v="77.02"/>
    <x v="3"/>
    <d v="2024-07-12T00:00:00"/>
    <d v="2024-07-30T00:00:00"/>
    <x v="1"/>
    <x v="0"/>
    <n v="18330.759999999998"/>
    <x v="0"/>
    <x v="1"/>
    <x v="0"/>
  </r>
  <r>
    <n v="67427"/>
    <x v="14"/>
    <x v="4"/>
    <n v="374"/>
    <n v="50"/>
    <n v="66.040000000000006"/>
    <x v="1"/>
    <d v="2024-09-16T00:00:00"/>
    <d v="2024-10-20T00:00:00"/>
    <x v="0"/>
    <x v="0"/>
    <n v="24698.960000000003"/>
    <x v="0"/>
    <x v="0"/>
    <x v="0"/>
  </r>
  <r>
    <n v="52103"/>
    <x v="7"/>
    <x v="3"/>
    <n v="396"/>
    <n v="80"/>
    <n v="40.22"/>
    <x v="3"/>
    <d v="2024-06-26T00:00:00"/>
    <d v="2024-07-27T00:00:00"/>
    <x v="0"/>
    <x v="0"/>
    <n v="15927.119999999999"/>
    <x v="0"/>
    <x v="0"/>
    <x v="0"/>
  </r>
  <r>
    <n v="91991"/>
    <x v="15"/>
    <x v="4"/>
    <n v="270"/>
    <n v="80"/>
    <n v="143.71"/>
    <x v="2"/>
    <d v="2024-02-21T00:00:00"/>
    <d v="2024-03-20T00:00:00"/>
    <x v="0"/>
    <x v="0"/>
    <n v="38801.700000000004"/>
    <x v="0"/>
    <x v="0"/>
    <x v="0"/>
  </r>
  <r>
    <n v="23107"/>
    <x v="4"/>
    <x v="0"/>
    <n v="399"/>
    <n v="40"/>
    <n v="451.19"/>
    <x v="4"/>
    <d v="2024-09-05T00:00:00"/>
    <d v="2024-10-14T00:00:00"/>
    <x v="1"/>
    <x v="0"/>
    <n v="180024.81"/>
    <x v="0"/>
    <x v="0"/>
    <x v="0"/>
  </r>
  <r>
    <n v="89232"/>
    <x v="15"/>
    <x v="4"/>
    <n v="47"/>
    <n v="100"/>
    <n v="458.16"/>
    <x v="1"/>
    <d v="2024-06-25T00:00:00"/>
    <d v="2024-07-14T00:00:00"/>
    <x v="2"/>
    <x v="1"/>
    <n v="21533.52"/>
    <x v="97"/>
    <x v="1"/>
    <x v="1"/>
  </r>
  <r>
    <n v="32222"/>
    <x v="2"/>
    <x v="1"/>
    <n v="255"/>
    <n v="40"/>
    <n v="117.61"/>
    <x v="0"/>
    <d v="2024-07-16T00:00:00"/>
    <d v="2024-08-19T00:00:00"/>
    <x v="0"/>
    <x v="0"/>
    <n v="29990.55"/>
    <x v="0"/>
    <x v="0"/>
    <x v="0"/>
  </r>
  <r>
    <n v="20223"/>
    <x v="15"/>
    <x v="4"/>
    <n v="377"/>
    <n v="40"/>
    <n v="315.19"/>
    <x v="1"/>
    <d v="2024-06-16T00:00:00"/>
    <d v="2024-06-22T00:00:00"/>
    <x v="0"/>
    <x v="0"/>
    <n v="118826.63"/>
    <x v="0"/>
    <x v="0"/>
    <x v="0"/>
  </r>
  <r>
    <n v="23672"/>
    <x v="12"/>
    <x v="0"/>
    <n v="306"/>
    <n v="150"/>
    <n v="437.98"/>
    <x v="4"/>
    <d v="2024-04-04T00:00:00"/>
    <d v="2024-05-03T00:00:00"/>
    <x v="2"/>
    <x v="0"/>
    <n v="134021.88"/>
    <x v="0"/>
    <x v="1"/>
    <x v="0"/>
  </r>
  <r>
    <n v="97594"/>
    <x v="7"/>
    <x v="3"/>
    <n v="64"/>
    <n v="50"/>
    <n v="341.59"/>
    <x v="2"/>
    <d v="2024-10-30T00:00:00"/>
    <d v="2024-11-24T00:00:00"/>
    <x v="0"/>
    <x v="0"/>
    <n v="21861.759999999998"/>
    <x v="0"/>
    <x v="1"/>
    <x v="0"/>
  </r>
  <r>
    <n v="41335"/>
    <x v="16"/>
    <x v="3"/>
    <n v="154"/>
    <n v="40"/>
    <n v="126.2"/>
    <x v="2"/>
    <d v="2024-11-01T00:00:00"/>
    <d v="2024-12-10T00:00:00"/>
    <x v="1"/>
    <x v="0"/>
    <n v="19434.8"/>
    <x v="0"/>
    <x v="0"/>
    <x v="0"/>
  </r>
  <r>
    <n v="47116"/>
    <x v="14"/>
    <x v="4"/>
    <n v="243"/>
    <n v="20"/>
    <n v="362.84"/>
    <x v="4"/>
    <d v="2024-12-01T00:00:00"/>
    <d v="2024-12-29T00:00:00"/>
    <x v="1"/>
    <x v="0"/>
    <n v="88170.12"/>
    <x v="0"/>
    <x v="0"/>
    <x v="0"/>
  </r>
  <r>
    <n v="93100"/>
    <x v="2"/>
    <x v="1"/>
    <n v="302"/>
    <n v="150"/>
    <n v="287.33999999999997"/>
    <x v="4"/>
    <d v="2024-03-17T00:00:00"/>
    <d v="2024-04-13T00:00:00"/>
    <x v="0"/>
    <x v="0"/>
    <n v="86776.68"/>
    <x v="0"/>
    <x v="1"/>
    <x v="0"/>
  </r>
  <r>
    <n v="38004"/>
    <x v="0"/>
    <x v="0"/>
    <n v="28"/>
    <n v="30"/>
    <n v="149.33000000000001"/>
    <x v="4"/>
    <d v="2024-04-15T00:00:00"/>
    <d v="2024-04-22T00:00:00"/>
    <x v="0"/>
    <x v="1"/>
    <n v="4181.2400000000007"/>
    <x v="6"/>
    <x v="1"/>
    <x v="1"/>
  </r>
  <r>
    <n v="85955"/>
    <x v="16"/>
    <x v="3"/>
    <n v="1"/>
    <n v="20"/>
    <n v="337.7"/>
    <x v="4"/>
    <d v="2024-11-16T00:00:00"/>
    <d v="2024-12-10T00:00:00"/>
    <x v="0"/>
    <x v="1"/>
    <n v="337.7"/>
    <x v="98"/>
    <x v="1"/>
    <x v="1"/>
  </r>
  <r>
    <n v="14860"/>
    <x v="3"/>
    <x v="2"/>
    <n v="122"/>
    <n v="40"/>
    <n v="400.79"/>
    <x v="1"/>
    <d v="2024-10-27T00:00:00"/>
    <d v="2024-11-19T00:00:00"/>
    <x v="0"/>
    <x v="0"/>
    <n v="48896.380000000005"/>
    <x v="0"/>
    <x v="0"/>
    <x v="0"/>
  </r>
  <r>
    <n v="54293"/>
    <x v="9"/>
    <x v="1"/>
    <n v="390"/>
    <n v="50"/>
    <n v="140.49"/>
    <x v="3"/>
    <d v="2024-10-26T00:00:00"/>
    <d v="2024-11-18T00:00:00"/>
    <x v="1"/>
    <x v="0"/>
    <n v="54791.100000000006"/>
    <x v="0"/>
    <x v="0"/>
    <x v="0"/>
  </r>
  <r>
    <n v="64240"/>
    <x v="2"/>
    <x v="1"/>
    <n v="420"/>
    <n v="40"/>
    <n v="492.16"/>
    <x v="4"/>
    <d v="2024-11-17T00:00:00"/>
    <d v="2024-12-12T00:00:00"/>
    <x v="2"/>
    <x v="0"/>
    <n v="206707.20000000001"/>
    <x v="0"/>
    <x v="0"/>
    <x v="0"/>
  </r>
  <r>
    <n v="84486"/>
    <x v="14"/>
    <x v="4"/>
    <n v="385"/>
    <n v="150"/>
    <n v="296"/>
    <x v="0"/>
    <d v="2024-10-04T00:00:00"/>
    <d v="2024-10-19T00:00:00"/>
    <x v="0"/>
    <x v="0"/>
    <n v="113960"/>
    <x v="0"/>
    <x v="1"/>
    <x v="0"/>
  </r>
  <r>
    <n v="57458"/>
    <x v="0"/>
    <x v="0"/>
    <n v="326"/>
    <n v="20"/>
    <n v="358.16"/>
    <x v="2"/>
    <d v="2024-05-18T00:00:00"/>
    <d v="2024-05-28T00:00:00"/>
    <x v="1"/>
    <x v="0"/>
    <n v="116760.16"/>
    <x v="0"/>
    <x v="0"/>
    <x v="0"/>
  </r>
  <r>
    <n v="28394"/>
    <x v="16"/>
    <x v="3"/>
    <n v="473"/>
    <n v="30"/>
    <n v="183.36"/>
    <x v="1"/>
    <d v="2024-04-03T00:00:00"/>
    <d v="2024-05-05T00:00:00"/>
    <x v="1"/>
    <x v="0"/>
    <n v="86729.280000000013"/>
    <x v="0"/>
    <x v="0"/>
    <x v="0"/>
  </r>
  <r>
    <n v="66624"/>
    <x v="13"/>
    <x v="3"/>
    <n v="132"/>
    <n v="20"/>
    <n v="461.5"/>
    <x v="1"/>
    <d v="2024-10-08T00:00:00"/>
    <d v="2024-11-08T00:00:00"/>
    <x v="0"/>
    <x v="0"/>
    <n v="60918"/>
    <x v="0"/>
    <x v="0"/>
    <x v="0"/>
  </r>
  <r>
    <n v="85801"/>
    <x v="2"/>
    <x v="1"/>
    <n v="347"/>
    <n v="30"/>
    <n v="498.53"/>
    <x v="2"/>
    <d v="2024-07-01T00:00:00"/>
    <d v="2024-07-22T00:00:00"/>
    <x v="0"/>
    <x v="0"/>
    <n v="172989.91"/>
    <x v="0"/>
    <x v="0"/>
    <x v="0"/>
  </r>
  <r>
    <n v="73797"/>
    <x v="16"/>
    <x v="3"/>
    <n v="216"/>
    <n v="80"/>
    <n v="86.2"/>
    <x v="0"/>
    <d v="2024-08-31T00:00:00"/>
    <d v="2024-10-04T00:00:00"/>
    <x v="1"/>
    <x v="0"/>
    <n v="18619.2"/>
    <x v="0"/>
    <x v="1"/>
    <x v="0"/>
  </r>
  <r>
    <n v="14123"/>
    <x v="10"/>
    <x v="2"/>
    <n v="267"/>
    <n v="100"/>
    <n v="244.6"/>
    <x v="2"/>
    <d v="2024-04-08T00:00:00"/>
    <d v="2024-04-29T00:00:00"/>
    <x v="2"/>
    <x v="0"/>
    <n v="65308.2"/>
    <x v="0"/>
    <x v="1"/>
    <x v="0"/>
  </r>
  <r>
    <n v="39992"/>
    <x v="3"/>
    <x v="2"/>
    <n v="450"/>
    <n v="100"/>
    <n v="498.97"/>
    <x v="1"/>
    <d v="2024-11-17T00:00:00"/>
    <d v="2024-12-05T00:00:00"/>
    <x v="1"/>
    <x v="0"/>
    <n v="224536.5"/>
    <x v="0"/>
    <x v="0"/>
    <x v="0"/>
  </r>
  <r>
    <n v="60672"/>
    <x v="12"/>
    <x v="0"/>
    <n v="12"/>
    <n v="30"/>
    <n v="211.61"/>
    <x v="4"/>
    <d v="2024-03-22T00:00:00"/>
    <d v="2024-04-04T00:00:00"/>
    <x v="0"/>
    <x v="1"/>
    <n v="2539.3200000000002"/>
    <x v="12"/>
    <x v="1"/>
    <x v="1"/>
  </r>
  <r>
    <n v="68390"/>
    <x v="7"/>
    <x v="3"/>
    <n v="39"/>
    <n v="40"/>
    <n v="216.42"/>
    <x v="4"/>
    <d v="2024-04-17T00:00:00"/>
    <d v="2024-05-24T00:00:00"/>
    <x v="2"/>
    <x v="1"/>
    <n v="8440.3799999999992"/>
    <x v="32"/>
    <x v="1"/>
    <x v="1"/>
  </r>
  <r>
    <n v="32873"/>
    <x v="16"/>
    <x v="3"/>
    <n v="461"/>
    <n v="100"/>
    <n v="214.13"/>
    <x v="3"/>
    <d v="2024-12-23T00:00:00"/>
    <d v="2025-01-22T00:00:00"/>
    <x v="0"/>
    <x v="0"/>
    <n v="98713.93"/>
    <x v="0"/>
    <x v="0"/>
    <x v="0"/>
  </r>
  <r>
    <n v="31330"/>
    <x v="0"/>
    <x v="0"/>
    <n v="145"/>
    <n v="100"/>
    <n v="308.66000000000003"/>
    <x v="2"/>
    <d v="2024-05-20T00:00:00"/>
    <d v="2024-06-17T00:00:00"/>
    <x v="1"/>
    <x v="0"/>
    <n v="44755.700000000004"/>
    <x v="0"/>
    <x v="1"/>
    <x v="0"/>
  </r>
  <r>
    <n v="52269"/>
    <x v="2"/>
    <x v="1"/>
    <n v="13"/>
    <n v="100"/>
    <n v="391.36"/>
    <x v="1"/>
    <d v="2024-12-08T00:00:00"/>
    <d v="2025-01-11T00:00:00"/>
    <x v="2"/>
    <x v="1"/>
    <n v="5087.68"/>
    <x v="49"/>
    <x v="1"/>
    <x v="1"/>
  </r>
  <r>
    <n v="41821"/>
    <x v="2"/>
    <x v="1"/>
    <n v="56"/>
    <n v="30"/>
    <n v="415.61"/>
    <x v="1"/>
    <d v="2024-04-07T00:00:00"/>
    <d v="2024-04-27T00:00:00"/>
    <x v="2"/>
    <x v="0"/>
    <n v="23274.16"/>
    <x v="0"/>
    <x v="1"/>
    <x v="0"/>
  </r>
  <r>
    <n v="92427"/>
    <x v="14"/>
    <x v="4"/>
    <n v="54"/>
    <n v="50"/>
    <n v="57.91"/>
    <x v="3"/>
    <d v="2024-06-16T00:00:00"/>
    <d v="2024-07-15T00:00:00"/>
    <x v="1"/>
    <x v="0"/>
    <n v="3127.14"/>
    <x v="0"/>
    <x v="1"/>
    <x v="0"/>
  </r>
  <r>
    <n v="19117"/>
    <x v="13"/>
    <x v="3"/>
    <n v="373"/>
    <n v="30"/>
    <n v="385.85"/>
    <x v="0"/>
    <d v="2024-09-19T00:00:00"/>
    <d v="2024-10-23T00:00:00"/>
    <x v="1"/>
    <x v="0"/>
    <n v="143922.05000000002"/>
    <x v="0"/>
    <x v="0"/>
    <x v="0"/>
  </r>
  <r>
    <n v="80949"/>
    <x v="10"/>
    <x v="2"/>
    <n v="160"/>
    <n v="100"/>
    <n v="193.22"/>
    <x v="2"/>
    <d v="2024-01-28T00:00:00"/>
    <d v="2024-02-15T00:00:00"/>
    <x v="0"/>
    <x v="0"/>
    <n v="30915.200000000001"/>
    <x v="0"/>
    <x v="1"/>
    <x v="0"/>
  </r>
  <r>
    <n v="86586"/>
    <x v="12"/>
    <x v="0"/>
    <n v="96"/>
    <n v="100"/>
    <n v="254.1"/>
    <x v="0"/>
    <d v="2024-09-27T00:00:00"/>
    <d v="2024-10-04T00:00:00"/>
    <x v="2"/>
    <x v="1"/>
    <n v="24393.599999999999"/>
    <x v="64"/>
    <x v="1"/>
    <x v="1"/>
  </r>
  <r>
    <n v="81458"/>
    <x v="14"/>
    <x v="4"/>
    <n v="387"/>
    <n v="30"/>
    <n v="398.75"/>
    <x v="1"/>
    <d v="2024-09-14T00:00:00"/>
    <d v="2024-10-05T00:00:00"/>
    <x v="2"/>
    <x v="0"/>
    <n v="154316.25"/>
    <x v="0"/>
    <x v="0"/>
    <x v="0"/>
  </r>
  <r>
    <n v="91748"/>
    <x v="9"/>
    <x v="1"/>
    <n v="20"/>
    <n v="150"/>
    <n v="101.11"/>
    <x v="4"/>
    <d v="2024-05-05T00:00:00"/>
    <d v="2024-05-30T00:00:00"/>
    <x v="1"/>
    <x v="1"/>
    <n v="2022.2"/>
    <x v="99"/>
    <x v="1"/>
    <x v="1"/>
  </r>
  <r>
    <n v="94553"/>
    <x v="6"/>
    <x v="3"/>
    <n v="200"/>
    <n v="80"/>
    <n v="324.97000000000003"/>
    <x v="0"/>
    <d v="2024-03-12T00:00:00"/>
    <d v="2024-04-19T00:00:00"/>
    <x v="0"/>
    <x v="0"/>
    <n v="64994.000000000007"/>
    <x v="0"/>
    <x v="1"/>
    <x v="0"/>
  </r>
  <r>
    <n v="92762"/>
    <x v="8"/>
    <x v="1"/>
    <n v="37"/>
    <n v="50"/>
    <n v="306.3"/>
    <x v="1"/>
    <d v="2024-08-28T00:00:00"/>
    <d v="2024-10-05T00:00:00"/>
    <x v="1"/>
    <x v="1"/>
    <n v="11333.1"/>
    <x v="37"/>
    <x v="1"/>
    <x v="1"/>
  </r>
  <r>
    <n v="65916"/>
    <x v="4"/>
    <x v="0"/>
    <n v="42"/>
    <n v="30"/>
    <n v="92.49"/>
    <x v="3"/>
    <d v="2024-06-17T00:00:00"/>
    <d v="2024-07-11T00:00:00"/>
    <x v="0"/>
    <x v="0"/>
    <n v="3884.58"/>
    <x v="0"/>
    <x v="1"/>
    <x v="0"/>
  </r>
  <r>
    <n v="64499"/>
    <x v="11"/>
    <x v="4"/>
    <n v="22"/>
    <n v="150"/>
    <n v="323.16000000000003"/>
    <x v="1"/>
    <d v="2024-12-24T00:00:00"/>
    <d v="2025-02-01T00:00:00"/>
    <x v="2"/>
    <x v="1"/>
    <n v="7109.52"/>
    <x v="100"/>
    <x v="1"/>
    <x v="1"/>
  </r>
  <r>
    <n v="98131"/>
    <x v="16"/>
    <x v="3"/>
    <n v="253"/>
    <n v="100"/>
    <n v="176.32"/>
    <x v="2"/>
    <d v="2024-07-05T00:00:00"/>
    <d v="2024-07-13T00:00:00"/>
    <x v="1"/>
    <x v="0"/>
    <n v="44608.959999999999"/>
    <x v="0"/>
    <x v="1"/>
    <x v="0"/>
  </r>
  <r>
    <n v="13447"/>
    <x v="7"/>
    <x v="3"/>
    <n v="152"/>
    <n v="100"/>
    <n v="238.61"/>
    <x v="0"/>
    <d v="2024-06-10T00:00:00"/>
    <d v="2024-07-06T00:00:00"/>
    <x v="1"/>
    <x v="0"/>
    <n v="36268.720000000001"/>
    <x v="0"/>
    <x v="1"/>
    <x v="0"/>
  </r>
  <r>
    <n v="93205"/>
    <x v="15"/>
    <x v="4"/>
    <n v="291"/>
    <n v="150"/>
    <n v="412.26"/>
    <x v="1"/>
    <d v="2024-05-01T00:00:00"/>
    <d v="2024-06-06T00:00:00"/>
    <x v="2"/>
    <x v="0"/>
    <n v="119967.66"/>
    <x v="0"/>
    <x v="1"/>
    <x v="0"/>
  </r>
  <r>
    <n v="97185"/>
    <x v="3"/>
    <x v="2"/>
    <n v="410"/>
    <n v="20"/>
    <n v="340.16"/>
    <x v="2"/>
    <d v="2024-01-25T00:00:00"/>
    <d v="2024-02-20T00:00:00"/>
    <x v="1"/>
    <x v="0"/>
    <n v="139465.60000000001"/>
    <x v="0"/>
    <x v="0"/>
    <x v="0"/>
  </r>
  <r>
    <n v="52477"/>
    <x v="10"/>
    <x v="2"/>
    <n v="422"/>
    <n v="20"/>
    <n v="166.99"/>
    <x v="4"/>
    <d v="2024-03-14T00:00:00"/>
    <d v="2024-04-21T00:00:00"/>
    <x v="2"/>
    <x v="0"/>
    <n v="70469.78"/>
    <x v="0"/>
    <x v="0"/>
    <x v="0"/>
  </r>
  <r>
    <n v="78774"/>
    <x v="13"/>
    <x v="3"/>
    <n v="424"/>
    <n v="80"/>
    <n v="264.38"/>
    <x v="0"/>
    <d v="2024-05-21T00:00:00"/>
    <d v="2024-06-03T00:00:00"/>
    <x v="1"/>
    <x v="0"/>
    <n v="112097.12"/>
    <x v="0"/>
    <x v="0"/>
    <x v="0"/>
  </r>
  <r>
    <n v="84237"/>
    <x v="9"/>
    <x v="1"/>
    <n v="18"/>
    <n v="30"/>
    <n v="220.84"/>
    <x v="0"/>
    <d v="2024-06-23T00:00:00"/>
    <d v="2024-07-16T00:00:00"/>
    <x v="2"/>
    <x v="1"/>
    <n v="3975.12"/>
    <x v="50"/>
    <x v="1"/>
    <x v="1"/>
  </r>
  <r>
    <n v="10434"/>
    <x v="5"/>
    <x v="2"/>
    <n v="80"/>
    <n v="100"/>
    <n v="29.76"/>
    <x v="4"/>
    <d v="2024-10-09T00:00:00"/>
    <d v="2024-11-01T00:00:00"/>
    <x v="1"/>
    <x v="1"/>
    <n v="2380.8000000000002"/>
    <x v="53"/>
    <x v="1"/>
    <x v="1"/>
  </r>
  <r>
    <n v="49593"/>
    <x v="10"/>
    <x v="2"/>
    <n v="93"/>
    <n v="20"/>
    <n v="425.13"/>
    <x v="2"/>
    <d v="2024-07-04T00:00:00"/>
    <d v="2024-07-16T00:00:00"/>
    <x v="2"/>
    <x v="0"/>
    <n v="39537.089999999997"/>
    <x v="0"/>
    <x v="0"/>
    <x v="0"/>
  </r>
  <r>
    <n v="20596"/>
    <x v="13"/>
    <x v="3"/>
    <n v="273"/>
    <n v="30"/>
    <n v="17.66"/>
    <x v="0"/>
    <d v="2024-07-30T00:00:00"/>
    <d v="2024-08-19T00:00:00"/>
    <x v="2"/>
    <x v="0"/>
    <n v="4821.18"/>
    <x v="0"/>
    <x v="0"/>
    <x v="0"/>
  </r>
  <r>
    <n v="55810"/>
    <x v="3"/>
    <x v="2"/>
    <n v="255"/>
    <n v="30"/>
    <n v="297.11"/>
    <x v="3"/>
    <d v="2024-10-05T00:00:00"/>
    <d v="2024-10-13T00:00:00"/>
    <x v="0"/>
    <x v="0"/>
    <n v="75763.05"/>
    <x v="0"/>
    <x v="0"/>
    <x v="0"/>
  </r>
  <r>
    <n v="28615"/>
    <x v="0"/>
    <x v="0"/>
    <n v="215"/>
    <n v="80"/>
    <n v="229.23"/>
    <x v="3"/>
    <d v="2024-02-24T00:00:00"/>
    <d v="2024-03-15T00:00:00"/>
    <x v="2"/>
    <x v="0"/>
    <n v="49284.45"/>
    <x v="0"/>
    <x v="1"/>
    <x v="0"/>
  </r>
  <r>
    <n v="15700"/>
    <x v="9"/>
    <x v="1"/>
    <n v="428"/>
    <n v="20"/>
    <n v="391.23"/>
    <x v="3"/>
    <d v="2024-08-12T00:00:00"/>
    <d v="2024-08-17T00:00:00"/>
    <x v="2"/>
    <x v="0"/>
    <n v="167446.44"/>
    <x v="0"/>
    <x v="0"/>
    <x v="0"/>
  </r>
  <r>
    <n v="70611"/>
    <x v="0"/>
    <x v="0"/>
    <n v="281"/>
    <n v="50"/>
    <n v="269.42"/>
    <x v="0"/>
    <d v="2024-05-13T00:00:00"/>
    <d v="2024-06-13T00:00:00"/>
    <x v="0"/>
    <x v="0"/>
    <n v="75707.02"/>
    <x v="0"/>
    <x v="0"/>
    <x v="0"/>
  </r>
  <r>
    <n v="37685"/>
    <x v="15"/>
    <x v="4"/>
    <n v="386"/>
    <n v="100"/>
    <n v="40.15"/>
    <x v="4"/>
    <d v="2024-01-30T00:00:00"/>
    <d v="2024-02-24T00:00:00"/>
    <x v="2"/>
    <x v="0"/>
    <n v="15497.9"/>
    <x v="0"/>
    <x v="0"/>
    <x v="0"/>
  </r>
  <r>
    <n v="16584"/>
    <x v="14"/>
    <x v="4"/>
    <n v="111"/>
    <n v="100"/>
    <n v="216.78"/>
    <x v="4"/>
    <d v="2024-05-24T00:00:00"/>
    <d v="2024-06-15T00:00:00"/>
    <x v="2"/>
    <x v="0"/>
    <n v="24062.58"/>
    <x v="0"/>
    <x v="1"/>
    <x v="0"/>
  </r>
  <r>
    <n v="98377"/>
    <x v="12"/>
    <x v="0"/>
    <n v="495"/>
    <n v="50"/>
    <n v="89.58"/>
    <x v="0"/>
    <d v="2024-07-19T00:00:00"/>
    <d v="2024-07-24T00:00:00"/>
    <x v="1"/>
    <x v="0"/>
    <n v="44342.1"/>
    <x v="0"/>
    <x v="0"/>
    <x v="0"/>
  </r>
  <r>
    <n v="32333"/>
    <x v="6"/>
    <x v="3"/>
    <n v="392"/>
    <n v="100"/>
    <n v="109.58"/>
    <x v="0"/>
    <d v="2024-11-06T00:00:00"/>
    <d v="2024-11-29T00:00:00"/>
    <x v="1"/>
    <x v="0"/>
    <n v="42955.360000000001"/>
    <x v="0"/>
    <x v="0"/>
    <x v="0"/>
  </r>
  <r>
    <n v="72303"/>
    <x v="1"/>
    <x v="0"/>
    <n v="26"/>
    <n v="100"/>
    <n v="429.85"/>
    <x v="1"/>
    <d v="2024-12-13T00:00:00"/>
    <d v="2025-01-17T00:00:00"/>
    <x v="1"/>
    <x v="1"/>
    <n v="11176.1"/>
    <x v="74"/>
    <x v="1"/>
    <x v="1"/>
  </r>
  <r>
    <n v="63013"/>
    <x v="15"/>
    <x v="4"/>
    <n v="293"/>
    <n v="100"/>
    <n v="28.06"/>
    <x v="1"/>
    <d v="2024-07-09T00:00:00"/>
    <d v="2024-07-28T00:00:00"/>
    <x v="2"/>
    <x v="0"/>
    <n v="8221.58"/>
    <x v="0"/>
    <x v="1"/>
    <x v="0"/>
  </r>
  <r>
    <n v="67389"/>
    <x v="5"/>
    <x v="2"/>
    <n v="97"/>
    <n v="50"/>
    <n v="453.45"/>
    <x v="2"/>
    <d v="2024-10-28T00:00:00"/>
    <d v="2024-11-29T00:00:00"/>
    <x v="2"/>
    <x v="0"/>
    <n v="43984.65"/>
    <x v="0"/>
    <x v="1"/>
    <x v="0"/>
  </r>
  <r>
    <n v="40580"/>
    <x v="12"/>
    <x v="0"/>
    <n v="160"/>
    <n v="50"/>
    <n v="495.45"/>
    <x v="0"/>
    <d v="2024-02-21T00:00:00"/>
    <d v="2024-03-13T00:00:00"/>
    <x v="1"/>
    <x v="0"/>
    <n v="79272"/>
    <x v="0"/>
    <x v="0"/>
    <x v="0"/>
  </r>
  <r>
    <n v="99100"/>
    <x v="12"/>
    <x v="0"/>
    <n v="356"/>
    <n v="40"/>
    <n v="321.61"/>
    <x v="0"/>
    <d v="2024-07-19T00:00:00"/>
    <d v="2024-07-29T00:00:00"/>
    <x v="2"/>
    <x v="0"/>
    <n v="114493.16"/>
    <x v="0"/>
    <x v="0"/>
    <x v="0"/>
  </r>
  <r>
    <n v="32444"/>
    <x v="4"/>
    <x v="0"/>
    <n v="243"/>
    <n v="50"/>
    <n v="50.08"/>
    <x v="1"/>
    <d v="2024-02-05T00:00:00"/>
    <d v="2024-02-17T00:00:00"/>
    <x v="2"/>
    <x v="0"/>
    <n v="12169.439999999999"/>
    <x v="0"/>
    <x v="0"/>
    <x v="0"/>
  </r>
  <r>
    <n v="96058"/>
    <x v="2"/>
    <x v="1"/>
    <n v="192"/>
    <n v="80"/>
    <n v="165.98"/>
    <x v="4"/>
    <d v="2024-02-01T00:00:00"/>
    <d v="2024-03-10T00:00:00"/>
    <x v="1"/>
    <x v="0"/>
    <n v="31868.159999999996"/>
    <x v="0"/>
    <x v="1"/>
    <x v="0"/>
  </r>
  <r>
    <n v="28227"/>
    <x v="6"/>
    <x v="3"/>
    <n v="62"/>
    <n v="40"/>
    <n v="74.33"/>
    <x v="3"/>
    <d v="2024-04-10T00:00:00"/>
    <d v="2024-05-12T00:00:00"/>
    <x v="2"/>
    <x v="0"/>
    <n v="4608.46"/>
    <x v="0"/>
    <x v="1"/>
    <x v="0"/>
  </r>
  <r>
    <n v="31711"/>
    <x v="9"/>
    <x v="1"/>
    <n v="195"/>
    <n v="100"/>
    <n v="148.91999999999999"/>
    <x v="2"/>
    <d v="2024-09-20T00:00:00"/>
    <d v="2024-10-18T00:00:00"/>
    <x v="1"/>
    <x v="0"/>
    <n v="29039.399999999998"/>
    <x v="0"/>
    <x v="1"/>
    <x v="0"/>
  </r>
  <r>
    <n v="64583"/>
    <x v="14"/>
    <x v="4"/>
    <n v="341"/>
    <n v="100"/>
    <n v="32.51"/>
    <x v="4"/>
    <d v="2024-01-12T00:00:00"/>
    <d v="2024-02-03T00:00:00"/>
    <x v="0"/>
    <x v="0"/>
    <n v="11085.91"/>
    <x v="0"/>
    <x v="0"/>
    <x v="0"/>
  </r>
  <r>
    <n v="72257"/>
    <x v="14"/>
    <x v="4"/>
    <n v="104"/>
    <n v="100"/>
    <n v="378.77"/>
    <x v="4"/>
    <d v="2024-06-17T00:00:00"/>
    <d v="2024-06-22T00:00:00"/>
    <x v="0"/>
    <x v="0"/>
    <n v="39392.080000000002"/>
    <x v="0"/>
    <x v="1"/>
    <x v="0"/>
  </r>
  <r>
    <n v="34408"/>
    <x v="2"/>
    <x v="1"/>
    <n v="27"/>
    <n v="100"/>
    <n v="41.71"/>
    <x v="1"/>
    <d v="2024-02-10T00:00:00"/>
    <d v="2024-02-26T00:00:00"/>
    <x v="1"/>
    <x v="1"/>
    <n v="1126.17"/>
    <x v="92"/>
    <x v="1"/>
    <x v="1"/>
  </r>
  <r>
    <n v="94731"/>
    <x v="6"/>
    <x v="3"/>
    <n v="417"/>
    <n v="150"/>
    <n v="414.34"/>
    <x v="4"/>
    <d v="2024-08-26T00:00:00"/>
    <d v="2024-09-06T00:00:00"/>
    <x v="1"/>
    <x v="0"/>
    <n v="172779.78"/>
    <x v="0"/>
    <x v="1"/>
    <x v="0"/>
  </r>
  <r>
    <n v="47869"/>
    <x v="1"/>
    <x v="0"/>
    <n v="307"/>
    <n v="150"/>
    <n v="271.72000000000003"/>
    <x v="1"/>
    <d v="2024-01-26T00:00:00"/>
    <d v="2024-02-25T00:00:00"/>
    <x v="2"/>
    <x v="0"/>
    <n v="83418.040000000008"/>
    <x v="0"/>
    <x v="1"/>
    <x v="0"/>
  </r>
  <r>
    <n v="11711"/>
    <x v="14"/>
    <x v="4"/>
    <n v="244"/>
    <n v="100"/>
    <n v="224.97"/>
    <x v="1"/>
    <d v="2024-07-23T00:00:00"/>
    <d v="2024-08-23T00:00:00"/>
    <x v="2"/>
    <x v="0"/>
    <n v="54892.68"/>
    <x v="0"/>
    <x v="1"/>
    <x v="0"/>
  </r>
  <r>
    <n v="26220"/>
    <x v="2"/>
    <x v="1"/>
    <n v="22"/>
    <n v="150"/>
    <n v="454.9"/>
    <x v="3"/>
    <d v="2024-01-27T00:00:00"/>
    <d v="2024-02-24T00:00:00"/>
    <x v="1"/>
    <x v="1"/>
    <n v="10007.799999999999"/>
    <x v="100"/>
    <x v="1"/>
    <x v="1"/>
  </r>
  <r>
    <n v="85205"/>
    <x v="3"/>
    <x v="2"/>
    <n v="91"/>
    <n v="40"/>
    <n v="354.12"/>
    <x v="3"/>
    <d v="2024-10-26T00:00:00"/>
    <d v="2024-11-06T00:00:00"/>
    <x v="0"/>
    <x v="0"/>
    <n v="32224.920000000002"/>
    <x v="0"/>
    <x v="1"/>
    <x v="0"/>
  </r>
  <r>
    <n v="69453"/>
    <x v="10"/>
    <x v="2"/>
    <n v="358"/>
    <n v="100"/>
    <n v="462.69"/>
    <x v="3"/>
    <d v="2024-12-07T00:00:00"/>
    <d v="2025-01-14T00:00:00"/>
    <x v="0"/>
    <x v="0"/>
    <n v="165643.01999999999"/>
    <x v="0"/>
    <x v="0"/>
    <x v="0"/>
  </r>
  <r>
    <n v="52287"/>
    <x v="11"/>
    <x v="4"/>
    <n v="315"/>
    <n v="30"/>
    <n v="68.5"/>
    <x v="4"/>
    <d v="2024-12-12T00:00:00"/>
    <d v="2024-12-30T00:00:00"/>
    <x v="0"/>
    <x v="0"/>
    <n v="21577.5"/>
    <x v="0"/>
    <x v="0"/>
    <x v="0"/>
  </r>
  <r>
    <n v="59625"/>
    <x v="1"/>
    <x v="0"/>
    <n v="219"/>
    <n v="150"/>
    <n v="365.06"/>
    <x v="2"/>
    <d v="2024-08-04T00:00:00"/>
    <d v="2024-08-12T00:00:00"/>
    <x v="2"/>
    <x v="0"/>
    <n v="79948.14"/>
    <x v="0"/>
    <x v="1"/>
    <x v="0"/>
  </r>
  <r>
    <n v="58786"/>
    <x v="10"/>
    <x v="2"/>
    <n v="16"/>
    <n v="150"/>
    <n v="37.18"/>
    <x v="1"/>
    <d v="2024-03-02T00:00:00"/>
    <d v="2024-03-11T00:00:00"/>
    <x v="1"/>
    <x v="1"/>
    <n v="594.88"/>
    <x v="101"/>
    <x v="1"/>
    <x v="1"/>
  </r>
  <r>
    <n v="56489"/>
    <x v="2"/>
    <x v="1"/>
    <n v="430"/>
    <n v="150"/>
    <n v="147.16999999999999"/>
    <x v="3"/>
    <d v="2024-08-17T00:00:00"/>
    <d v="2024-09-15T00:00:00"/>
    <x v="1"/>
    <x v="0"/>
    <n v="63283.099999999991"/>
    <x v="0"/>
    <x v="1"/>
    <x v="0"/>
  </r>
  <r>
    <n v="17802"/>
    <x v="11"/>
    <x v="4"/>
    <n v="249"/>
    <n v="20"/>
    <n v="51.96"/>
    <x v="1"/>
    <d v="2024-10-02T00:00:00"/>
    <d v="2024-10-16T00:00:00"/>
    <x v="0"/>
    <x v="0"/>
    <n v="12938.04"/>
    <x v="0"/>
    <x v="0"/>
    <x v="0"/>
  </r>
  <r>
    <n v="50324"/>
    <x v="12"/>
    <x v="0"/>
    <n v="39"/>
    <n v="20"/>
    <n v="92.64"/>
    <x v="1"/>
    <d v="2024-03-11T00:00:00"/>
    <d v="2024-03-24T00:00:00"/>
    <x v="1"/>
    <x v="0"/>
    <n v="3612.96"/>
    <x v="0"/>
    <x v="1"/>
    <x v="0"/>
  </r>
  <r>
    <n v="73140"/>
    <x v="5"/>
    <x v="2"/>
    <n v="344"/>
    <n v="20"/>
    <n v="108.92"/>
    <x v="4"/>
    <d v="2024-05-18T00:00:00"/>
    <d v="2024-06-08T00:00:00"/>
    <x v="2"/>
    <x v="0"/>
    <n v="37468.480000000003"/>
    <x v="0"/>
    <x v="0"/>
    <x v="0"/>
  </r>
  <r>
    <n v="78344"/>
    <x v="10"/>
    <x v="2"/>
    <n v="361"/>
    <n v="80"/>
    <n v="329.95"/>
    <x v="1"/>
    <d v="2024-07-16T00:00:00"/>
    <d v="2024-08-10T00:00:00"/>
    <x v="2"/>
    <x v="0"/>
    <n v="119111.95"/>
    <x v="0"/>
    <x v="0"/>
    <x v="0"/>
  </r>
  <r>
    <n v="39236"/>
    <x v="14"/>
    <x v="4"/>
    <n v="463"/>
    <n v="20"/>
    <n v="377.47"/>
    <x v="4"/>
    <d v="2024-10-08T00:00:00"/>
    <d v="2024-10-31T00:00:00"/>
    <x v="0"/>
    <x v="0"/>
    <n v="174768.61000000002"/>
    <x v="0"/>
    <x v="0"/>
    <x v="0"/>
  </r>
  <r>
    <n v="76084"/>
    <x v="16"/>
    <x v="3"/>
    <n v="360"/>
    <n v="80"/>
    <n v="129.84"/>
    <x v="3"/>
    <d v="2024-03-21T00:00:00"/>
    <d v="2024-03-26T00:00:00"/>
    <x v="2"/>
    <x v="0"/>
    <n v="46742.400000000001"/>
    <x v="0"/>
    <x v="0"/>
    <x v="0"/>
  </r>
  <r>
    <n v="21467"/>
    <x v="11"/>
    <x v="4"/>
    <n v="58"/>
    <n v="20"/>
    <n v="250.39"/>
    <x v="0"/>
    <d v="2024-10-19T00:00:00"/>
    <d v="2024-11-23T00:00:00"/>
    <x v="2"/>
    <x v="0"/>
    <n v="14522.619999999999"/>
    <x v="0"/>
    <x v="1"/>
    <x v="0"/>
  </r>
  <r>
    <n v="79537"/>
    <x v="7"/>
    <x v="3"/>
    <n v="19"/>
    <n v="80"/>
    <n v="224.04"/>
    <x v="4"/>
    <d v="2024-02-15T00:00:00"/>
    <d v="2024-03-21T00:00:00"/>
    <x v="1"/>
    <x v="1"/>
    <n v="4256.76"/>
    <x v="33"/>
    <x v="1"/>
    <x v="1"/>
  </r>
  <r>
    <n v="19236"/>
    <x v="9"/>
    <x v="1"/>
    <n v="202"/>
    <n v="20"/>
    <n v="336.32"/>
    <x v="1"/>
    <d v="2024-06-22T00:00:00"/>
    <d v="2024-07-05T00:00:00"/>
    <x v="2"/>
    <x v="0"/>
    <n v="67936.639999999999"/>
    <x v="0"/>
    <x v="0"/>
    <x v="0"/>
  </r>
  <r>
    <n v="30096"/>
    <x v="6"/>
    <x v="3"/>
    <n v="328"/>
    <n v="80"/>
    <n v="191.54"/>
    <x v="4"/>
    <d v="2024-06-16T00:00:00"/>
    <d v="2024-07-01T00:00:00"/>
    <x v="2"/>
    <x v="0"/>
    <n v="62825.119999999995"/>
    <x v="0"/>
    <x v="0"/>
    <x v="0"/>
  </r>
  <r>
    <n v="88229"/>
    <x v="2"/>
    <x v="1"/>
    <n v="317"/>
    <n v="100"/>
    <n v="177.61"/>
    <x v="1"/>
    <d v="2024-10-28T00:00:00"/>
    <d v="2024-11-06T00:00:00"/>
    <x v="0"/>
    <x v="0"/>
    <n v="56302.37"/>
    <x v="0"/>
    <x v="0"/>
    <x v="0"/>
  </r>
  <r>
    <n v="50178"/>
    <x v="5"/>
    <x v="2"/>
    <n v="494"/>
    <n v="150"/>
    <n v="330.65"/>
    <x v="2"/>
    <d v="2024-01-31T00:00:00"/>
    <d v="2024-02-16T00:00:00"/>
    <x v="2"/>
    <x v="0"/>
    <n v="163341.09999999998"/>
    <x v="0"/>
    <x v="0"/>
    <x v="0"/>
  </r>
  <r>
    <n v="82354"/>
    <x v="5"/>
    <x v="2"/>
    <n v="307"/>
    <n v="80"/>
    <n v="164.01"/>
    <x v="4"/>
    <d v="2024-10-07T00:00:00"/>
    <d v="2024-11-15T00:00:00"/>
    <x v="2"/>
    <x v="0"/>
    <n v="50351.07"/>
    <x v="0"/>
    <x v="0"/>
    <x v="0"/>
  </r>
  <r>
    <n v="78099"/>
    <x v="3"/>
    <x v="2"/>
    <n v="222"/>
    <n v="80"/>
    <n v="362.51"/>
    <x v="1"/>
    <d v="2024-07-10T00:00:00"/>
    <d v="2024-08-03T00:00:00"/>
    <x v="1"/>
    <x v="0"/>
    <n v="80477.22"/>
    <x v="0"/>
    <x v="1"/>
    <x v="0"/>
  </r>
  <r>
    <n v="26442"/>
    <x v="1"/>
    <x v="0"/>
    <n v="121"/>
    <n v="20"/>
    <n v="350.24"/>
    <x v="4"/>
    <d v="2024-12-23T00:00:00"/>
    <d v="2025-01-21T00:00:00"/>
    <x v="0"/>
    <x v="0"/>
    <n v="42379.040000000001"/>
    <x v="0"/>
    <x v="0"/>
    <x v="0"/>
  </r>
  <r>
    <n v="49309"/>
    <x v="6"/>
    <x v="3"/>
    <n v="269"/>
    <n v="150"/>
    <n v="65.2"/>
    <x v="3"/>
    <d v="2024-01-03T00:00:00"/>
    <d v="2024-01-23T00:00:00"/>
    <x v="1"/>
    <x v="0"/>
    <n v="17538.8"/>
    <x v="0"/>
    <x v="1"/>
    <x v="0"/>
  </r>
  <r>
    <n v="37215"/>
    <x v="6"/>
    <x v="3"/>
    <n v="435"/>
    <n v="30"/>
    <n v="203.84"/>
    <x v="1"/>
    <d v="2024-12-17T00:00:00"/>
    <d v="2024-12-26T00:00:00"/>
    <x v="2"/>
    <x v="0"/>
    <n v="88670.400000000009"/>
    <x v="0"/>
    <x v="0"/>
    <x v="0"/>
  </r>
  <r>
    <n v="26772"/>
    <x v="15"/>
    <x v="4"/>
    <n v="269"/>
    <n v="150"/>
    <n v="252.98"/>
    <x v="0"/>
    <d v="2024-10-23T00:00:00"/>
    <d v="2024-11-10T00:00:00"/>
    <x v="0"/>
    <x v="0"/>
    <n v="68051.62"/>
    <x v="0"/>
    <x v="1"/>
    <x v="0"/>
  </r>
  <r>
    <n v="35874"/>
    <x v="6"/>
    <x v="3"/>
    <n v="260"/>
    <n v="20"/>
    <n v="382.93"/>
    <x v="1"/>
    <d v="2024-02-05T00:00:00"/>
    <d v="2024-02-24T00:00:00"/>
    <x v="0"/>
    <x v="0"/>
    <n v="99561.8"/>
    <x v="0"/>
    <x v="0"/>
    <x v="0"/>
  </r>
  <r>
    <n v="42735"/>
    <x v="0"/>
    <x v="0"/>
    <n v="439"/>
    <n v="20"/>
    <n v="219.06"/>
    <x v="1"/>
    <d v="2024-07-28T00:00:00"/>
    <d v="2024-08-19T00:00:00"/>
    <x v="2"/>
    <x v="0"/>
    <n v="96167.34"/>
    <x v="0"/>
    <x v="0"/>
    <x v="0"/>
  </r>
  <r>
    <n v="20068"/>
    <x v="15"/>
    <x v="4"/>
    <n v="464"/>
    <n v="150"/>
    <n v="144.04"/>
    <x v="0"/>
    <d v="2024-01-10T00:00:00"/>
    <d v="2024-01-19T00:00:00"/>
    <x v="1"/>
    <x v="0"/>
    <n v="66834.559999999998"/>
    <x v="0"/>
    <x v="0"/>
    <x v="0"/>
  </r>
  <r>
    <n v="30773"/>
    <x v="7"/>
    <x v="3"/>
    <n v="482"/>
    <n v="100"/>
    <n v="481.19"/>
    <x v="2"/>
    <d v="2024-01-18T00:00:00"/>
    <d v="2024-02-20T00:00:00"/>
    <x v="1"/>
    <x v="0"/>
    <n v="231933.58"/>
    <x v="0"/>
    <x v="0"/>
    <x v="0"/>
  </r>
  <r>
    <n v="61869"/>
    <x v="12"/>
    <x v="0"/>
    <n v="18"/>
    <n v="50"/>
    <n v="121.05"/>
    <x v="0"/>
    <d v="2024-05-20T00:00:00"/>
    <d v="2024-06-23T00:00:00"/>
    <x v="2"/>
    <x v="1"/>
    <n v="2178.9"/>
    <x v="31"/>
    <x v="1"/>
    <x v="1"/>
  </r>
  <r>
    <n v="97110"/>
    <x v="0"/>
    <x v="0"/>
    <n v="360"/>
    <n v="20"/>
    <n v="249.84"/>
    <x v="3"/>
    <d v="2024-12-03T00:00:00"/>
    <d v="2024-12-26T00:00:00"/>
    <x v="1"/>
    <x v="0"/>
    <n v="89942.399999999994"/>
    <x v="0"/>
    <x v="0"/>
    <x v="0"/>
  </r>
  <r>
    <n v="28728"/>
    <x v="2"/>
    <x v="1"/>
    <n v="470"/>
    <n v="50"/>
    <n v="329.84"/>
    <x v="2"/>
    <d v="2024-09-16T00:00:00"/>
    <d v="2024-09-25T00:00:00"/>
    <x v="1"/>
    <x v="0"/>
    <n v="155024.79999999999"/>
    <x v="0"/>
    <x v="0"/>
    <x v="0"/>
  </r>
  <r>
    <n v="72651"/>
    <x v="16"/>
    <x v="3"/>
    <n v="444"/>
    <n v="40"/>
    <n v="94.11"/>
    <x v="3"/>
    <d v="2024-01-13T00:00:00"/>
    <d v="2024-01-31T00:00:00"/>
    <x v="1"/>
    <x v="0"/>
    <n v="41784.839999999997"/>
    <x v="0"/>
    <x v="0"/>
    <x v="0"/>
  </r>
  <r>
    <n v="32286"/>
    <x v="15"/>
    <x v="4"/>
    <n v="427"/>
    <n v="50"/>
    <n v="57.66"/>
    <x v="1"/>
    <d v="2024-07-17T00:00:00"/>
    <d v="2024-08-04T00:00:00"/>
    <x v="2"/>
    <x v="0"/>
    <n v="24620.82"/>
    <x v="0"/>
    <x v="0"/>
    <x v="0"/>
  </r>
  <r>
    <n v="19321"/>
    <x v="15"/>
    <x v="4"/>
    <n v="235"/>
    <n v="80"/>
    <n v="210.15"/>
    <x v="3"/>
    <d v="2024-02-04T00:00:00"/>
    <d v="2024-03-02T00:00:00"/>
    <x v="2"/>
    <x v="0"/>
    <n v="49385.25"/>
    <x v="0"/>
    <x v="1"/>
    <x v="0"/>
  </r>
  <r>
    <n v="35727"/>
    <x v="3"/>
    <x v="2"/>
    <n v="99"/>
    <n v="80"/>
    <n v="20.85"/>
    <x v="4"/>
    <d v="2024-07-13T00:00:00"/>
    <d v="2024-07-25T00:00:00"/>
    <x v="1"/>
    <x v="0"/>
    <n v="2064.15"/>
    <x v="0"/>
    <x v="1"/>
    <x v="0"/>
  </r>
  <r>
    <n v="20796"/>
    <x v="14"/>
    <x v="4"/>
    <n v="389"/>
    <n v="50"/>
    <n v="429.86"/>
    <x v="1"/>
    <d v="2024-02-05T00:00:00"/>
    <d v="2024-03-12T00:00:00"/>
    <x v="0"/>
    <x v="0"/>
    <n v="167215.54"/>
    <x v="0"/>
    <x v="0"/>
    <x v="0"/>
  </r>
  <r>
    <n v="69402"/>
    <x v="9"/>
    <x v="1"/>
    <n v="86"/>
    <n v="30"/>
    <n v="456.33"/>
    <x v="1"/>
    <d v="2024-05-09T00:00:00"/>
    <d v="2024-05-16T00:00:00"/>
    <x v="1"/>
    <x v="0"/>
    <n v="39244.379999999997"/>
    <x v="0"/>
    <x v="1"/>
    <x v="0"/>
  </r>
  <r>
    <n v="56303"/>
    <x v="5"/>
    <x v="2"/>
    <n v="398"/>
    <n v="40"/>
    <n v="499.84"/>
    <x v="3"/>
    <d v="2024-12-13T00:00:00"/>
    <d v="2025-01-14T00:00:00"/>
    <x v="0"/>
    <x v="0"/>
    <n v="198936.31999999998"/>
    <x v="0"/>
    <x v="0"/>
    <x v="0"/>
  </r>
  <r>
    <n v="97267"/>
    <x v="3"/>
    <x v="2"/>
    <n v="347"/>
    <n v="20"/>
    <n v="204.77"/>
    <x v="1"/>
    <d v="2024-02-11T00:00:00"/>
    <d v="2024-03-20T00:00:00"/>
    <x v="2"/>
    <x v="0"/>
    <n v="71055.19"/>
    <x v="0"/>
    <x v="0"/>
    <x v="0"/>
  </r>
  <r>
    <n v="73967"/>
    <x v="6"/>
    <x v="3"/>
    <n v="388"/>
    <n v="50"/>
    <n v="449.04"/>
    <x v="1"/>
    <d v="2024-03-15T00:00:00"/>
    <d v="2024-04-18T00:00:00"/>
    <x v="2"/>
    <x v="0"/>
    <n v="174227.52000000002"/>
    <x v="0"/>
    <x v="0"/>
    <x v="0"/>
  </r>
  <r>
    <n v="15539"/>
    <x v="4"/>
    <x v="0"/>
    <n v="469"/>
    <n v="150"/>
    <n v="197.75"/>
    <x v="3"/>
    <d v="2024-04-05T00:00:00"/>
    <d v="2024-05-07T00:00:00"/>
    <x v="0"/>
    <x v="0"/>
    <n v="92744.75"/>
    <x v="0"/>
    <x v="0"/>
    <x v="0"/>
  </r>
  <r>
    <n v="94766"/>
    <x v="0"/>
    <x v="0"/>
    <n v="249"/>
    <n v="100"/>
    <n v="346.49"/>
    <x v="0"/>
    <d v="2024-07-02T00:00:00"/>
    <d v="2024-07-10T00:00:00"/>
    <x v="2"/>
    <x v="0"/>
    <n v="86276.010000000009"/>
    <x v="0"/>
    <x v="1"/>
    <x v="0"/>
  </r>
  <r>
    <n v="37912"/>
    <x v="8"/>
    <x v="1"/>
    <n v="68"/>
    <n v="100"/>
    <n v="331.96"/>
    <x v="2"/>
    <d v="2024-12-12T00:00:00"/>
    <d v="2024-12-24T00:00:00"/>
    <x v="0"/>
    <x v="1"/>
    <n v="22573.279999999999"/>
    <x v="31"/>
    <x v="1"/>
    <x v="1"/>
  </r>
  <r>
    <n v="14090"/>
    <x v="9"/>
    <x v="1"/>
    <n v="223"/>
    <n v="150"/>
    <n v="377.71"/>
    <x v="0"/>
    <d v="2024-06-13T00:00:00"/>
    <d v="2024-07-06T00:00:00"/>
    <x v="0"/>
    <x v="0"/>
    <n v="84229.33"/>
    <x v="0"/>
    <x v="1"/>
    <x v="0"/>
  </r>
  <r>
    <n v="84062"/>
    <x v="0"/>
    <x v="0"/>
    <n v="489"/>
    <n v="40"/>
    <n v="160.82"/>
    <x v="1"/>
    <d v="2024-06-07T00:00:00"/>
    <d v="2024-06-22T00:00:00"/>
    <x v="1"/>
    <x v="0"/>
    <n v="78640.98"/>
    <x v="0"/>
    <x v="0"/>
    <x v="0"/>
  </r>
  <r>
    <n v="81857"/>
    <x v="5"/>
    <x v="2"/>
    <n v="386"/>
    <n v="30"/>
    <n v="181.71"/>
    <x v="3"/>
    <d v="2024-05-27T00:00:00"/>
    <d v="2024-06-29T00:00:00"/>
    <x v="1"/>
    <x v="0"/>
    <n v="70140.06"/>
    <x v="0"/>
    <x v="0"/>
    <x v="0"/>
  </r>
  <r>
    <n v="66878"/>
    <x v="14"/>
    <x v="4"/>
    <n v="246"/>
    <n v="100"/>
    <n v="336.86"/>
    <x v="1"/>
    <d v="2024-12-17T00:00:00"/>
    <d v="2024-12-31T00:00:00"/>
    <x v="1"/>
    <x v="0"/>
    <n v="82867.56"/>
    <x v="0"/>
    <x v="1"/>
    <x v="0"/>
  </r>
  <r>
    <n v="95827"/>
    <x v="1"/>
    <x v="0"/>
    <n v="112"/>
    <n v="50"/>
    <n v="354.58"/>
    <x v="3"/>
    <d v="2024-02-22T00:00:00"/>
    <d v="2024-02-28T00:00:00"/>
    <x v="1"/>
    <x v="0"/>
    <n v="39712.959999999999"/>
    <x v="0"/>
    <x v="1"/>
    <x v="0"/>
  </r>
  <r>
    <n v="66614"/>
    <x v="8"/>
    <x v="1"/>
    <n v="197"/>
    <n v="150"/>
    <n v="12.66"/>
    <x v="0"/>
    <d v="2024-03-03T00:00:00"/>
    <d v="2024-03-08T00:00:00"/>
    <x v="0"/>
    <x v="0"/>
    <n v="2494.02"/>
    <x v="0"/>
    <x v="1"/>
    <x v="0"/>
  </r>
  <r>
    <n v="85499"/>
    <x v="11"/>
    <x v="4"/>
    <n v="332"/>
    <n v="50"/>
    <n v="137.33000000000001"/>
    <x v="0"/>
    <d v="2024-10-12T00:00:00"/>
    <d v="2024-11-05T00:00:00"/>
    <x v="2"/>
    <x v="0"/>
    <n v="45593.560000000005"/>
    <x v="0"/>
    <x v="0"/>
    <x v="0"/>
  </r>
  <r>
    <n v="76600"/>
    <x v="5"/>
    <x v="2"/>
    <n v="51"/>
    <n v="150"/>
    <n v="65.56"/>
    <x v="3"/>
    <d v="2024-04-14T00:00:00"/>
    <d v="2024-05-22T00:00:00"/>
    <x v="0"/>
    <x v="1"/>
    <n v="3343.56"/>
    <x v="102"/>
    <x v="1"/>
    <x v="1"/>
  </r>
  <r>
    <n v="62433"/>
    <x v="2"/>
    <x v="1"/>
    <n v="334"/>
    <n v="20"/>
    <n v="16.43"/>
    <x v="1"/>
    <d v="2024-12-17T00:00:00"/>
    <d v="2025-01-23T00:00:00"/>
    <x v="2"/>
    <x v="0"/>
    <n v="5487.62"/>
    <x v="0"/>
    <x v="0"/>
    <x v="0"/>
  </r>
  <r>
    <n v="61782"/>
    <x v="0"/>
    <x v="0"/>
    <n v="406"/>
    <n v="80"/>
    <n v="189.28"/>
    <x v="3"/>
    <d v="2024-05-24T00:00:00"/>
    <d v="2024-06-28T00:00:00"/>
    <x v="2"/>
    <x v="0"/>
    <n v="76847.680000000008"/>
    <x v="0"/>
    <x v="0"/>
    <x v="0"/>
  </r>
  <r>
    <n v="60021"/>
    <x v="13"/>
    <x v="3"/>
    <n v="270"/>
    <n v="80"/>
    <n v="327.33999999999997"/>
    <x v="1"/>
    <d v="2024-06-01T00:00:00"/>
    <d v="2024-06-26T00:00:00"/>
    <x v="1"/>
    <x v="0"/>
    <n v="88381.799999999988"/>
    <x v="0"/>
    <x v="0"/>
    <x v="0"/>
  </r>
  <r>
    <n v="65822"/>
    <x v="8"/>
    <x v="1"/>
    <n v="451"/>
    <n v="50"/>
    <n v="187.29"/>
    <x v="2"/>
    <d v="2024-08-05T00:00:00"/>
    <d v="2024-09-12T00:00:00"/>
    <x v="2"/>
    <x v="0"/>
    <n v="84467.79"/>
    <x v="0"/>
    <x v="0"/>
    <x v="0"/>
  </r>
  <r>
    <n v="17925"/>
    <x v="12"/>
    <x v="0"/>
    <n v="264"/>
    <n v="150"/>
    <n v="70.010000000000005"/>
    <x v="2"/>
    <d v="2024-07-25T00:00:00"/>
    <d v="2024-08-07T00:00:00"/>
    <x v="0"/>
    <x v="0"/>
    <n v="18482.640000000003"/>
    <x v="0"/>
    <x v="1"/>
    <x v="0"/>
  </r>
  <r>
    <n v="17883"/>
    <x v="5"/>
    <x v="2"/>
    <n v="18"/>
    <n v="50"/>
    <n v="385.63"/>
    <x v="4"/>
    <d v="2024-08-28T00:00:00"/>
    <d v="2024-09-08T00:00:00"/>
    <x v="2"/>
    <x v="1"/>
    <n v="6941.34"/>
    <x v="31"/>
    <x v="1"/>
    <x v="1"/>
  </r>
  <r>
    <n v="80543"/>
    <x v="3"/>
    <x v="2"/>
    <n v="306"/>
    <n v="50"/>
    <n v="296.32"/>
    <x v="2"/>
    <d v="2024-03-09T00:00:00"/>
    <d v="2024-03-17T00:00:00"/>
    <x v="2"/>
    <x v="0"/>
    <n v="90673.919999999998"/>
    <x v="0"/>
    <x v="0"/>
    <x v="0"/>
  </r>
  <r>
    <n v="63634"/>
    <x v="9"/>
    <x v="1"/>
    <n v="5"/>
    <n v="40"/>
    <n v="56.52"/>
    <x v="2"/>
    <d v="2024-03-07T00:00:00"/>
    <d v="2024-03-22T00:00:00"/>
    <x v="2"/>
    <x v="1"/>
    <n v="282.60000000000002"/>
    <x v="40"/>
    <x v="1"/>
    <x v="1"/>
  </r>
  <r>
    <n v="31143"/>
    <x v="14"/>
    <x v="4"/>
    <n v="431"/>
    <n v="40"/>
    <n v="108.7"/>
    <x v="2"/>
    <d v="2024-05-19T00:00:00"/>
    <d v="2024-06-05T00:00:00"/>
    <x v="0"/>
    <x v="0"/>
    <n v="46849.700000000004"/>
    <x v="0"/>
    <x v="0"/>
    <x v="0"/>
  </r>
  <r>
    <n v="60235"/>
    <x v="16"/>
    <x v="3"/>
    <n v="375"/>
    <n v="50"/>
    <n v="478.49"/>
    <x v="0"/>
    <d v="2024-07-22T00:00:00"/>
    <d v="2024-08-16T00:00:00"/>
    <x v="0"/>
    <x v="0"/>
    <n v="179433.75"/>
    <x v="0"/>
    <x v="0"/>
    <x v="0"/>
  </r>
  <r>
    <n v="95333"/>
    <x v="5"/>
    <x v="2"/>
    <n v="244"/>
    <n v="100"/>
    <n v="323.56"/>
    <x v="1"/>
    <d v="2024-03-16T00:00:00"/>
    <d v="2024-04-03T00:00:00"/>
    <x v="1"/>
    <x v="0"/>
    <n v="78948.639999999999"/>
    <x v="0"/>
    <x v="1"/>
    <x v="0"/>
  </r>
  <r>
    <n v="25065"/>
    <x v="5"/>
    <x v="2"/>
    <n v="189"/>
    <n v="100"/>
    <n v="283.77999999999997"/>
    <x v="1"/>
    <d v="2024-05-27T00:00:00"/>
    <d v="2024-06-21T00:00:00"/>
    <x v="2"/>
    <x v="0"/>
    <n v="53634.42"/>
    <x v="0"/>
    <x v="1"/>
    <x v="0"/>
  </r>
  <r>
    <n v="73908"/>
    <x v="11"/>
    <x v="4"/>
    <n v="150"/>
    <n v="50"/>
    <n v="112.01"/>
    <x v="3"/>
    <d v="2024-05-07T00:00:00"/>
    <d v="2024-05-25T00:00:00"/>
    <x v="2"/>
    <x v="0"/>
    <n v="16801.5"/>
    <x v="0"/>
    <x v="1"/>
    <x v="0"/>
  </r>
  <r>
    <n v="44579"/>
    <x v="9"/>
    <x v="1"/>
    <n v="21"/>
    <n v="150"/>
    <n v="427.86"/>
    <x v="0"/>
    <d v="2024-05-28T00:00:00"/>
    <d v="2024-06-17T00:00:00"/>
    <x v="1"/>
    <x v="1"/>
    <n v="8985.06"/>
    <x v="103"/>
    <x v="1"/>
    <x v="1"/>
  </r>
  <r>
    <n v="80640"/>
    <x v="15"/>
    <x v="4"/>
    <n v="303"/>
    <n v="150"/>
    <n v="93.35"/>
    <x v="2"/>
    <d v="2024-08-29T00:00:00"/>
    <d v="2024-09-06T00:00:00"/>
    <x v="1"/>
    <x v="0"/>
    <n v="28285.05"/>
    <x v="0"/>
    <x v="1"/>
    <x v="0"/>
  </r>
  <r>
    <n v="28366"/>
    <x v="12"/>
    <x v="0"/>
    <n v="351"/>
    <n v="30"/>
    <n v="167.9"/>
    <x v="3"/>
    <d v="2024-03-26T00:00:00"/>
    <d v="2024-04-13T00:00:00"/>
    <x v="0"/>
    <x v="0"/>
    <n v="58932.9"/>
    <x v="0"/>
    <x v="0"/>
    <x v="0"/>
  </r>
  <r>
    <n v="78617"/>
    <x v="3"/>
    <x v="2"/>
    <n v="441"/>
    <n v="150"/>
    <n v="313.13"/>
    <x v="1"/>
    <d v="2024-07-01T00:00:00"/>
    <d v="2024-07-17T00:00:00"/>
    <x v="2"/>
    <x v="0"/>
    <n v="138090.32999999999"/>
    <x v="0"/>
    <x v="1"/>
    <x v="0"/>
  </r>
  <r>
    <n v="84642"/>
    <x v="0"/>
    <x v="0"/>
    <n v="350"/>
    <n v="40"/>
    <n v="488.6"/>
    <x v="3"/>
    <d v="2024-07-19T00:00:00"/>
    <d v="2024-08-06T00:00:00"/>
    <x v="0"/>
    <x v="0"/>
    <n v="171010"/>
    <x v="0"/>
    <x v="0"/>
    <x v="0"/>
  </r>
  <r>
    <n v="89865"/>
    <x v="15"/>
    <x v="4"/>
    <n v="366"/>
    <n v="100"/>
    <n v="459.86"/>
    <x v="2"/>
    <d v="2024-02-24T00:00:00"/>
    <d v="2024-03-08T00:00:00"/>
    <x v="1"/>
    <x v="0"/>
    <n v="168308.76"/>
    <x v="0"/>
    <x v="0"/>
    <x v="0"/>
  </r>
  <r>
    <n v="44052"/>
    <x v="0"/>
    <x v="0"/>
    <n v="391"/>
    <n v="20"/>
    <n v="98.39"/>
    <x v="1"/>
    <d v="2024-02-16T00:00:00"/>
    <d v="2024-03-02T00:00:00"/>
    <x v="1"/>
    <x v="0"/>
    <n v="38470.49"/>
    <x v="0"/>
    <x v="0"/>
    <x v="0"/>
  </r>
  <r>
    <n v="38702"/>
    <x v="14"/>
    <x v="4"/>
    <n v="260"/>
    <n v="100"/>
    <n v="381.89"/>
    <x v="0"/>
    <d v="2024-12-03T00:00:00"/>
    <d v="2024-12-12T00:00:00"/>
    <x v="0"/>
    <x v="0"/>
    <n v="99291.4"/>
    <x v="0"/>
    <x v="1"/>
    <x v="0"/>
  </r>
  <r>
    <n v="76198"/>
    <x v="6"/>
    <x v="3"/>
    <n v="411"/>
    <n v="100"/>
    <n v="75.069999999999993"/>
    <x v="4"/>
    <d v="2024-10-02T00:00:00"/>
    <d v="2024-10-24T00:00:00"/>
    <x v="1"/>
    <x v="0"/>
    <n v="30853.769999999997"/>
    <x v="0"/>
    <x v="0"/>
    <x v="0"/>
  </r>
  <r>
    <n v="75296"/>
    <x v="8"/>
    <x v="1"/>
    <n v="175"/>
    <n v="80"/>
    <n v="216.57"/>
    <x v="4"/>
    <d v="2024-08-10T00:00:00"/>
    <d v="2024-08-17T00:00:00"/>
    <x v="2"/>
    <x v="0"/>
    <n v="37899.75"/>
    <x v="0"/>
    <x v="1"/>
    <x v="0"/>
  </r>
  <r>
    <n v="88437"/>
    <x v="11"/>
    <x v="4"/>
    <n v="342"/>
    <n v="100"/>
    <n v="349.79"/>
    <x v="4"/>
    <d v="2024-02-24T00:00:00"/>
    <d v="2024-03-07T00:00:00"/>
    <x v="1"/>
    <x v="0"/>
    <n v="119628.18000000001"/>
    <x v="0"/>
    <x v="0"/>
    <x v="0"/>
  </r>
  <r>
    <n v="35444"/>
    <x v="15"/>
    <x v="4"/>
    <n v="176"/>
    <n v="20"/>
    <n v="59.74"/>
    <x v="0"/>
    <d v="2024-10-27T00:00:00"/>
    <d v="2024-11-03T00:00:00"/>
    <x v="2"/>
    <x v="0"/>
    <n v="10514.24"/>
    <x v="0"/>
    <x v="0"/>
    <x v="0"/>
  </r>
  <r>
    <n v="10511"/>
    <x v="15"/>
    <x v="4"/>
    <n v="261"/>
    <n v="40"/>
    <n v="253.5"/>
    <x v="0"/>
    <d v="2024-05-16T00:00:00"/>
    <d v="2024-06-17T00:00:00"/>
    <x v="1"/>
    <x v="0"/>
    <n v="66163.5"/>
    <x v="0"/>
    <x v="0"/>
    <x v="0"/>
  </r>
  <r>
    <n v="44469"/>
    <x v="16"/>
    <x v="3"/>
    <n v="37"/>
    <n v="40"/>
    <n v="481.56"/>
    <x v="3"/>
    <d v="2024-07-08T00:00:00"/>
    <d v="2024-07-18T00:00:00"/>
    <x v="1"/>
    <x v="1"/>
    <n v="17817.72"/>
    <x v="47"/>
    <x v="1"/>
    <x v="1"/>
  </r>
  <r>
    <n v="27408"/>
    <x v="8"/>
    <x v="1"/>
    <n v="208"/>
    <n v="150"/>
    <n v="167.61"/>
    <x v="3"/>
    <d v="2024-06-06T00:00:00"/>
    <d v="2024-07-01T00:00:00"/>
    <x v="1"/>
    <x v="0"/>
    <n v="34862.880000000005"/>
    <x v="0"/>
    <x v="1"/>
    <x v="0"/>
  </r>
  <r>
    <n v="94814"/>
    <x v="8"/>
    <x v="1"/>
    <n v="29"/>
    <n v="40"/>
    <n v="411.43"/>
    <x v="2"/>
    <d v="2024-10-01T00:00:00"/>
    <d v="2024-11-04T00:00:00"/>
    <x v="1"/>
    <x v="1"/>
    <n v="11931.47"/>
    <x v="52"/>
    <x v="1"/>
    <x v="1"/>
  </r>
  <r>
    <n v="16265"/>
    <x v="12"/>
    <x v="0"/>
    <n v="76"/>
    <n v="100"/>
    <n v="320.08"/>
    <x v="2"/>
    <d v="2024-01-30T00:00:00"/>
    <d v="2024-02-16T00:00:00"/>
    <x v="1"/>
    <x v="1"/>
    <n v="24326.079999999998"/>
    <x v="69"/>
    <x v="1"/>
    <x v="1"/>
  </r>
  <r>
    <n v="27084"/>
    <x v="10"/>
    <x v="2"/>
    <n v="252"/>
    <n v="150"/>
    <n v="26.88"/>
    <x v="1"/>
    <d v="2024-01-07T00:00:00"/>
    <d v="2024-01-31T00:00:00"/>
    <x v="2"/>
    <x v="0"/>
    <n v="6773.7599999999993"/>
    <x v="0"/>
    <x v="1"/>
    <x v="0"/>
  </r>
  <r>
    <n v="11908"/>
    <x v="4"/>
    <x v="0"/>
    <n v="49"/>
    <n v="150"/>
    <n v="308.3"/>
    <x v="0"/>
    <d v="2024-05-29T00:00:00"/>
    <d v="2024-06-23T00:00:00"/>
    <x v="2"/>
    <x v="1"/>
    <n v="15106.7"/>
    <x v="104"/>
    <x v="1"/>
    <x v="1"/>
  </r>
  <r>
    <n v="50449"/>
    <x v="7"/>
    <x v="3"/>
    <n v="254"/>
    <n v="20"/>
    <n v="417.97"/>
    <x v="2"/>
    <d v="2024-05-14T00:00:00"/>
    <d v="2024-05-19T00:00:00"/>
    <x v="2"/>
    <x v="0"/>
    <n v="106164.38"/>
    <x v="0"/>
    <x v="0"/>
    <x v="0"/>
  </r>
  <r>
    <n v="35176"/>
    <x v="4"/>
    <x v="0"/>
    <n v="359"/>
    <n v="30"/>
    <n v="324.33999999999997"/>
    <x v="1"/>
    <d v="2024-05-21T00:00:00"/>
    <d v="2024-06-14T00:00:00"/>
    <x v="0"/>
    <x v="0"/>
    <n v="116438.06"/>
    <x v="0"/>
    <x v="0"/>
    <x v="0"/>
  </r>
  <r>
    <n v="76404"/>
    <x v="12"/>
    <x v="0"/>
    <n v="429"/>
    <n v="80"/>
    <n v="402.21"/>
    <x v="1"/>
    <d v="2024-01-08T00:00:00"/>
    <d v="2024-02-12T00:00:00"/>
    <x v="1"/>
    <x v="0"/>
    <n v="172548.09"/>
    <x v="0"/>
    <x v="0"/>
    <x v="0"/>
  </r>
  <r>
    <n v="31584"/>
    <x v="2"/>
    <x v="1"/>
    <n v="34"/>
    <n v="20"/>
    <n v="333.85"/>
    <x v="1"/>
    <d v="2024-02-22T00:00:00"/>
    <d v="2024-03-24T00:00:00"/>
    <x v="0"/>
    <x v="0"/>
    <n v="11350.900000000001"/>
    <x v="0"/>
    <x v="1"/>
    <x v="0"/>
  </r>
  <r>
    <n v="15362"/>
    <x v="15"/>
    <x v="4"/>
    <n v="316"/>
    <n v="80"/>
    <n v="14.45"/>
    <x v="0"/>
    <d v="2024-04-07T00:00:00"/>
    <d v="2024-05-15T00:00:00"/>
    <x v="1"/>
    <x v="0"/>
    <n v="4566.2"/>
    <x v="0"/>
    <x v="0"/>
    <x v="0"/>
  </r>
  <r>
    <n v="69267"/>
    <x v="2"/>
    <x v="1"/>
    <n v="205"/>
    <n v="100"/>
    <n v="414.07"/>
    <x v="4"/>
    <d v="2024-04-21T00:00:00"/>
    <d v="2024-05-24T00:00:00"/>
    <x v="0"/>
    <x v="0"/>
    <n v="84884.35"/>
    <x v="0"/>
    <x v="1"/>
    <x v="0"/>
  </r>
  <r>
    <n v="30239"/>
    <x v="2"/>
    <x v="1"/>
    <n v="345"/>
    <n v="30"/>
    <n v="93.23"/>
    <x v="1"/>
    <d v="2024-12-16T00:00:00"/>
    <d v="2025-01-16T00:00:00"/>
    <x v="2"/>
    <x v="0"/>
    <n v="32164.350000000002"/>
    <x v="0"/>
    <x v="0"/>
    <x v="0"/>
  </r>
  <r>
    <n v="53290"/>
    <x v="4"/>
    <x v="0"/>
    <n v="15"/>
    <n v="50"/>
    <n v="401.39"/>
    <x v="0"/>
    <d v="2024-06-27T00:00:00"/>
    <d v="2024-07-02T00:00:00"/>
    <x v="2"/>
    <x v="1"/>
    <n v="6020.8499999999995"/>
    <x v="40"/>
    <x v="1"/>
    <x v="1"/>
  </r>
  <r>
    <n v="40399"/>
    <x v="8"/>
    <x v="1"/>
    <n v="444"/>
    <n v="100"/>
    <n v="363.61"/>
    <x v="0"/>
    <d v="2024-10-31T00:00:00"/>
    <d v="2024-11-08T00:00:00"/>
    <x v="1"/>
    <x v="0"/>
    <n v="161442.84"/>
    <x v="0"/>
    <x v="0"/>
    <x v="0"/>
  </r>
  <r>
    <n v="54345"/>
    <x v="1"/>
    <x v="0"/>
    <n v="214"/>
    <n v="150"/>
    <n v="392.11"/>
    <x v="1"/>
    <d v="2024-04-12T00:00:00"/>
    <d v="2024-04-24T00:00:00"/>
    <x v="2"/>
    <x v="0"/>
    <n v="83911.540000000008"/>
    <x v="0"/>
    <x v="1"/>
    <x v="0"/>
  </r>
  <r>
    <n v="48349"/>
    <x v="12"/>
    <x v="0"/>
    <n v="234"/>
    <n v="100"/>
    <n v="377.47"/>
    <x v="3"/>
    <d v="2024-04-08T00:00:00"/>
    <d v="2024-05-15T00:00:00"/>
    <x v="0"/>
    <x v="0"/>
    <n v="88327.98000000001"/>
    <x v="0"/>
    <x v="1"/>
    <x v="0"/>
  </r>
  <r>
    <n v="29163"/>
    <x v="2"/>
    <x v="1"/>
    <n v="135"/>
    <n v="30"/>
    <n v="290.99"/>
    <x v="2"/>
    <d v="2024-10-24T00:00:00"/>
    <d v="2024-11-23T00:00:00"/>
    <x v="0"/>
    <x v="0"/>
    <n v="39283.65"/>
    <x v="0"/>
    <x v="0"/>
    <x v="0"/>
  </r>
  <r>
    <n v="16416"/>
    <x v="10"/>
    <x v="2"/>
    <n v="267"/>
    <n v="50"/>
    <n v="434.89"/>
    <x v="1"/>
    <d v="2024-07-12T00:00:00"/>
    <d v="2024-07-18T00:00:00"/>
    <x v="2"/>
    <x v="0"/>
    <n v="116115.62999999999"/>
    <x v="0"/>
    <x v="0"/>
    <x v="0"/>
  </r>
  <r>
    <n v="14861"/>
    <x v="5"/>
    <x v="2"/>
    <n v="52"/>
    <n v="20"/>
    <n v="243.31"/>
    <x v="1"/>
    <d v="2024-08-15T00:00:00"/>
    <d v="2024-09-13T00:00:00"/>
    <x v="1"/>
    <x v="0"/>
    <n v="12652.12"/>
    <x v="0"/>
    <x v="1"/>
    <x v="0"/>
  </r>
  <r>
    <n v="45571"/>
    <x v="7"/>
    <x v="3"/>
    <n v="457"/>
    <n v="150"/>
    <n v="495.34"/>
    <x v="1"/>
    <d v="2024-05-29T00:00:00"/>
    <d v="2024-06-25T00:00:00"/>
    <x v="1"/>
    <x v="0"/>
    <n v="226370.37999999998"/>
    <x v="0"/>
    <x v="0"/>
    <x v="0"/>
  </r>
  <r>
    <n v="28330"/>
    <x v="0"/>
    <x v="0"/>
    <n v="108"/>
    <n v="20"/>
    <n v="485.42"/>
    <x v="2"/>
    <d v="2024-01-18T00:00:00"/>
    <d v="2024-01-28T00:00:00"/>
    <x v="1"/>
    <x v="0"/>
    <n v="52425.36"/>
    <x v="0"/>
    <x v="0"/>
    <x v="0"/>
  </r>
  <r>
    <n v="48921"/>
    <x v="13"/>
    <x v="3"/>
    <n v="260"/>
    <n v="150"/>
    <n v="292.64999999999998"/>
    <x v="1"/>
    <d v="2024-10-23T00:00:00"/>
    <d v="2024-11-16T00:00:00"/>
    <x v="2"/>
    <x v="0"/>
    <n v="76089"/>
    <x v="0"/>
    <x v="1"/>
    <x v="0"/>
  </r>
  <r>
    <n v="26746"/>
    <x v="8"/>
    <x v="1"/>
    <n v="400"/>
    <n v="80"/>
    <n v="156.16"/>
    <x v="0"/>
    <d v="2024-09-19T00:00:00"/>
    <d v="2024-10-02T00:00:00"/>
    <x v="2"/>
    <x v="0"/>
    <n v="62464"/>
    <x v="0"/>
    <x v="0"/>
    <x v="0"/>
  </r>
  <r>
    <n v="31159"/>
    <x v="0"/>
    <x v="0"/>
    <n v="258"/>
    <n v="150"/>
    <n v="382.45"/>
    <x v="3"/>
    <d v="2024-10-15T00:00:00"/>
    <d v="2024-10-25T00:00:00"/>
    <x v="0"/>
    <x v="0"/>
    <n v="98672.099999999991"/>
    <x v="0"/>
    <x v="1"/>
    <x v="0"/>
  </r>
  <r>
    <n v="17464"/>
    <x v="12"/>
    <x v="0"/>
    <n v="323"/>
    <n v="80"/>
    <n v="240.27"/>
    <x v="4"/>
    <d v="2024-11-11T00:00:00"/>
    <d v="2024-12-05T00:00:00"/>
    <x v="2"/>
    <x v="0"/>
    <n v="77607.210000000006"/>
    <x v="0"/>
    <x v="0"/>
    <x v="0"/>
  </r>
  <r>
    <n v="25791"/>
    <x v="8"/>
    <x v="1"/>
    <n v="320"/>
    <n v="100"/>
    <n v="444.02"/>
    <x v="2"/>
    <d v="2024-11-14T00:00:00"/>
    <d v="2024-12-22T00:00:00"/>
    <x v="2"/>
    <x v="0"/>
    <n v="142086.39999999999"/>
    <x v="0"/>
    <x v="0"/>
    <x v="0"/>
  </r>
  <r>
    <n v="61408"/>
    <x v="7"/>
    <x v="3"/>
    <n v="218"/>
    <n v="100"/>
    <n v="274.77999999999997"/>
    <x v="0"/>
    <d v="2024-02-03T00:00:00"/>
    <d v="2024-02-10T00:00:00"/>
    <x v="0"/>
    <x v="0"/>
    <n v="59902.039999999994"/>
    <x v="0"/>
    <x v="1"/>
    <x v="0"/>
  </r>
  <r>
    <n v="95078"/>
    <x v="9"/>
    <x v="1"/>
    <n v="78"/>
    <n v="80"/>
    <n v="414.05"/>
    <x v="3"/>
    <d v="2024-11-25T00:00:00"/>
    <d v="2024-12-31T00:00:00"/>
    <x v="0"/>
    <x v="1"/>
    <n v="32295.9"/>
    <x v="6"/>
    <x v="1"/>
    <x v="1"/>
  </r>
  <r>
    <n v="65372"/>
    <x v="1"/>
    <x v="0"/>
    <n v="397"/>
    <n v="50"/>
    <n v="185.32"/>
    <x v="3"/>
    <d v="2024-01-28T00:00:00"/>
    <d v="2024-02-15T00:00:00"/>
    <x v="1"/>
    <x v="0"/>
    <n v="73572.039999999994"/>
    <x v="0"/>
    <x v="0"/>
    <x v="0"/>
  </r>
  <r>
    <n v="83844"/>
    <x v="1"/>
    <x v="0"/>
    <n v="88"/>
    <n v="20"/>
    <n v="143.26"/>
    <x v="4"/>
    <d v="2024-04-04T00:00:00"/>
    <d v="2024-04-25T00:00:00"/>
    <x v="1"/>
    <x v="0"/>
    <n v="12606.88"/>
    <x v="0"/>
    <x v="0"/>
    <x v="0"/>
  </r>
  <r>
    <n v="57419"/>
    <x v="11"/>
    <x v="4"/>
    <n v="431"/>
    <n v="40"/>
    <n v="34"/>
    <x v="4"/>
    <d v="2024-08-07T00:00:00"/>
    <d v="2024-08-26T00:00:00"/>
    <x v="2"/>
    <x v="0"/>
    <n v="14654"/>
    <x v="0"/>
    <x v="0"/>
    <x v="0"/>
  </r>
  <r>
    <n v="49419"/>
    <x v="1"/>
    <x v="0"/>
    <n v="364"/>
    <n v="20"/>
    <n v="364.42"/>
    <x v="3"/>
    <d v="2024-04-11T00:00:00"/>
    <d v="2024-04-28T00:00:00"/>
    <x v="1"/>
    <x v="0"/>
    <n v="132648.88"/>
    <x v="0"/>
    <x v="0"/>
    <x v="0"/>
  </r>
  <r>
    <n v="17393"/>
    <x v="1"/>
    <x v="0"/>
    <n v="14"/>
    <n v="100"/>
    <n v="40.15"/>
    <x v="2"/>
    <d v="2024-02-25T00:00:00"/>
    <d v="2024-03-31T00:00:00"/>
    <x v="1"/>
    <x v="1"/>
    <n v="562.1"/>
    <x v="105"/>
    <x v="1"/>
    <x v="1"/>
  </r>
  <r>
    <n v="34726"/>
    <x v="11"/>
    <x v="4"/>
    <n v="172"/>
    <n v="50"/>
    <n v="243.86"/>
    <x v="3"/>
    <d v="2024-11-04T00:00:00"/>
    <d v="2024-12-07T00:00:00"/>
    <x v="2"/>
    <x v="0"/>
    <n v="41943.920000000006"/>
    <x v="0"/>
    <x v="0"/>
    <x v="0"/>
  </r>
  <r>
    <n v="27809"/>
    <x v="7"/>
    <x v="3"/>
    <n v="170"/>
    <n v="30"/>
    <n v="177.08"/>
    <x v="4"/>
    <d v="2024-01-30T00:00:00"/>
    <d v="2024-03-07T00:00:00"/>
    <x v="0"/>
    <x v="0"/>
    <n v="30103.600000000002"/>
    <x v="0"/>
    <x v="0"/>
    <x v="0"/>
  </r>
  <r>
    <n v="99119"/>
    <x v="9"/>
    <x v="1"/>
    <n v="371"/>
    <n v="50"/>
    <n v="259.47000000000003"/>
    <x v="1"/>
    <d v="2024-10-29T00:00:00"/>
    <d v="2024-11-24T00:00:00"/>
    <x v="2"/>
    <x v="0"/>
    <n v="96263.37000000001"/>
    <x v="0"/>
    <x v="0"/>
    <x v="0"/>
  </r>
  <r>
    <n v="50129"/>
    <x v="2"/>
    <x v="1"/>
    <n v="488"/>
    <n v="40"/>
    <n v="170.94"/>
    <x v="0"/>
    <d v="2024-06-19T00:00:00"/>
    <d v="2024-06-25T00:00:00"/>
    <x v="0"/>
    <x v="0"/>
    <n v="83418.720000000001"/>
    <x v="0"/>
    <x v="0"/>
    <x v="0"/>
  </r>
  <r>
    <n v="26246"/>
    <x v="4"/>
    <x v="0"/>
    <n v="379"/>
    <n v="40"/>
    <n v="190.95"/>
    <x v="4"/>
    <d v="2024-06-12T00:00:00"/>
    <d v="2024-07-15T00:00:00"/>
    <x v="0"/>
    <x v="0"/>
    <n v="72370.05"/>
    <x v="0"/>
    <x v="0"/>
    <x v="0"/>
  </r>
  <r>
    <n v="44169"/>
    <x v="15"/>
    <x v="4"/>
    <n v="300"/>
    <n v="150"/>
    <n v="39.39"/>
    <x v="0"/>
    <d v="2024-07-11T00:00:00"/>
    <d v="2024-08-02T00:00:00"/>
    <x v="1"/>
    <x v="0"/>
    <n v="11817"/>
    <x v="0"/>
    <x v="1"/>
    <x v="0"/>
  </r>
  <r>
    <n v="40716"/>
    <x v="8"/>
    <x v="1"/>
    <n v="171"/>
    <n v="30"/>
    <n v="46.42"/>
    <x v="0"/>
    <d v="2024-01-08T00:00:00"/>
    <d v="2024-02-15T00:00:00"/>
    <x v="2"/>
    <x v="0"/>
    <n v="7937.8200000000006"/>
    <x v="0"/>
    <x v="0"/>
    <x v="0"/>
  </r>
  <r>
    <n v="19496"/>
    <x v="11"/>
    <x v="4"/>
    <n v="422"/>
    <n v="50"/>
    <n v="373.08"/>
    <x v="2"/>
    <d v="2024-02-24T00:00:00"/>
    <d v="2024-03-25T00:00:00"/>
    <x v="1"/>
    <x v="0"/>
    <n v="157439.75999999998"/>
    <x v="0"/>
    <x v="0"/>
    <x v="0"/>
  </r>
  <r>
    <n v="64610"/>
    <x v="11"/>
    <x v="4"/>
    <n v="494"/>
    <n v="50"/>
    <n v="228.06"/>
    <x v="2"/>
    <d v="2024-07-26T00:00:00"/>
    <d v="2024-08-04T00:00:00"/>
    <x v="2"/>
    <x v="0"/>
    <n v="112661.64"/>
    <x v="0"/>
    <x v="0"/>
    <x v="0"/>
  </r>
  <r>
    <n v="65919"/>
    <x v="14"/>
    <x v="4"/>
    <n v="102"/>
    <n v="150"/>
    <n v="363.45"/>
    <x v="3"/>
    <d v="2024-02-14T00:00:00"/>
    <d v="2024-03-03T00:00:00"/>
    <x v="1"/>
    <x v="1"/>
    <n v="37071.9"/>
    <x v="39"/>
    <x v="1"/>
    <x v="1"/>
  </r>
  <r>
    <n v="36296"/>
    <x v="13"/>
    <x v="3"/>
    <n v="126"/>
    <n v="80"/>
    <n v="247.72"/>
    <x v="3"/>
    <d v="2024-12-17T00:00:00"/>
    <d v="2025-01-11T00:00:00"/>
    <x v="1"/>
    <x v="0"/>
    <n v="31212.720000000001"/>
    <x v="0"/>
    <x v="1"/>
    <x v="0"/>
  </r>
  <r>
    <n v="87865"/>
    <x v="13"/>
    <x v="3"/>
    <n v="350"/>
    <n v="100"/>
    <n v="28.02"/>
    <x v="0"/>
    <d v="2024-10-25T00:00:00"/>
    <d v="2024-11-27T00:00:00"/>
    <x v="0"/>
    <x v="0"/>
    <n v="9807"/>
    <x v="0"/>
    <x v="0"/>
    <x v="0"/>
  </r>
  <r>
    <n v="59862"/>
    <x v="12"/>
    <x v="0"/>
    <n v="270"/>
    <n v="150"/>
    <n v="378.42"/>
    <x v="3"/>
    <d v="2024-02-27T00:00:00"/>
    <d v="2024-04-02T00:00:00"/>
    <x v="1"/>
    <x v="0"/>
    <n v="102173.40000000001"/>
    <x v="0"/>
    <x v="1"/>
    <x v="0"/>
  </r>
  <r>
    <n v="55986"/>
    <x v="12"/>
    <x v="0"/>
    <n v="413"/>
    <n v="40"/>
    <n v="68.260000000000005"/>
    <x v="2"/>
    <d v="2024-02-21T00:00:00"/>
    <d v="2024-03-10T00:00:00"/>
    <x v="2"/>
    <x v="0"/>
    <n v="28191.38"/>
    <x v="0"/>
    <x v="0"/>
    <x v="0"/>
  </r>
  <r>
    <n v="14158"/>
    <x v="15"/>
    <x v="4"/>
    <n v="166"/>
    <n v="150"/>
    <n v="371.23"/>
    <x v="4"/>
    <d v="2024-08-29T00:00:00"/>
    <d v="2024-09-16T00:00:00"/>
    <x v="1"/>
    <x v="0"/>
    <n v="61624.18"/>
    <x v="0"/>
    <x v="1"/>
    <x v="0"/>
  </r>
  <r>
    <n v="70558"/>
    <x v="16"/>
    <x v="3"/>
    <n v="364"/>
    <n v="100"/>
    <n v="171.4"/>
    <x v="4"/>
    <d v="2024-03-09T00:00:00"/>
    <d v="2024-03-17T00:00:00"/>
    <x v="1"/>
    <x v="0"/>
    <n v="62389.599999999999"/>
    <x v="0"/>
    <x v="0"/>
    <x v="0"/>
  </r>
  <r>
    <n v="15316"/>
    <x v="9"/>
    <x v="1"/>
    <n v="378"/>
    <n v="30"/>
    <n v="353.14"/>
    <x v="0"/>
    <d v="2024-06-03T00:00:00"/>
    <d v="2024-06-16T00:00:00"/>
    <x v="2"/>
    <x v="0"/>
    <n v="133486.91999999998"/>
    <x v="0"/>
    <x v="0"/>
    <x v="0"/>
  </r>
  <r>
    <n v="75439"/>
    <x v="5"/>
    <x v="2"/>
    <n v="148"/>
    <n v="40"/>
    <n v="452.26"/>
    <x v="0"/>
    <d v="2024-07-08T00:00:00"/>
    <d v="2024-08-06T00:00:00"/>
    <x v="2"/>
    <x v="0"/>
    <n v="66934.48"/>
    <x v="0"/>
    <x v="0"/>
    <x v="0"/>
  </r>
  <r>
    <n v="70857"/>
    <x v="15"/>
    <x v="4"/>
    <n v="86"/>
    <n v="20"/>
    <n v="140.66"/>
    <x v="4"/>
    <d v="2024-05-31T00:00:00"/>
    <d v="2024-07-05T00:00:00"/>
    <x v="2"/>
    <x v="0"/>
    <n v="12096.76"/>
    <x v="0"/>
    <x v="0"/>
    <x v="0"/>
  </r>
  <r>
    <n v="77561"/>
    <x v="14"/>
    <x v="4"/>
    <n v="163"/>
    <n v="50"/>
    <n v="212.09"/>
    <x v="0"/>
    <d v="2024-01-18T00:00:00"/>
    <d v="2024-01-30T00:00:00"/>
    <x v="2"/>
    <x v="0"/>
    <n v="34570.67"/>
    <x v="0"/>
    <x v="0"/>
    <x v="0"/>
  </r>
  <r>
    <n v="54588"/>
    <x v="2"/>
    <x v="1"/>
    <n v="380"/>
    <n v="80"/>
    <n v="308.79000000000002"/>
    <x v="1"/>
    <d v="2024-10-20T00:00:00"/>
    <d v="2024-11-21T00:00:00"/>
    <x v="0"/>
    <x v="0"/>
    <n v="117340.20000000001"/>
    <x v="0"/>
    <x v="0"/>
    <x v="0"/>
  </r>
  <r>
    <n v="55678"/>
    <x v="2"/>
    <x v="1"/>
    <n v="295"/>
    <n v="150"/>
    <n v="365.01"/>
    <x v="1"/>
    <d v="2024-08-03T00:00:00"/>
    <d v="2024-08-17T00:00:00"/>
    <x v="0"/>
    <x v="0"/>
    <n v="107677.95"/>
    <x v="0"/>
    <x v="1"/>
    <x v="0"/>
  </r>
  <r>
    <n v="30943"/>
    <x v="4"/>
    <x v="0"/>
    <n v="378"/>
    <n v="20"/>
    <n v="182.8"/>
    <x v="1"/>
    <d v="2024-08-25T00:00:00"/>
    <d v="2024-09-13T00:00:00"/>
    <x v="0"/>
    <x v="0"/>
    <n v="69098.400000000009"/>
    <x v="0"/>
    <x v="0"/>
    <x v="0"/>
  </r>
  <r>
    <n v="24708"/>
    <x v="0"/>
    <x v="0"/>
    <n v="49"/>
    <n v="80"/>
    <n v="475.39"/>
    <x v="3"/>
    <d v="2024-09-22T00:00:00"/>
    <d v="2024-10-23T00:00:00"/>
    <x v="1"/>
    <x v="1"/>
    <n v="23294.11"/>
    <x v="70"/>
    <x v="1"/>
    <x v="1"/>
  </r>
  <r>
    <n v="16563"/>
    <x v="1"/>
    <x v="0"/>
    <n v="158"/>
    <n v="80"/>
    <n v="446.44"/>
    <x v="2"/>
    <d v="2024-11-09T00:00:00"/>
    <d v="2024-12-09T00:00:00"/>
    <x v="0"/>
    <x v="0"/>
    <n v="70537.52"/>
    <x v="0"/>
    <x v="1"/>
    <x v="0"/>
  </r>
  <r>
    <n v="10184"/>
    <x v="3"/>
    <x v="2"/>
    <n v="269"/>
    <n v="20"/>
    <n v="442.65"/>
    <x v="3"/>
    <d v="2024-08-06T00:00:00"/>
    <d v="2024-08-11T00:00:00"/>
    <x v="2"/>
    <x v="0"/>
    <n v="119072.84999999999"/>
    <x v="0"/>
    <x v="0"/>
    <x v="0"/>
  </r>
  <r>
    <n v="43368"/>
    <x v="11"/>
    <x v="4"/>
    <n v="245"/>
    <n v="150"/>
    <n v="62.34"/>
    <x v="4"/>
    <d v="2024-09-15T00:00:00"/>
    <d v="2024-10-23T00:00:00"/>
    <x v="2"/>
    <x v="0"/>
    <n v="15273.300000000001"/>
    <x v="0"/>
    <x v="1"/>
    <x v="0"/>
  </r>
  <r>
    <n v="44810"/>
    <x v="11"/>
    <x v="4"/>
    <n v="350"/>
    <n v="20"/>
    <n v="375.55"/>
    <x v="3"/>
    <d v="2024-01-21T00:00:00"/>
    <d v="2024-02-23T00:00:00"/>
    <x v="2"/>
    <x v="0"/>
    <n v="131442.5"/>
    <x v="0"/>
    <x v="0"/>
    <x v="0"/>
  </r>
  <r>
    <n v="97844"/>
    <x v="14"/>
    <x v="4"/>
    <n v="392"/>
    <n v="150"/>
    <n v="226.22"/>
    <x v="2"/>
    <d v="2024-11-08T00:00:00"/>
    <d v="2024-11-28T00:00:00"/>
    <x v="2"/>
    <x v="0"/>
    <n v="88678.24"/>
    <x v="0"/>
    <x v="1"/>
    <x v="0"/>
  </r>
  <r>
    <n v="34022"/>
    <x v="0"/>
    <x v="0"/>
    <n v="470"/>
    <n v="150"/>
    <n v="88.2"/>
    <x v="0"/>
    <d v="2024-01-19T00:00:00"/>
    <d v="2024-02-12T00:00:00"/>
    <x v="1"/>
    <x v="0"/>
    <n v="41454"/>
    <x v="0"/>
    <x v="0"/>
    <x v="0"/>
  </r>
  <r>
    <n v="48286"/>
    <x v="7"/>
    <x v="3"/>
    <n v="162"/>
    <n v="20"/>
    <n v="492.31"/>
    <x v="1"/>
    <d v="2024-11-25T00:00:00"/>
    <d v="2024-12-22T00:00:00"/>
    <x v="0"/>
    <x v="0"/>
    <n v="79754.22"/>
    <x v="0"/>
    <x v="0"/>
    <x v="0"/>
  </r>
  <r>
    <n v="33707"/>
    <x v="1"/>
    <x v="0"/>
    <n v="465"/>
    <n v="150"/>
    <n v="131.66"/>
    <x v="1"/>
    <d v="2024-10-16T00:00:00"/>
    <d v="2024-11-24T00:00:00"/>
    <x v="1"/>
    <x v="0"/>
    <n v="61221.9"/>
    <x v="0"/>
    <x v="0"/>
    <x v="0"/>
  </r>
  <r>
    <n v="42548"/>
    <x v="8"/>
    <x v="1"/>
    <n v="96"/>
    <n v="20"/>
    <n v="42.6"/>
    <x v="2"/>
    <d v="2024-04-26T00:00:00"/>
    <d v="2024-05-29T00:00:00"/>
    <x v="2"/>
    <x v="0"/>
    <n v="4089.6000000000004"/>
    <x v="0"/>
    <x v="0"/>
    <x v="0"/>
  </r>
  <r>
    <n v="15054"/>
    <x v="14"/>
    <x v="4"/>
    <n v="475"/>
    <n v="40"/>
    <n v="34.659999999999997"/>
    <x v="4"/>
    <d v="2024-06-28T00:00:00"/>
    <d v="2024-07-20T00:00:00"/>
    <x v="0"/>
    <x v="0"/>
    <n v="16463.5"/>
    <x v="0"/>
    <x v="0"/>
    <x v="0"/>
  </r>
  <r>
    <n v="25846"/>
    <x v="3"/>
    <x v="2"/>
    <n v="474"/>
    <n v="30"/>
    <n v="135.91"/>
    <x v="2"/>
    <d v="2024-01-11T00:00:00"/>
    <d v="2024-02-18T00:00:00"/>
    <x v="1"/>
    <x v="0"/>
    <n v="64421.34"/>
    <x v="0"/>
    <x v="0"/>
    <x v="0"/>
  </r>
  <r>
    <n v="90337"/>
    <x v="16"/>
    <x v="3"/>
    <n v="468"/>
    <n v="30"/>
    <n v="227.43"/>
    <x v="2"/>
    <d v="2024-09-16T00:00:00"/>
    <d v="2024-10-03T00:00:00"/>
    <x v="0"/>
    <x v="0"/>
    <n v="106437.24"/>
    <x v="0"/>
    <x v="0"/>
    <x v="0"/>
  </r>
  <r>
    <n v="82613"/>
    <x v="8"/>
    <x v="1"/>
    <n v="253"/>
    <n v="150"/>
    <n v="164.55"/>
    <x v="0"/>
    <d v="2024-07-29T00:00:00"/>
    <d v="2024-08-03T00:00:00"/>
    <x v="0"/>
    <x v="0"/>
    <n v="41631.15"/>
    <x v="0"/>
    <x v="1"/>
    <x v="0"/>
  </r>
  <r>
    <n v="59456"/>
    <x v="8"/>
    <x v="1"/>
    <n v="85"/>
    <n v="150"/>
    <n v="26.18"/>
    <x v="2"/>
    <d v="2024-10-30T00:00:00"/>
    <d v="2024-12-05T00:00:00"/>
    <x v="0"/>
    <x v="1"/>
    <n v="2225.3000000000002"/>
    <x v="106"/>
    <x v="1"/>
    <x v="1"/>
  </r>
  <r>
    <n v="35909"/>
    <x v="0"/>
    <x v="0"/>
    <n v="448"/>
    <n v="20"/>
    <n v="202.65"/>
    <x v="1"/>
    <d v="2024-07-11T00:00:00"/>
    <d v="2024-07-31T00:00:00"/>
    <x v="0"/>
    <x v="0"/>
    <n v="90787.199999999997"/>
    <x v="0"/>
    <x v="0"/>
    <x v="0"/>
  </r>
  <r>
    <n v="75382"/>
    <x v="0"/>
    <x v="0"/>
    <n v="278"/>
    <n v="100"/>
    <n v="409.2"/>
    <x v="3"/>
    <d v="2024-06-19T00:00:00"/>
    <d v="2024-07-01T00:00:00"/>
    <x v="1"/>
    <x v="0"/>
    <n v="113757.59999999999"/>
    <x v="0"/>
    <x v="1"/>
    <x v="0"/>
  </r>
  <r>
    <n v="19039"/>
    <x v="2"/>
    <x v="1"/>
    <n v="154"/>
    <n v="150"/>
    <n v="478.15"/>
    <x v="1"/>
    <d v="2024-12-28T00:00:00"/>
    <d v="2025-01-06T00:00:00"/>
    <x v="2"/>
    <x v="0"/>
    <n v="73635.099999999991"/>
    <x v="0"/>
    <x v="1"/>
    <x v="0"/>
  </r>
  <r>
    <n v="98789"/>
    <x v="15"/>
    <x v="4"/>
    <n v="391"/>
    <n v="150"/>
    <n v="156.47"/>
    <x v="2"/>
    <d v="2024-01-05T00:00:00"/>
    <d v="2024-02-04T00:00:00"/>
    <x v="1"/>
    <x v="0"/>
    <n v="61179.77"/>
    <x v="0"/>
    <x v="1"/>
    <x v="0"/>
  </r>
  <r>
    <n v="62331"/>
    <x v="16"/>
    <x v="3"/>
    <n v="240"/>
    <n v="50"/>
    <n v="353.68"/>
    <x v="3"/>
    <d v="2024-04-17T00:00:00"/>
    <d v="2024-05-15T00:00:00"/>
    <x v="2"/>
    <x v="0"/>
    <n v="84883.199999999997"/>
    <x v="0"/>
    <x v="0"/>
    <x v="0"/>
  </r>
  <r>
    <n v="18262"/>
    <x v="0"/>
    <x v="0"/>
    <n v="364"/>
    <n v="20"/>
    <n v="7.8"/>
    <x v="0"/>
    <d v="2024-01-14T00:00:00"/>
    <d v="2024-02-06T00:00:00"/>
    <x v="1"/>
    <x v="0"/>
    <n v="2839.2"/>
    <x v="0"/>
    <x v="0"/>
    <x v="0"/>
  </r>
  <r>
    <n v="59104"/>
    <x v="9"/>
    <x v="1"/>
    <n v="10"/>
    <n v="30"/>
    <n v="338.21"/>
    <x v="2"/>
    <d v="2024-07-14T00:00:00"/>
    <d v="2024-08-04T00:00:00"/>
    <x v="2"/>
    <x v="1"/>
    <n v="3382.1"/>
    <x v="53"/>
    <x v="1"/>
    <x v="1"/>
  </r>
  <r>
    <n v="22279"/>
    <x v="7"/>
    <x v="3"/>
    <n v="421"/>
    <n v="150"/>
    <n v="266.06"/>
    <x v="2"/>
    <d v="2024-12-12T00:00:00"/>
    <d v="2025-01-14T00:00:00"/>
    <x v="1"/>
    <x v="0"/>
    <n v="112011.26"/>
    <x v="0"/>
    <x v="1"/>
    <x v="0"/>
  </r>
  <r>
    <n v="83398"/>
    <x v="4"/>
    <x v="0"/>
    <n v="378"/>
    <n v="150"/>
    <n v="470.73"/>
    <x v="1"/>
    <d v="2024-09-11T00:00:00"/>
    <d v="2024-09-23T00:00:00"/>
    <x v="0"/>
    <x v="0"/>
    <n v="177935.94"/>
    <x v="0"/>
    <x v="1"/>
    <x v="0"/>
  </r>
  <r>
    <n v="56627"/>
    <x v="8"/>
    <x v="1"/>
    <n v="158"/>
    <n v="50"/>
    <n v="287.38"/>
    <x v="4"/>
    <d v="2024-11-12T00:00:00"/>
    <d v="2024-12-13T00:00:00"/>
    <x v="0"/>
    <x v="0"/>
    <n v="45406.04"/>
    <x v="0"/>
    <x v="0"/>
    <x v="0"/>
  </r>
  <r>
    <n v="73545"/>
    <x v="6"/>
    <x v="3"/>
    <n v="89"/>
    <n v="150"/>
    <n v="125.46"/>
    <x v="1"/>
    <d v="2024-01-22T00:00:00"/>
    <d v="2024-02-18T00:00:00"/>
    <x v="2"/>
    <x v="1"/>
    <n v="11165.939999999999"/>
    <x v="33"/>
    <x v="1"/>
    <x v="1"/>
  </r>
  <r>
    <n v="30998"/>
    <x v="11"/>
    <x v="4"/>
    <n v="493"/>
    <n v="30"/>
    <n v="268.93"/>
    <x v="4"/>
    <d v="2024-06-02T00:00:00"/>
    <d v="2024-06-13T00:00:00"/>
    <x v="0"/>
    <x v="0"/>
    <n v="132582.49"/>
    <x v="0"/>
    <x v="0"/>
    <x v="0"/>
  </r>
  <r>
    <n v="48734"/>
    <x v="14"/>
    <x v="4"/>
    <n v="152"/>
    <n v="30"/>
    <n v="298.86"/>
    <x v="3"/>
    <d v="2024-04-11T00:00:00"/>
    <d v="2024-04-30T00:00:00"/>
    <x v="1"/>
    <x v="0"/>
    <n v="45426.720000000001"/>
    <x v="0"/>
    <x v="0"/>
    <x v="0"/>
  </r>
  <r>
    <n v="28910"/>
    <x v="3"/>
    <x v="2"/>
    <n v="354"/>
    <n v="100"/>
    <n v="160.55000000000001"/>
    <x v="4"/>
    <d v="2024-11-14T00:00:00"/>
    <d v="2024-11-26T00:00:00"/>
    <x v="2"/>
    <x v="0"/>
    <n v="56834.700000000004"/>
    <x v="0"/>
    <x v="0"/>
    <x v="0"/>
  </r>
  <r>
    <n v="30426"/>
    <x v="12"/>
    <x v="0"/>
    <n v="81"/>
    <n v="80"/>
    <n v="206.63"/>
    <x v="3"/>
    <d v="2024-09-26T00:00:00"/>
    <d v="2024-10-28T00:00:00"/>
    <x v="0"/>
    <x v="0"/>
    <n v="16737.03"/>
    <x v="0"/>
    <x v="1"/>
    <x v="0"/>
  </r>
  <r>
    <n v="37799"/>
    <x v="8"/>
    <x v="1"/>
    <n v="449"/>
    <n v="100"/>
    <n v="242.34"/>
    <x v="0"/>
    <d v="2024-06-09T00:00:00"/>
    <d v="2024-07-15T00:00:00"/>
    <x v="1"/>
    <x v="0"/>
    <n v="108810.66"/>
    <x v="0"/>
    <x v="0"/>
    <x v="0"/>
  </r>
  <r>
    <n v="46784"/>
    <x v="13"/>
    <x v="3"/>
    <n v="404"/>
    <n v="100"/>
    <n v="359.6"/>
    <x v="4"/>
    <d v="2024-05-23T00:00:00"/>
    <d v="2024-05-30T00:00:00"/>
    <x v="2"/>
    <x v="0"/>
    <n v="145278.40000000002"/>
    <x v="0"/>
    <x v="0"/>
    <x v="0"/>
  </r>
  <r>
    <n v="35727"/>
    <x v="0"/>
    <x v="0"/>
    <n v="278"/>
    <n v="50"/>
    <n v="81.510000000000005"/>
    <x v="3"/>
    <d v="2024-12-18T00:00:00"/>
    <d v="2025-01-06T00:00:00"/>
    <x v="2"/>
    <x v="0"/>
    <n v="22659.780000000002"/>
    <x v="0"/>
    <x v="0"/>
    <x v="0"/>
  </r>
  <r>
    <n v="66790"/>
    <x v="2"/>
    <x v="1"/>
    <n v="168"/>
    <n v="50"/>
    <n v="8.01"/>
    <x v="3"/>
    <d v="2024-05-14T00:00:00"/>
    <d v="2024-05-27T00:00:00"/>
    <x v="0"/>
    <x v="0"/>
    <n v="1345.68"/>
    <x v="0"/>
    <x v="0"/>
    <x v="0"/>
  </r>
  <r>
    <n v="31966"/>
    <x v="1"/>
    <x v="0"/>
    <n v="320"/>
    <n v="100"/>
    <n v="324.02999999999997"/>
    <x v="0"/>
    <d v="2024-12-06T00:00:00"/>
    <d v="2025-01-03T00:00:00"/>
    <x v="0"/>
    <x v="0"/>
    <n v="103689.59999999999"/>
    <x v="0"/>
    <x v="0"/>
    <x v="0"/>
  </r>
  <r>
    <n v="33814"/>
    <x v="8"/>
    <x v="1"/>
    <n v="148"/>
    <n v="50"/>
    <n v="232.96"/>
    <x v="1"/>
    <d v="2024-01-04T00:00:00"/>
    <d v="2024-02-05T00:00:00"/>
    <x v="1"/>
    <x v="0"/>
    <n v="34478.080000000002"/>
    <x v="0"/>
    <x v="1"/>
    <x v="0"/>
  </r>
  <r>
    <n v="72898"/>
    <x v="5"/>
    <x v="2"/>
    <n v="228"/>
    <n v="80"/>
    <n v="52.5"/>
    <x v="0"/>
    <d v="2024-08-21T00:00:00"/>
    <d v="2024-09-13T00:00:00"/>
    <x v="2"/>
    <x v="0"/>
    <n v="11970"/>
    <x v="0"/>
    <x v="1"/>
    <x v="0"/>
  </r>
  <r>
    <n v="59892"/>
    <x v="7"/>
    <x v="3"/>
    <n v="157"/>
    <n v="100"/>
    <n v="463.65"/>
    <x v="1"/>
    <d v="2024-05-28T00:00:00"/>
    <d v="2024-06-12T00:00:00"/>
    <x v="2"/>
    <x v="0"/>
    <n v="72793.05"/>
    <x v="0"/>
    <x v="1"/>
    <x v="0"/>
  </r>
  <r>
    <n v="47117"/>
    <x v="12"/>
    <x v="0"/>
    <n v="474"/>
    <n v="80"/>
    <n v="498.9"/>
    <x v="4"/>
    <d v="2024-09-24T00:00:00"/>
    <d v="2024-10-21T00:00:00"/>
    <x v="2"/>
    <x v="0"/>
    <n v="236478.59999999998"/>
    <x v="0"/>
    <x v="0"/>
    <x v="0"/>
  </r>
  <r>
    <n v="97943"/>
    <x v="16"/>
    <x v="3"/>
    <n v="445"/>
    <n v="50"/>
    <n v="55.69"/>
    <x v="1"/>
    <d v="2024-02-18T00:00:00"/>
    <d v="2024-03-07T00:00:00"/>
    <x v="1"/>
    <x v="0"/>
    <n v="24782.05"/>
    <x v="0"/>
    <x v="0"/>
    <x v="0"/>
  </r>
  <r>
    <n v="52348"/>
    <x v="8"/>
    <x v="1"/>
    <n v="159"/>
    <n v="150"/>
    <n v="222.8"/>
    <x v="1"/>
    <d v="2024-11-20T00:00:00"/>
    <d v="2024-12-20T00:00:00"/>
    <x v="2"/>
    <x v="0"/>
    <n v="35425.200000000004"/>
    <x v="0"/>
    <x v="1"/>
    <x v="0"/>
  </r>
  <r>
    <n v="91256"/>
    <x v="11"/>
    <x v="4"/>
    <n v="331"/>
    <n v="40"/>
    <n v="123.61"/>
    <x v="0"/>
    <d v="2024-05-05T00:00:00"/>
    <d v="2024-05-29T00:00:00"/>
    <x v="0"/>
    <x v="0"/>
    <n v="40914.909999999996"/>
    <x v="0"/>
    <x v="0"/>
    <x v="0"/>
  </r>
  <r>
    <n v="95666"/>
    <x v="1"/>
    <x v="0"/>
    <n v="116"/>
    <n v="100"/>
    <n v="496.72"/>
    <x v="4"/>
    <d v="2024-04-02T00:00:00"/>
    <d v="2024-04-22T00:00:00"/>
    <x v="2"/>
    <x v="0"/>
    <n v="57619.520000000004"/>
    <x v="0"/>
    <x v="1"/>
    <x v="0"/>
  </r>
  <r>
    <n v="45162"/>
    <x v="5"/>
    <x v="2"/>
    <n v="388"/>
    <n v="30"/>
    <n v="477.24"/>
    <x v="4"/>
    <d v="2024-12-17T00:00:00"/>
    <d v="2025-01-21T00:00:00"/>
    <x v="0"/>
    <x v="0"/>
    <n v="185169.12"/>
    <x v="0"/>
    <x v="0"/>
    <x v="0"/>
  </r>
  <r>
    <n v="41147"/>
    <x v="3"/>
    <x v="2"/>
    <n v="32"/>
    <n v="50"/>
    <n v="449.57"/>
    <x v="2"/>
    <d v="2024-07-31T00:00:00"/>
    <d v="2024-08-28T00:00:00"/>
    <x v="0"/>
    <x v="1"/>
    <n v="14386.24"/>
    <x v="12"/>
    <x v="1"/>
    <x v="1"/>
  </r>
  <r>
    <n v="30099"/>
    <x v="13"/>
    <x v="3"/>
    <n v="48"/>
    <n v="20"/>
    <n v="341.2"/>
    <x v="0"/>
    <d v="2024-04-04T00:00:00"/>
    <d v="2024-05-03T00:00:00"/>
    <x v="1"/>
    <x v="0"/>
    <n v="16377.599999999999"/>
    <x v="0"/>
    <x v="1"/>
    <x v="0"/>
  </r>
  <r>
    <n v="78040"/>
    <x v="2"/>
    <x v="1"/>
    <n v="197"/>
    <n v="20"/>
    <n v="458.93"/>
    <x v="2"/>
    <d v="2024-06-05T00:00:00"/>
    <d v="2024-06-30T00:00:00"/>
    <x v="0"/>
    <x v="0"/>
    <n v="90409.21"/>
    <x v="0"/>
    <x v="0"/>
    <x v="0"/>
  </r>
  <r>
    <n v="70360"/>
    <x v="12"/>
    <x v="0"/>
    <n v="263"/>
    <n v="100"/>
    <n v="198.91"/>
    <x v="2"/>
    <d v="2024-09-15T00:00:00"/>
    <d v="2024-09-24T00:00:00"/>
    <x v="1"/>
    <x v="0"/>
    <n v="52313.33"/>
    <x v="0"/>
    <x v="1"/>
    <x v="0"/>
  </r>
  <r>
    <n v="34935"/>
    <x v="6"/>
    <x v="3"/>
    <n v="124"/>
    <n v="150"/>
    <n v="480.21"/>
    <x v="1"/>
    <d v="2024-01-13T00:00:00"/>
    <d v="2024-01-24T00:00:00"/>
    <x v="2"/>
    <x v="1"/>
    <n v="59546.04"/>
    <x v="61"/>
    <x v="1"/>
    <x v="1"/>
  </r>
  <r>
    <n v="48233"/>
    <x v="2"/>
    <x v="1"/>
    <n v="339"/>
    <n v="150"/>
    <n v="341.59"/>
    <x v="0"/>
    <d v="2024-07-11T00:00:00"/>
    <d v="2024-07-30T00:00:00"/>
    <x v="0"/>
    <x v="0"/>
    <n v="115799.01"/>
    <x v="0"/>
    <x v="1"/>
    <x v="0"/>
  </r>
  <r>
    <n v="29861"/>
    <x v="9"/>
    <x v="1"/>
    <n v="361"/>
    <n v="30"/>
    <n v="265.3"/>
    <x v="1"/>
    <d v="2024-04-04T00:00:00"/>
    <d v="2024-04-21T00:00:00"/>
    <x v="2"/>
    <x v="0"/>
    <n v="95773.3"/>
    <x v="0"/>
    <x v="0"/>
    <x v="0"/>
  </r>
  <r>
    <n v="69789"/>
    <x v="8"/>
    <x v="1"/>
    <n v="234"/>
    <n v="20"/>
    <n v="40.98"/>
    <x v="1"/>
    <d v="2024-04-16T00:00:00"/>
    <d v="2024-04-22T00:00:00"/>
    <x v="1"/>
    <x v="0"/>
    <n v="9589.32"/>
    <x v="0"/>
    <x v="0"/>
    <x v="0"/>
  </r>
  <r>
    <n v="88303"/>
    <x v="16"/>
    <x v="3"/>
    <n v="491"/>
    <n v="40"/>
    <n v="257.52"/>
    <x v="0"/>
    <d v="2024-01-14T00:00:00"/>
    <d v="2024-01-20T00:00:00"/>
    <x v="2"/>
    <x v="0"/>
    <n v="126442.31999999999"/>
    <x v="0"/>
    <x v="0"/>
    <x v="0"/>
  </r>
  <r>
    <n v="60155"/>
    <x v="5"/>
    <x v="2"/>
    <n v="158"/>
    <n v="20"/>
    <n v="172.65"/>
    <x v="2"/>
    <d v="2024-01-15T00:00:00"/>
    <d v="2024-02-15T00:00:00"/>
    <x v="1"/>
    <x v="0"/>
    <n v="27278.7"/>
    <x v="0"/>
    <x v="0"/>
    <x v="0"/>
  </r>
  <r>
    <n v="79535"/>
    <x v="15"/>
    <x v="4"/>
    <n v="289"/>
    <n v="80"/>
    <n v="231.75"/>
    <x v="0"/>
    <d v="2024-07-24T00:00:00"/>
    <d v="2024-07-31T00:00:00"/>
    <x v="0"/>
    <x v="0"/>
    <n v="66975.75"/>
    <x v="0"/>
    <x v="0"/>
    <x v="0"/>
  </r>
  <r>
    <n v="96850"/>
    <x v="10"/>
    <x v="2"/>
    <n v="73"/>
    <n v="80"/>
    <n v="58.55"/>
    <x v="1"/>
    <d v="2024-10-22T00:00:00"/>
    <d v="2024-11-13T00:00:00"/>
    <x v="0"/>
    <x v="1"/>
    <n v="4274.1499999999996"/>
    <x v="43"/>
    <x v="1"/>
    <x v="1"/>
  </r>
  <r>
    <n v="63205"/>
    <x v="10"/>
    <x v="2"/>
    <n v="483"/>
    <n v="30"/>
    <n v="13.58"/>
    <x v="4"/>
    <d v="2024-10-04T00:00:00"/>
    <d v="2024-11-03T00:00:00"/>
    <x v="1"/>
    <x v="0"/>
    <n v="6559.14"/>
    <x v="0"/>
    <x v="0"/>
    <x v="0"/>
  </r>
  <r>
    <n v="42977"/>
    <x v="15"/>
    <x v="4"/>
    <n v="72"/>
    <n v="40"/>
    <n v="465.63"/>
    <x v="3"/>
    <d v="2024-06-19T00:00:00"/>
    <d v="2024-07-05T00:00:00"/>
    <x v="2"/>
    <x v="0"/>
    <n v="33525.360000000001"/>
    <x v="0"/>
    <x v="1"/>
    <x v="0"/>
  </r>
  <r>
    <n v="14758"/>
    <x v="14"/>
    <x v="4"/>
    <n v="382"/>
    <n v="100"/>
    <n v="78.8"/>
    <x v="2"/>
    <d v="2024-09-21T00:00:00"/>
    <d v="2024-10-30T00:00:00"/>
    <x v="2"/>
    <x v="0"/>
    <n v="30101.599999999999"/>
    <x v="0"/>
    <x v="0"/>
    <x v="0"/>
  </r>
  <r>
    <n v="98321"/>
    <x v="14"/>
    <x v="4"/>
    <n v="332"/>
    <n v="100"/>
    <n v="292.55"/>
    <x v="0"/>
    <d v="2024-09-29T00:00:00"/>
    <d v="2024-10-27T00:00:00"/>
    <x v="0"/>
    <x v="0"/>
    <n v="97126.6"/>
    <x v="0"/>
    <x v="0"/>
    <x v="0"/>
  </r>
  <r>
    <n v="28405"/>
    <x v="12"/>
    <x v="0"/>
    <n v="160"/>
    <n v="80"/>
    <n v="223.06"/>
    <x v="0"/>
    <d v="2024-02-22T00:00:00"/>
    <d v="2024-03-06T00:00:00"/>
    <x v="0"/>
    <x v="0"/>
    <n v="35689.599999999999"/>
    <x v="0"/>
    <x v="1"/>
    <x v="0"/>
  </r>
  <r>
    <n v="92633"/>
    <x v="15"/>
    <x v="4"/>
    <n v="34"/>
    <n v="30"/>
    <n v="431.84"/>
    <x v="3"/>
    <d v="2024-07-15T00:00:00"/>
    <d v="2024-08-13T00:00:00"/>
    <x v="2"/>
    <x v="0"/>
    <n v="14682.56"/>
    <x v="0"/>
    <x v="1"/>
    <x v="0"/>
  </r>
  <r>
    <n v="33118"/>
    <x v="13"/>
    <x v="3"/>
    <n v="187"/>
    <n v="30"/>
    <n v="489.83"/>
    <x v="2"/>
    <d v="2024-05-15T00:00:00"/>
    <d v="2024-05-21T00:00:00"/>
    <x v="2"/>
    <x v="0"/>
    <n v="91598.209999999992"/>
    <x v="0"/>
    <x v="0"/>
    <x v="0"/>
  </r>
  <r>
    <n v="71102"/>
    <x v="4"/>
    <x v="0"/>
    <n v="128"/>
    <n v="40"/>
    <n v="216.14"/>
    <x v="2"/>
    <d v="2024-09-13T00:00:00"/>
    <d v="2024-10-19T00:00:00"/>
    <x v="1"/>
    <x v="0"/>
    <n v="27665.919999999998"/>
    <x v="0"/>
    <x v="0"/>
    <x v="0"/>
  </r>
  <r>
    <n v="54941"/>
    <x v="2"/>
    <x v="1"/>
    <n v="300"/>
    <n v="30"/>
    <n v="239.15"/>
    <x v="0"/>
    <d v="2024-08-06T00:00:00"/>
    <d v="2024-08-20T00:00:00"/>
    <x v="2"/>
    <x v="0"/>
    <n v="71745"/>
    <x v="0"/>
    <x v="0"/>
    <x v="0"/>
  </r>
  <r>
    <n v="98529"/>
    <x v="5"/>
    <x v="2"/>
    <n v="20"/>
    <n v="100"/>
    <n v="81.36"/>
    <x v="0"/>
    <d v="2024-04-12T00:00:00"/>
    <d v="2024-05-10T00:00:00"/>
    <x v="2"/>
    <x v="1"/>
    <n v="1627.2"/>
    <x v="107"/>
    <x v="1"/>
    <x v="1"/>
  </r>
  <r>
    <n v="49491"/>
    <x v="10"/>
    <x v="2"/>
    <n v="82"/>
    <n v="80"/>
    <n v="107.42"/>
    <x v="3"/>
    <d v="2024-07-08T00:00:00"/>
    <d v="2024-08-15T00:00:00"/>
    <x v="2"/>
    <x v="0"/>
    <n v="8808.44"/>
    <x v="0"/>
    <x v="1"/>
    <x v="0"/>
  </r>
  <r>
    <n v="74320"/>
    <x v="14"/>
    <x v="4"/>
    <n v="122"/>
    <n v="100"/>
    <n v="177.1"/>
    <x v="1"/>
    <d v="2024-11-13T00:00:00"/>
    <d v="2024-12-15T00:00:00"/>
    <x v="1"/>
    <x v="0"/>
    <n v="21606.2"/>
    <x v="0"/>
    <x v="1"/>
    <x v="0"/>
  </r>
  <r>
    <n v="48292"/>
    <x v="8"/>
    <x v="1"/>
    <n v="361"/>
    <n v="30"/>
    <n v="228.83"/>
    <x v="3"/>
    <d v="2024-02-27T00:00:00"/>
    <d v="2024-03-23T00:00:00"/>
    <x v="1"/>
    <x v="0"/>
    <n v="82607.63"/>
    <x v="0"/>
    <x v="0"/>
    <x v="0"/>
  </r>
  <r>
    <n v="71040"/>
    <x v="16"/>
    <x v="3"/>
    <n v="249"/>
    <n v="20"/>
    <n v="390.48"/>
    <x v="4"/>
    <d v="2024-11-24T00:00:00"/>
    <d v="2024-12-30T00:00:00"/>
    <x v="1"/>
    <x v="0"/>
    <n v="97229.52"/>
    <x v="0"/>
    <x v="0"/>
    <x v="0"/>
  </r>
  <r>
    <n v="24677"/>
    <x v="10"/>
    <x v="2"/>
    <n v="283"/>
    <n v="150"/>
    <n v="262.12"/>
    <x v="1"/>
    <d v="2024-02-16T00:00:00"/>
    <d v="2024-03-09T00:00:00"/>
    <x v="2"/>
    <x v="0"/>
    <n v="74179.960000000006"/>
    <x v="0"/>
    <x v="1"/>
    <x v="0"/>
  </r>
  <r>
    <n v="22559"/>
    <x v="14"/>
    <x v="4"/>
    <n v="390"/>
    <n v="40"/>
    <n v="127.03"/>
    <x v="4"/>
    <d v="2024-10-28T00:00:00"/>
    <d v="2024-11-14T00:00:00"/>
    <x v="0"/>
    <x v="0"/>
    <n v="49541.7"/>
    <x v="0"/>
    <x v="0"/>
    <x v="0"/>
  </r>
  <r>
    <n v="10058"/>
    <x v="11"/>
    <x v="4"/>
    <n v="358"/>
    <n v="150"/>
    <n v="24.43"/>
    <x v="4"/>
    <d v="2024-02-17T00:00:00"/>
    <d v="2024-03-18T00:00:00"/>
    <x v="1"/>
    <x v="0"/>
    <n v="8745.94"/>
    <x v="0"/>
    <x v="1"/>
    <x v="0"/>
  </r>
  <r>
    <n v="12674"/>
    <x v="15"/>
    <x v="4"/>
    <n v="54"/>
    <n v="150"/>
    <n v="405.75"/>
    <x v="4"/>
    <d v="2024-03-25T00:00:00"/>
    <d v="2024-04-20T00:00:00"/>
    <x v="2"/>
    <x v="1"/>
    <n v="21910.5"/>
    <x v="108"/>
    <x v="1"/>
    <x v="1"/>
  </r>
  <r>
    <n v="62342"/>
    <x v="16"/>
    <x v="3"/>
    <n v="66"/>
    <n v="40"/>
    <n v="462.29"/>
    <x v="2"/>
    <d v="2024-12-08T00:00:00"/>
    <d v="2025-01-14T00:00:00"/>
    <x v="0"/>
    <x v="0"/>
    <n v="30511.140000000003"/>
    <x v="0"/>
    <x v="1"/>
    <x v="0"/>
  </r>
  <r>
    <n v="30171"/>
    <x v="6"/>
    <x v="3"/>
    <n v="184"/>
    <n v="30"/>
    <n v="131.97999999999999"/>
    <x v="2"/>
    <d v="2024-01-22T00:00:00"/>
    <d v="2024-02-08T00:00:00"/>
    <x v="2"/>
    <x v="0"/>
    <n v="24284.32"/>
    <x v="0"/>
    <x v="0"/>
    <x v="0"/>
  </r>
  <r>
    <n v="31236"/>
    <x v="6"/>
    <x v="3"/>
    <n v="420"/>
    <n v="80"/>
    <n v="341.36"/>
    <x v="3"/>
    <d v="2024-05-15T00:00:00"/>
    <d v="2024-06-21T00:00:00"/>
    <x v="1"/>
    <x v="0"/>
    <n v="143371.20000000001"/>
    <x v="0"/>
    <x v="0"/>
    <x v="0"/>
  </r>
  <r>
    <n v="19145"/>
    <x v="16"/>
    <x v="3"/>
    <n v="385"/>
    <n v="150"/>
    <n v="179.15"/>
    <x v="0"/>
    <d v="2024-04-25T00:00:00"/>
    <d v="2024-05-30T00:00:00"/>
    <x v="1"/>
    <x v="0"/>
    <n v="68972.75"/>
    <x v="0"/>
    <x v="1"/>
    <x v="0"/>
  </r>
  <r>
    <n v="61712"/>
    <x v="10"/>
    <x v="2"/>
    <n v="9"/>
    <n v="80"/>
    <n v="68.23"/>
    <x v="3"/>
    <d v="2024-05-01T00:00:00"/>
    <d v="2024-05-31T00:00:00"/>
    <x v="2"/>
    <x v="1"/>
    <n v="614.07000000000005"/>
    <x v="109"/>
    <x v="1"/>
    <x v="1"/>
  </r>
  <r>
    <n v="61567"/>
    <x v="2"/>
    <x v="1"/>
    <n v="337"/>
    <n v="20"/>
    <n v="245.2"/>
    <x v="2"/>
    <d v="2024-03-07T00:00:00"/>
    <d v="2024-03-28T00:00:00"/>
    <x v="0"/>
    <x v="0"/>
    <n v="82632.399999999994"/>
    <x v="0"/>
    <x v="0"/>
    <x v="0"/>
  </r>
  <r>
    <n v="57452"/>
    <x v="8"/>
    <x v="1"/>
    <n v="445"/>
    <n v="20"/>
    <n v="309.39"/>
    <x v="0"/>
    <d v="2024-04-24T00:00:00"/>
    <d v="2024-05-23T00:00:00"/>
    <x v="2"/>
    <x v="0"/>
    <n v="137678.54999999999"/>
    <x v="0"/>
    <x v="0"/>
    <x v="0"/>
  </r>
  <r>
    <n v="60511"/>
    <x v="16"/>
    <x v="3"/>
    <n v="321"/>
    <n v="50"/>
    <n v="55.9"/>
    <x v="3"/>
    <d v="2024-01-16T00:00:00"/>
    <d v="2024-02-03T00:00:00"/>
    <x v="0"/>
    <x v="0"/>
    <n v="17943.899999999998"/>
    <x v="0"/>
    <x v="0"/>
    <x v="0"/>
  </r>
  <r>
    <n v="91984"/>
    <x v="0"/>
    <x v="0"/>
    <n v="126"/>
    <n v="100"/>
    <n v="45.74"/>
    <x v="3"/>
    <d v="2024-08-19T00:00:00"/>
    <d v="2024-08-26T00:00:00"/>
    <x v="1"/>
    <x v="0"/>
    <n v="5763.2400000000007"/>
    <x v="0"/>
    <x v="1"/>
    <x v="0"/>
  </r>
  <r>
    <n v="11238"/>
    <x v="16"/>
    <x v="3"/>
    <n v="157"/>
    <n v="20"/>
    <n v="299.92"/>
    <x v="2"/>
    <d v="2024-06-30T00:00:00"/>
    <d v="2024-07-08T00:00:00"/>
    <x v="0"/>
    <x v="0"/>
    <n v="47087.44"/>
    <x v="0"/>
    <x v="0"/>
    <x v="0"/>
  </r>
  <r>
    <n v="42046"/>
    <x v="0"/>
    <x v="0"/>
    <n v="462"/>
    <n v="30"/>
    <n v="221.21"/>
    <x v="1"/>
    <d v="2024-04-02T00:00:00"/>
    <d v="2024-04-18T00:00:00"/>
    <x v="0"/>
    <x v="0"/>
    <n v="102199.02"/>
    <x v="0"/>
    <x v="0"/>
    <x v="0"/>
  </r>
  <r>
    <n v="24071"/>
    <x v="11"/>
    <x v="4"/>
    <n v="392"/>
    <n v="80"/>
    <n v="480.57"/>
    <x v="3"/>
    <d v="2024-04-16T00:00:00"/>
    <d v="2024-04-26T00:00:00"/>
    <x v="1"/>
    <x v="0"/>
    <n v="188383.44"/>
    <x v="0"/>
    <x v="0"/>
    <x v="0"/>
  </r>
  <r>
    <n v="93443"/>
    <x v="9"/>
    <x v="1"/>
    <n v="375"/>
    <n v="150"/>
    <n v="324.98"/>
    <x v="2"/>
    <d v="2024-05-22T00:00:00"/>
    <d v="2024-06-30T00:00:00"/>
    <x v="1"/>
    <x v="0"/>
    <n v="121867.5"/>
    <x v="0"/>
    <x v="1"/>
    <x v="0"/>
  </r>
  <r>
    <n v="96217"/>
    <x v="1"/>
    <x v="0"/>
    <n v="191"/>
    <n v="30"/>
    <n v="391.18"/>
    <x v="1"/>
    <d v="2024-06-06T00:00:00"/>
    <d v="2024-07-15T00:00:00"/>
    <x v="0"/>
    <x v="0"/>
    <n v="74715.38"/>
    <x v="0"/>
    <x v="0"/>
    <x v="0"/>
  </r>
  <r>
    <n v="51232"/>
    <x v="7"/>
    <x v="3"/>
    <n v="233"/>
    <n v="30"/>
    <n v="131.93"/>
    <x v="0"/>
    <d v="2024-08-05T00:00:00"/>
    <d v="2024-08-24T00:00:00"/>
    <x v="2"/>
    <x v="0"/>
    <n v="30739.690000000002"/>
    <x v="0"/>
    <x v="0"/>
    <x v="0"/>
  </r>
  <r>
    <n v="93470"/>
    <x v="3"/>
    <x v="2"/>
    <n v="331"/>
    <n v="80"/>
    <n v="472.39"/>
    <x v="0"/>
    <d v="2024-10-30T00:00:00"/>
    <d v="2024-12-03T00:00:00"/>
    <x v="2"/>
    <x v="0"/>
    <n v="156361.09"/>
    <x v="0"/>
    <x v="0"/>
    <x v="0"/>
  </r>
  <r>
    <n v="81428"/>
    <x v="4"/>
    <x v="0"/>
    <n v="410"/>
    <n v="50"/>
    <n v="167.34"/>
    <x v="4"/>
    <d v="2024-12-17T00:00:00"/>
    <d v="2024-12-25T00:00:00"/>
    <x v="2"/>
    <x v="0"/>
    <n v="68609.399999999994"/>
    <x v="0"/>
    <x v="0"/>
    <x v="0"/>
  </r>
  <r>
    <n v="42322"/>
    <x v="15"/>
    <x v="4"/>
    <n v="405"/>
    <n v="100"/>
    <n v="160.37"/>
    <x v="4"/>
    <d v="2024-12-22T00:00:00"/>
    <d v="2025-01-11T00:00:00"/>
    <x v="2"/>
    <x v="0"/>
    <n v="64949.85"/>
    <x v="0"/>
    <x v="0"/>
    <x v="0"/>
  </r>
  <r>
    <n v="61030"/>
    <x v="6"/>
    <x v="3"/>
    <n v="462"/>
    <n v="30"/>
    <n v="218.69"/>
    <x v="2"/>
    <d v="2024-01-02T00:00:00"/>
    <d v="2024-01-28T00:00:00"/>
    <x v="2"/>
    <x v="0"/>
    <n v="101034.78"/>
    <x v="0"/>
    <x v="0"/>
    <x v="0"/>
  </r>
  <r>
    <n v="41795"/>
    <x v="3"/>
    <x v="2"/>
    <n v="81"/>
    <n v="100"/>
    <n v="101.34"/>
    <x v="1"/>
    <d v="2024-12-08T00:00:00"/>
    <d v="2025-01-14T00:00:00"/>
    <x v="2"/>
    <x v="1"/>
    <n v="8208.5400000000009"/>
    <x v="98"/>
    <x v="1"/>
    <x v="1"/>
  </r>
  <r>
    <n v="82102"/>
    <x v="0"/>
    <x v="0"/>
    <n v="390"/>
    <n v="40"/>
    <n v="57.26"/>
    <x v="0"/>
    <d v="2024-03-03T00:00:00"/>
    <d v="2024-04-10T00:00:00"/>
    <x v="1"/>
    <x v="0"/>
    <n v="22331.399999999998"/>
    <x v="0"/>
    <x v="0"/>
    <x v="0"/>
  </r>
  <r>
    <n v="28079"/>
    <x v="16"/>
    <x v="3"/>
    <n v="23"/>
    <n v="80"/>
    <n v="423.7"/>
    <x v="0"/>
    <d v="2024-06-09T00:00:00"/>
    <d v="2024-07-16T00:00:00"/>
    <x v="0"/>
    <x v="1"/>
    <n v="9745.1"/>
    <x v="110"/>
    <x v="1"/>
    <x v="1"/>
  </r>
  <r>
    <n v="58838"/>
    <x v="8"/>
    <x v="1"/>
    <n v="241"/>
    <n v="150"/>
    <n v="454.69"/>
    <x v="2"/>
    <d v="2024-05-26T00:00:00"/>
    <d v="2024-07-03T00:00:00"/>
    <x v="2"/>
    <x v="0"/>
    <n v="109580.29"/>
    <x v="0"/>
    <x v="1"/>
    <x v="0"/>
  </r>
  <r>
    <n v="90488"/>
    <x v="5"/>
    <x v="2"/>
    <n v="287"/>
    <n v="30"/>
    <n v="76.92"/>
    <x v="2"/>
    <d v="2024-08-05T00:00:00"/>
    <d v="2024-09-08T00:00:00"/>
    <x v="1"/>
    <x v="0"/>
    <n v="22076.04"/>
    <x v="0"/>
    <x v="0"/>
    <x v="0"/>
  </r>
  <r>
    <n v="25636"/>
    <x v="9"/>
    <x v="1"/>
    <n v="225"/>
    <n v="20"/>
    <n v="180.95"/>
    <x v="4"/>
    <d v="2024-11-14T00:00:00"/>
    <d v="2024-12-15T00:00:00"/>
    <x v="0"/>
    <x v="0"/>
    <n v="40713.75"/>
    <x v="0"/>
    <x v="0"/>
    <x v="0"/>
  </r>
  <r>
    <n v="38357"/>
    <x v="10"/>
    <x v="2"/>
    <n v="451"/>
    <n v="20"/>
    <n v="86.84"/>
    <x v="3"/>
    <d v="2024-07-08T00:00:00"/>
    <d v="2024-08-16T00:00:00"/>
    <x v="0"/>
    <x v="0"/>
    <n v="39164.840000000004"/>
    <x v="0"/>
    <x v="0"/>
    <x v="0"/>
  </r>
  <r>
    <n v="23440"/>
    <x v="11"/>
    <x v="4"/>
    <n v="120"/>
    <n v="50"/>
    <n v="133.58000000000001"/>
    <x v="3"/>
    <d v="2024-08-03T00:00:00"/>
    <d v="2024-09-04T00:00:00"/>
    <x v="0"/>
    <x v="0"/>
    <n v="16029.600000000002"/>
    <x v="0"/>
    <x v="1"/>
    <x v="0"/>
  </r>
  <r>
    <n v="58720"/>
    <x v="15"/>
    <x v="4"/>
    <n v="426"/>
    <n v="20"/>
    <n v="333.41"/>
    <x v="4"/>
    <d v="2024-07-17T00:00:00"/>
    <d v="2024-08-02T00:00:00"/>
    <x v="1"/>
    <x v="0"/>
    <n v="142032.66"/>
    <x v="0"/>
    <x v="0"/>
    <x v="0"/>
  </r>
  <r>
    <n v="66210"/>
    <x v="14"/>
    <x v="4"/>
    <n v="208"/>
    <n v="40"/>
    <n v="320.63"/>
    <x v="0"/>
    <d v="2024-11-10T00:00:00"/>
    <d v="2024-11-29T00:00:00"/>
    <x v="2"/>
    <x v="0"/>
    <n v="66691.039999999994"/>
    <x v="0"/>
    <x v="0"/>
    <x v="0"/>
  </r>
  <r>
    <n v="53950"/>
    <x v="6"/>
    <x v="3"/>
    <n v="106"/>
    <n v="150"/>
    <n v="489.72"/>
    <x v="2"/>
    <d v="2024-01-12T00:00:00"/>
    <d v="2024-02-04T00:00:00"/>
    <x v="2"/>
    <x v="1"/>
    <n v="51910.32"/>
    <x v="111"/>
    <x v="1"/>
    <x v="1"/>
  </r>
  <r>
    <n v="84385"/>
    <x v="4"/>
    <x v="0"/>
    <n v="496"/>
    <n v="40"/>
    <n v="5.65"/>
    <x v="4"/>
    <d v="2024-02-03T00:00:00"/>
    <d v="2024-03-11T00:00:00"/>
    <x v="0"/>
    <x v="0"/>
    <n v="2802.4"/>
    <x v="0"/>
    <x v="0"/>
    <x v="0"/>
  </r>
  <r>
    <n v="21273"/>
    <x v="8"/>
    <x v="1"/>
    <n v="108"/>
    <n v="80"/>
    <n v="79.47"/>
    <x v="4"/>
    <d v="2024-08-08T00:00:00"/>
    <d v="2024-09-14T00:00:00"/>
    <x v="0"/>
    <x v="0"/>
    <n v="8582.76"/>
    <x v="0"/>
    <x v="1"/>
    <x v="0"/>
  </r>
  <r>
    <n v="79336"/>
    <x v="11"/>
    <x v="4"/>
    <n v="266"/>
    <n v="150"/>
    <n v="29.28"/>
    <x v="2"/>
    <d v="2024-05-27T00:00:00"/>
    <d v="2024-06-10T00:00:00"/>
    <x v="1"/>
    <x v="0"/>
    <n v="7788.4800000000005"/>
    <x v="0"/>
    <x v="1"/>
    <x v="0"/>
  </r>
  <r>
    <n v="82651"/>
    <x v="1"/>
    <x v="0"/>
    <n v="231"/>
    <n v="30"/>
    <n v="155.43"/>
    <x v="1"/>
    <d v="2024-08-16T00:00:00"/>
    <d v="2024-08-22T00:00:00"/>
    <x v="1"/>
    <x v="0"/>
    <n v="35904.33"/>
    <x v="0"/>
    <x v="0"/>
    <x v="0"/>
  </r>
  <r>
    <n v="68596"/>
    <x v="16"/>
    <x v="3"/>
    <n v="414"/>
    <n v="20"/>
    <n v="8.01"/>
    <x v="1"/>
    <d v="2024-09-13T00:00:00"/>
    <d v="2024-09-29T00:00:00"/>
    <x v="2"/>
    <x v="0"/>
    <n v="3316.14"/>
    <x v="0"/>
    <x v="0"/>
    <x v="0"/>
  </r>
  <r>
    <n v="31818"/>
    <x v="12"/>
    <x v="0"/>
    <n v="421"/>
    <n v="100"/>
    <n v="285.93"/>
    <x v="2"/>
    <d v="2024-06-26T00:00:00"/>
    <d v="2024-08-01T00:00:00"/>
    <x v="2"/>
    <x v="0"/>
    <n v="120376.53"/>
    <x v="0"/>
    <x v="0"/>
    <x v="0"/>
  </r>
  <r>
    <n v="47790"/>
    <x v="9"/>
    <x v="1"/>
    <n v="61"/>
    <n v="30"/>
    <n v="436.21"/>
    <x v="0"/>
    <d v="2024-04-02T00:00:00"/>
    <d v="2024-05-03T00:00:00"/>
    <x v="2"/>
    <x v="0"/>
    <n v="26608.809999999998"/>
    <x v="0"/>
    <x v="1"/>
    <x v="0"/>
  </r>
  <r>
    <n v="71526"/>
    <x v="11"/>
    <x v="4"/>
    <n v="0"/>
    <n v="40"/>
    <n v="166.72"/>
    <x v="3"/>
    <d v="2024-11-27T00:00:00"/>
    <d v="2024-12-21T00:00:00"/>
    <x v="2"/>
    <x v="1"/>
    <n v="0"/>
    <x v="9"/>
    <x v="1"/>
    <x v="1"/>
  </r>
  <r>
    <n v="41016"/>
    <x v="10"/>
    <x v="2"/>
    <n v="284"/>
    <n v="150"/>
    <n v="168.5"/>
    <x v="0"/>
    <d v="2024-05-26T00:00:00"/>
    <d v="2024-06-03T00:00:00"/>
    <x v="1"/>
    <x v="0"/>
    <n v="47854"/>
    <x v="0"/>
    <x v="1"/>
    <x v="0"/>
  </r>
  <r>
    <n v="44626"/>
    <x v="15"/>
    <x v="4"/>
    <n v="21"/>
    <n v="30"/>
    <n v="113.78"/>
    <x v="1"/>
    <d v="2024-10-18T00:00:00"/>
    <d v="2024-11-11T00:00:00"/>
    <x v="1"/>
    <x v="1"/>
    <n v="2389.38"/>
    <x v="79"/>
    <x v="1"/>
    <x v="1"/>
  </r>
  <r>
    <n v="39473"/>
    <x v="14"/>
    <x v="4"/>
    <n v="252"/>
    <n v="80"/>
    <n v="165.1"/>
    <x v="1"/>
    <d v="2024-11-07T00:00:00"/>
    <d v="2024-12-01T00:00:00"/>
    <x v="2"/>
    <x v="0"/>
    <n v="41605.199999999997"/>
    <x v="0"/>
    <x v="0"/>
    <x v="0"/>
  </r>
  <r>
    <n v="52095"/>
    <x v="4"/>
    <x v="0"/>
    <n v="408"/>
    <n v="50"/>
    <n v="315.18"/>
    <x v="4"/>
    <d v="2024-04-20T00:00:00"/>
    <d v="2024-05-06T00:00:00"/>
    <x v="1"/>
    <x v="0"/>
    <n v="128593.44"/>
    <x v="0"/>
    <x v="0"/>
    <x v="0"/>
  </r>
  <r>
    <n v="17837"/>
    <x v="11"/>
    <x v="4"/>
    <n v="15"/>
    <n v="150"/>
    <n v="116.3"/>
    <x v="4"/>
    <d v="2024-06-14T00:00:00"/>
    <d v="2024-07-12T00:00:00"/>
    <x v="0"/>
    <x v="1"/>
    <n v="1744.5"/>
    <x v="93"/>
    <x v="1"/>
    <x v="1"/>
  </r>
  <r>
    <n v="75206"/>
    <x v="10"/>
    <x v="2"/>
    <n v="190"/>
    <n v="150"/>
    <n v="494.47"/>
    <x v="2"/>
    <d v="2024-12-01T00:00:00"/>
    <d v="2024-12-26T00:00:00"/>
    <x v="0"/>
    <x v="0"/>
    <n v="93949.3"/>
    <x v="0"/>
    <x v="1"/>
    <x v="0"/>
  </r>
  <r>
    <n v="27388"/>
    <x v="6"/>
    <x v="3"/>
    <n v="333"/>
    <n v="40"/>
    <n v="448.63"/>
    <x v="1"/>
    <d v="2024-04-09T00:00:00"/>
    <d v="2024-05-14T00:00:00"/>
    <x v="1"/>
    <x v="0"/>
    <n v="149393.79"/>
    <x v="0"/>
    <x v="0"/>
    <x v="0"/>
  </r>
  <r>
    <n v="98271"/>
    <x v="6"/>
    <x v="3"/>
    <n v="29"/>
    <n v="150"/>
    <n v="168.78"/>
    <x v="4"/>
    <d v="2024-02-10T00:00:00"/>
    <d v="2024-02-24T00:00:00"/>
    <x v="0"/>
    <x v="1"/>
    <n v="4894.62"/>
    <x v="35"/>
    <x v="1"/>
    <x v="1"/>
  </r>
  <r>
    <n v="33212"/>
    <x v="16"/>
    <x v="3"/>
    <n v="359"/>
    <n v="150"/>
    <n v="425.46"/>
    <x v="0"/>
    <d v="2024-07-30T00:00:00"/>
    <d v="2024-08-23T00:00:00"/>
    <x v="0"/>
    <x v="0"/>
    <n v="152740.13999999998"/>
    <x v="0"/>
    <x v="1"/>
    <x v="0"/>
  </r>
  <r>
    <n v="74708"/>
    <x v="1"/>
    <x v="0"/>
    <n v="261"/>
    <n v="100"/>
    <n v="210.5"/>
    <x v="3"/>
    <d v="2024-09-25T00:00:00"/>
    <d v="2024-10-28T00:00:00"/>
    <x v="0"/>
    <x v="0"/>
    <n v="54940.5"/>
    <x v="0"/>
    <x v="1"/>
    <x v="0"/>
  </r>
  <r>
    <n v="44841"/>
    <x v="12"/>
    <x v="0"/>
    <n v="327"/>
    <n v="50"/>
    <n v="71.56"/>
    <x v="1"/>
    <d v="2024-04-24T00:00:00"/>
    <d v="2024-05-18T00:00:00"/>
    <x v="1"/>
    <x v="0"/>
    <n v="23400.12"/>
    <x v="0"/>
    <x v="0"/>
    <x v="0"/>
  </r>
  <r>
    <n v="93388"/>
    <x v="16"/>
    <x v="3"/>
    <n v="380"/>
    <n v="40"/>
    <n v="150.44999999999999"/>
    <x v="4"/>
    <d v="2024-03-23T00:00:00"/>
    <d v="2024-04-30T00:00:00"/>
    <x v="0"/>
    <x v="0"/>
    <n v="57170.999999999993"/>
    <x v="0"/>
    <x v="0"/>
    <x v="0"/>
  </r>
  <r>
    <n v="63616"/>
    <x v="3"/>
    <x v="2"/>
    <n v="155"/>
    <n v="100"/>
    <n v="390.66"/>
    <x v="3"/>
    <d v="2024-07-04T00:00:00"/>
    <d v="2024-07-13T00:00:00"/>
    <x v="1"/>
    <x v="0"/>
    <n v="60552.3"/>
    <x v="0"/>
    <x v="1"/>
    <x v="0"/>
  </r>
  <r>
    <n v="76714"/>
    <x v="9"/>
    <x v="1"/>
    <n v="287"/>
    <n v="150"/>
    <n v="85.08"/>
    <x v="0"/>
    <d v="2024-11-26T00:00:00"/>
    <d v="2024-12-13T00:00:00"/>
    <x v="2"/>
    <x v="0"/>
    <n v="24417.96"/>
    <x v="0"/>
    <x v="1"/>
    <x v="0"/>
  </r>
  <r>
    <n v="98306"/>
    <x v="6"/>
    <x v="3"/>
    <n v="420"/>
    <n v="20"/>
    <n v="193.75"/>
    <x v="4"/>
    <d v="2024-08-11T00:00:00"/>
    <d v="2024-08-18T00:00:00"/>
    <x v="2"/>
    <x v="0"/>
    <n v="81375"/>
    <x v="0"/>
    <x v="0"/>
    <x v="0"/>
  </r>
  <r>
    <n v="82126"/>
    <x v="10"/>
    <x v="2"/>
    <n v="170"/>
    <n v="80"/>
    <n v="441.33"/>
    <x v="1"/>
    <d v="2024-06-18T00:00:00"/>
    <d v="2024-07-23T00:00:00"/>
    <x v="2"/>
    <x v="0"/>
    <n v="75026.099999999991"/>
    <x v="0"/>
    <x v="1"/>
    <x v="0"/>
  </r>
  <r>
    <n v="68171"/>
    <x v="11"/>
    <x v="4"/>
    <n v="56"/>
    <n v="150"/>
    <n v="349.26"/>
    <x v="3"/>
    <d v="2024-02-17T00:00:00"/>
    <d v="2024-03-08T00:00:00"/>
    <x v="1"/>
    <x v="1"/>
    <n v="19558.559999999998"/>
    <x v="8"/>
    <x v="1"/>
    <x v="1"/>
  </r>
  <r>
    <n v="87712"/>
    <x v="5"/>
    <x v="2"/>
    <n v="3"/>
    <n v="50"/>
    <n v="67.650000000000006"/>
    <x v="3"/>
    <d v="2024-01-09T00:00:00"/>
    <d v="2024-01-30T00:00:00"/>
    <x v="2"/>
    <x v="1"/>
    <n v="202.95000000000002"/>
    <x v="83"/>
    <x v="1"/>
    <x v="1"/>
  </r>
  <r>
    <n v="99432"/>
    <x v="12"/>
    <x v="0"/>
    <n v="42"/>
    <n v="40"/>
    <n v="22.32"/>
    <x v="2"/>
    <d v="2024-01-08T00:00:00"/>
    <d v="2024-02-03T00:00:00"/>
    <x v="2"/>
    <x v="0"/>
    <n v="937.44"/>
    <x v="0"/>
    <x v="1"/>
    <x v="0"/>
  </r>
  <r>
    <n v="96472"/>
    <x v="8"/>
    <x v="1"/>
    <n v="423"/>
    <n v="100"/>
    <n v="414.08"/>
    <x v="2"/>
    <d v="2024-01-21T00:00:00"/>
    <d v="2024-02-18T00:00:00"/>
    <x v="2"/>
    <x v="0"/>
    <n v="175155.84"/>
    <x v="0"/>
    <x v="0"/>
    <x v="0"/>
  </r>
  <r>
    <n v="95141"/>
    <x v="14"/>
    <x v="4"/>
    <n v="147"/>
    <n v="40"/>
    <n v="212.73"/>
    <x v="3"/>
    <d v="2024-02-05T00:00:00"/>
    <d v="2024-02-18T00:00:00"/>
    <x v="0"/>
    <x v="0"/>
    <n v="31271.309999999998"/>
    <x v="0"/>
    <x v="0"/>
    <x v="0"/>
  </r>
  <r>
    <n v="83100"/>
    <x v="8"/>
    <x v="1"/>
    <n v="229"/>
    <n v="40"/>
    <n v="247.61"/>
    <x v="2"/>
    <d v="2024-12-28T00:00:00"/>
    <d v="2025-02-02T00:00:00"/>
    <x v="1"/>
    <x v="0"/>
    <n v="56702.69"/>
    <x v="0"/>
    <x v="0"/>
    <x v="0"/>
  </r>
  <r>
    <n v="17398"/>
    <x v="0"/>
    <x v="0"/>
    <n v="221"/>
    <n v="30"/>
    <n v="362.35"/>
    <x v="4"/>
    <d v="2024-08-08T00:00:00"/>
    <d v="2024-09-05T00:00:00"/>
    <x v="0"/>
    <x v="0"/>
    <n v="80079.350000000006"/>
    <x v="0"/>
    <x v="0"/>
    <x v="0"/>
  </r>
  <r>
    <n v="93220"/>
    <x v="2"/>
    <x v="1"/>
    <n v="41"/>
    <n v="30"/>
    <n v="140.05000000000001"/>
    <x v="1"/>
    <d v="2024-04-05T00:00:00"/>
    <d v="2024-04-23T00:00:00"/>
    <x v="2"/>
    <x v="0"/>
    <n v="5742.05"/>
    <x v="0"/>
    <x v="1"/>
    <x v="0"/>
  </r>
  <r>
    <n v="57411"/>
    <x v="7"/>
    <x v="3"/>
    <n v="319"/>
    <n v="30"/>
    <n v="200.33"/>
    <x v="1"/>
    <d v="2024-11-08T00:00:00"/>
    <d v="2024-12-15T00:00:00"/>
    <x v="1"/>
    <x v="0"/>
    <n v="63905.270000000004"/>
    <x v="0"/>
    <x v="0"/>
    <x v="0"/>
  </r>
  <r>
    <n v="95997"/>
    <x v="12"/>
    <x v="0"/>
    <n v="88"/>
    <n v="80"/>
    <n v="255.1"/>
    <x v="4"/>
    <d v="2024-08-26T00:00:00"/>
    <d v="2024-10-03T00:00:00"/>
    <x v="1"/>
    <x v="0"/>
    <n v="22448.799999999999"/>
    <x v="0"/>
    <x v="1"/>
    <x v="0"/>
  </r>
  <r>
    <n v="47918"/>
    <x v="13"/>
    <x v="3"/>
    <n v="467"/>
    <n v="100"/>
    <n v="418.78"/>
    <x v="4"/>
    <d v="2024-01-29T00:00:00"/>
    <d v="2024-02-19T00:00:00"/>
    <x v="2"/>
    <x v="0"/>
    <n v="195570.25999999998"/>
    <x v="0"/>
    <x v="0"/>
    <x v="0"/>
  </r>
  <r>
    <n v="20349"/>
    <x v="8"/>
    <x v="1"/>
    <n v="387"/>
    <n v="100"/>
    <n v="331.61"/>
    <x v="4"/>
    <d v="2024-02-04T00:00:00"/>
    <d v="2024-02-14T00:00:00"/>
    <x v="0"/>
    <x v="0"/>
    <n v="128333.07"/>
    <x v="0"/>
    <x v="0"/>
    <x v="0"/>
  </r>
  <r>
    <n v="17660"/>
    <x v="11"/>
    <x v="4"/>
    <n v="316"/>
    <n v="40"/>
    <n v="375.15"/>
    <x v="3"/>
    <d v="2024-03-11T00:00:00"/>
    <d v="2024-03-30T00:00:00"/>
    <x v="2"/>
    <x v="0"/>
    <n v="118547.4"/>
    <x v="0"/>
    <x v="0"/>
    <x v="0"/>
  </r>
  <r>
    <n v="49913"/>
    <x v="5"/>
    <x v="2"/>
    <n v="154"/>
    <n v="100"/>
    <n v="110.93"/>
    <x v="2"/>
    <d v="2024-10-26T00:00:00"/>
    <d v="2024-11-21T00:00:00"/>
    <x v="0"/>
    <x v="0"/>
    <n v="17083.22"/>
    <x v="0"/>
    <x v="1"/>
    <x v="0"/>
  </r>
  <r>
    <n v="24919"/>
    <x v="2"/>
    <x v="1"/>
    <n v="227"/>
    <n v="20"/>
    <n v="129.07"/>
    <x v="1"/>
    <d v="2024-10-27T00:00:00"/>
    <d v="2024-11-20T00:00:00"/>
    <x v="1"/>
    <x v="0"/>
    <n v="29298.89"/>
    <x v="0"/>
    <x v="0"/>
    <x v="0"/>
  </r>
  <r>
    <n v="24242"/>
    <x v="10"/>
    <x v="2"/>
    <n v="15"/>
    <n v="40"/>
    <n v="377.27"/>
    <x v="0"/>
    <d v="2024-03-14T00:00:00"/>
    <d v="2024-04-05T00:00:00"/>
    <x v="2"/>
    <x v="1"/>
    <n v="5659.0499999999993"/>
    <x v="11"/>
    <x v="1"/>
    <x v="1"/>
  </r>
  <r>
    <n v="75950"/>
    <x v="3"/>
    <x v="2"/>
    <n v="58"/>
    <n v="50"/>
    <n v="167.49"/>
    <x v="4"/>
    <d v="2024-03-10T00:00:00"/>
    <d v="2024-03-28T00:00:00"/>
    <x v="2"/>
    <x v="0"/>
    <n v="9714.42"/>
    <x v="0"/>
    <x v="1"/>
    <x v="0"/>
  </r>
  <r>
    <n v="41676"/>
    <x v="9"/>
    <x v="1"/>
    <n v="50"/>
    <n v="80"/>
    <n v="373.16"/>
    <x v="3"/>
    <d v="2024-12-11T00:00:00"/>
    <d v="2024-12-27T00:00:00"/>
    <x v="0"/>
    <x v="1"/>
    <n v="18658"/>
    <x v="68"/>
    <x v="1"/>
    <x v="1"/>
  </r>
  <r>
    <n v="82369"/>
    <x v="1"/>
    <x v="0"/>
    <n v="239"/>
    <n v="20"/>
    <n v="350.63"/>
    <x v="3"/>
    <d v="2024-04-26T00:00:00"/>
    <d v="2024-05-03T00:00:00"/>
    <x v="2"/>
    <x v="0"/>
    <n v="83800.569999999992"/>
    <x v="0"/>
    <x v="0"/>
    <x v="0"/>
  </r>
  <r>
    <n v="64843"/>
    <x v="15"/>
    <x v="4"/>
    <n v="23"/>
    <n v="40"/>
    <n v="282.01"/>
    <x v="0"/>
    <d v="2024-04-14T00:00:00"/>
    <d v="2024-05-07T00:00:00"/>
    <x v="2"/>
    <x v="1"/>
    <n v="6486.23"/>
    <x v="14"/>
    <x v="1"/>
    <x v="1"/>
  </r>
  <r>
    <n v="20108"/>
    <x v="6"/>
    <x v="3"/>
    <n v="196"/>
    <n v="40"/>
    <n v="7.79"/>
    <x v="3"/>
    <d v="2024-09-19T00:00:00"/>
    <d v="2024-09-29T00:00:00"/>
    <x v="2"/>
    <x v="0"/>
    <n v="1526.84"/>
    <x v="0"/>
    <x v="0"/>
    <x v="0"/>
  </r>
  <r>
    <n v="84693"/>
    <x v="8"/>
    <x v="1"/>
    <n v="365"/>
    <n v="30"/>
    <n v="260.60000000000002"/>
    <x v="2"/>
    <d v="2024-06-22T00:00:00"/>
    <d v="2024-07-03T00:00:00"/>
    <x v="0"/>
    <x v="0"/>
    <n v="95119.000000000015"/>
    <x v="0"/>
    <x v="0"/>
    <x v="0"/>
  </r>
  <r>
    <n v="46067"/>
    <x v="9"/>
    <x v="1"/>
    <n v="352"/>
    <n v="50"/>
    <n v="401.96"/>
    <x v="3"/>
    <d v="2024-11-20T00:00:00"/>
    <d v="2024-11-29T00:00:00"/>
    <x v="0"/>
    <x v="0"/>
    <n v="141489.91999999998"/>
    <x v="0"/>
    <x v="0"/>
    <x v="0"/>
  </r>
  <r>
    <n v="55852"/>
    <x v="4"/>
    <x v="0"/>
    <n v="121"/>
    <n v="80"/>
    <n v="110.61"/>
    <x v="2"/>
    <d v="2024-12-25T00:00:00"/>
    <d v="2024-12-30T00:00:00"/>
    <x v="1"/>
    <x v="0"/>
    <n v="13383.81"/>
    <x v="0"/>
    <x v="1"/>
    <x v="0"/>
  </r>
  <r>
    <n v="35099"/>
    <x v="16"/>
    <x v="3"/>
    <n v="68"/>
    <n v="80"/>
    <n v="219.51"/>
    <x v="2"/>
    <d v="2024-12-09T00:00:00"/>
    <d v="2025-01-01T00:00:00"/>
    <x v="0"/>
    <x v="1"/>
    <n v="14926.68"/>
    <x v="50"/>
    <x v="1"/>
    <x v="1"/>
  </r>
  <r>
    <n v="31788"/>
    <x v="9"/>
    <x v="1"/>
    <n v="225"/>
    <n v="40"/>
    <n v="360.26"/>
    <x v="0"/>
    <d v="2024-07-05T00:00:00"/>
    <d v="2024-07-12T00:00:00"/>
    <x v="0"/>
    <x v="0"/>
    <n v="81058.5"/>
    <x v="0"/>
    <x v="0"/>
    <x v="0"/>
  </r>
  <r>
    <n v="75911"/>
    <x v="11"/>
    <x v="4"/>
    <n v="245"/>
    <n v="30"/>
    <n v="462.59"/>
    <x v="1"/>
    <d v="2024-05-30T00:00:00"/>
    <d v="2024-06-24T00:00:00"/>
    <x v="2"/>
    <x v="0"/>
    <n v="113334.54999999999"/>
    <x v="0"/>
    <x v="0"/>
    <x v="0"/>
  </r>
  <r>
    <n v="29984"/>
    <x v="7"/>
    <x v="3"/>
    <n v="150"/>
    <n v="50"/>
    <n v="14.07"/>
    <x v="0"/>
    <d v="2024-09-13T00:00:00"/>
    <d v="2024-10-02T00:00:00"/>
    <x v="1"/>
    <x v="0"/>
    <n v="2110.5"/>
    <x v="0"/>
    <x v="1"/>
    <x v="0"/>
  </r>
  <r>
    <n v="48516"/>
    <x v="3"/>
    <x v="2"/>
    <n v="305"/>
    <n v="50"/>
    <n v="262.94"/>
    <x v="4"/>
    <d v="2024-12-30T00:00:00"/>
    <d v="2025-01-09T00:00:00"/>
    <x v="1"/>
    <x v="0"/>
    <n v="80196.7"/>
    <x v="0"/>
    <x v="0"/>
    <x v="0"/>
  </r>
  <r>
    <n v="74198"/>
    <x v="8"/>
    <x v="1"/>
    <n v="434"/>
    <n v="100"/>
    <n v="412.78"/>
    <x v="2"/>
    <d v="2024-06-19T00:00:00"/>
    <d v="2024-07-20T00:00:00"/>
    <x v="1"/>
    <x v="0"/>
    <n v="179146.52"/>
    <x v="0"/>
    <x v="0"/>
    <x v="0"/>
  </r>
  <r>
    <n v="81895"/>
    <x v="14"/>
    <x v="4"/>
    <n v="96"/>
    <n v="20"/>
    <n v="349.65"/>
    <x v="4"/>
    <d v="2024-04-10T00:00:00"/>
    <d v="2024-05-07T00:00:00"/>
    <x v="2"/>
    <x v="0"/>
    <n v="33566.399999999994"/>
    <x v="0"/>
    <x v="0"/>
    <x v="0"/>
  </r>
  <r>
    <n v="51936"/>
    <x v="5"/>
    <x v="2"/>
    <n v="282"/>
    <n v="100"/>
    <n v="376.42"/>
    <x v="4"/>
    <d v="2024-02-14T00:00:00"/>
    <d v="2024-03-12T00:00:00"/>
    <x v="0"/>
    <x v="0"/>
    <n v="106150.44"/>
    <x v="0"/>
    <x v="1"/>
    <x v="0"/>
  </r>
  <r>
    <n v="92298"/>
    <x v="3"/>
    <x v="2"/>
    <n v="260"/>
    <n v="100"/>
    <n v="480.91"/>
    <x v="1"/>
    <d v="2024-02-18T00:00:00"/>
    <d v="2024-02-28T00:00:00"/>
    <x v="2"/>
    <x v="0"/>
    <n v="125036.6"/>
    <x v="0"/>
    <x v="1"/>
    <x v="0"/>
  </r>
  <r>
    <n v="26689"/>
    <x v="2"/>
    <x v="1"/>
    <n v="211"/>
    <n v="50"/>
    <n v="466.96"/>
    <x v="2"/>
    <d v="2024-06-20T00:00:00"/>
    <d v="2024-07-16T00:00:00"/>
    <x v="2"/>
    <x v="0"/>
    <n v="98528.56"/>
    <x v="0"/>
    <x v="0"/>
    <x v="0"/>
  </r>
  <r>
    <n v="85519"/>
    <x v="12"/>
    <x v="0"/>
    <n v="441"/>
    <n v="150"/>
    <n v="473.65"/>
    <x v="2"/>
    <d v="2024-04-27T00:00:00"/>
    <d v="2024-06-01T00:00:00"/>
    <x v="1"/>
    <x v="0"/>
    <n v="208879.65"/>
    <x v="0"/>
    <x v="1"/>
    <x v="0"/>
  </r>
  <r>
    <n v="29504"/>
    <x v="12"/>
    <x v="0"/>
    <n v="205"/>
    <n v="30"/>
    <n v="480.06"/>
    <x v="0"/>
    <d v="2024-02-29T00:00:00"/>
    <d v="2024-03-14T00:00:00"/>
    <x v="0"/>
    <x v="0"/>
    <n v="98412.3"/>
    <x v="0"/>
    <x v="0"/>
    <x v="0"/>
  </r>
  <r>
    <n v="51745"/>
    <x v="12"/>
    <x v="0"/>
    <n v="178"/>
    <n v="20"/>
    <n v="478.61"/>
    <x v="2"/>
    <d v="2024-11-04T00:00:00"/>
    <d v="2024-12-09T00:00:00"/>
    <x v="2"/>
    <x v="0"/>
    <n v="85192.58"/>
    <x v="0"/>
    <x v="0"/>
    <x v="0"/>
  </r>
  <r>
    <n v="21230"/>
    <x v="9"/>
    <x v="1"/>
    <n v="494"/>
    <n v="150"/>
    <n v="439.04"/>
    <x v="0"/>
    <d v="2024-09-15T00:00:00"/>
    <d v="2024-09-25T00:00:00"/>
    <x v="2"/>
    <x v="0"/>
    <n v="216885.76000000001"/>
    <x v="0"/>
    <x v="0"/>
    <x v="0"/>
  </r>
  <r>
    <n v="24962"/>
    <x v="10"/>
    <x v="2"/>
    <n v="145"/>
    <n v="100"/>
    <n v="466.15"/>
    <x v="0"/>
    <d v="2024-03-01T00:00:00"/>
    <d v="2024-03-31T00:00:00"/>
    <x v="0"/>
    <x v="0"/>
    <n v="67591.75"/>
    <x v="0"/>
    <x v="1"/>
    <x v="0"/>
  </r>
  <r>
    <n v="93040"/>
    <x v="6"/>
    <x v="3"/>
    <n v="20"/>
    <n v="40"/>
    <n v="415.16"/>
    <x v="3"/>
    <d v="2024-01-27T00:00:00"/>
    <d v="2024-02-09T00:00:00"/>
    <x v="2"/>
    <x v="1"/>
    <n v="8303.2000000000007"/>
    <x v="53"/>
    <x v="1"/>
    <x v="1"/>
  </r>
  <r>
    <n v="63648"/>
    <x v="1"/>
    <x v="0"/>
    <n v="298"/>
    <n v="150"/>
    <n v="279.01"/>
    <x v="1"/>
    <d v="2024-07-30T00:00:00"/>
    <d v="2024-08-15T00:00:00"/>
    <x v="2"/>
    <x v="0"/>
    <n v="83144.98"/>
    <x v="0"/>
    <x v="1"/>
    <x v="0"/>
  </r>
  <r>
    <n v="78993"/>
    <x v="1"/>
    <x v="0"/>
    <n v="97"/>
    <n v="100"/>
    <n v="278.72000000000003"/>
    <x v="3"/>
    <d v="2024-01-28T00:00:00"/>
    <d v="2024-02-10T00:00:00"/>
    <x v="2"/>
    <x v="1"/>
    <n v="27035.840000000004"/>
    <x v="47"/>
    <x v="1"/>
    <x v="1"/>
  </r>
  <r>
    <n v="62330"/>
    <x v="14"/>
    <x v="4"/>
    <n v="286"/>
    <n v="30"/>
    <n v="477.06"/>
    <x v="3"/>
    <d v="2024-01-19T00:00:00"/>
    <d v="2024-02-09T00:00:00"/>
    <x v="2"/>
    <x v="0"/>
    <n v="136439.16"/>
    <x v="0"/>
    <x v="0"/>
    <x v="0"/>
  </r>
  <r>
    <n v="31883"/>
    <x v="15"/>
    <x v="4"/>
    <n v="411"/>
    <n v="100"/>
    <n v="246.07"/>
    <x v="0"/>
    <d v="2024-05-02T00:00:00"/>
    <d v="2024-05-07T00:00:00"/>
    <x v="1"/>
    <x v="0"/>
    <n v="101134.77"/>
    <x v="0"/>
    <x v="0"/>
    <x v="0"/>
  </r>
  <r>
    <n v="61319"/>
    <x v="4"/>
    <x v="0"/>
    <n v="20"/>
    <n v="80"/>
    <n v="102.32"/>
    <x v="3"/>
    <d v="2024-07-24T00:00:00"/>
    <d v="2024-08-12T00:00:00"/>
    <x v="1"/>
    <x v="1"/>
    <n v="2046.3999999999999"/>
    <x v="55"/>
    <x v="1"/>
    <x v="1"/>
  </r>
  <r>
    <n v="43971"/>
    <x v="16"/>
    <x v="3"/>
    <n v="311"/>
    <n v="30"/>
    <n v="407.49"/>
    <x v="3"/>
    <d v="2024-11-15T00:00:00"/>
    <d v="2024-11-27T00:00:00"/>
    <x v="0"/>
    <x v="0"/>
    <n v="126729.39"/>
    <x v="0"/>
    <x v="0"/>
    <x v="0"/>
  </r>
  <r>
    <n v="30114"/>
    <x v="11"/>
    <x v="4"/>
    <n v="200"/>
    <n v="100"/>
    <n v="125.75"/>
    <x v="0"/>
    <d v="2024-08-06T00:00:00"/>
    <d v="2024-09-10T00:00:00"/>
    <x v="2"/>
    <x v="0"/>
    <n v="25150"/>
    <x v="0"/>
    <x v="1"/>
    <x v="0"/>
  </r>
  <r>
    <n v="48973"/>
    <x v="6"/>
    <x v="3"/>
    <n v="428"/>
    <n v="100"/>
    <n v="357.25"/>
    <x v="2"/>
    <d v="2024-02-22T00:00:00"/>
    <d v="2024-02-28T00:00:00"/>
    <x v="2"/>
    <x v="0"/>
    <n v="152903"/>
    <x v="0"/>
    <x v="0"/>
    <x v="0"/>
  </r>
  <r>
    <n v="93611"/>
    <x v="3"/>
    <x v="2"/>
    <n v="346"/>
    <n v="50"/>
    <n v="401.34"/>
    <x v="1"/>
    <d v="2024-03-29T00:00:00"/>
    <d v="2024-05-03T00:00:00"/>
    <x v="1"/>
    <x v="0"/>
    <n v="138863.63999999998"/>
    <x v="0"/>
    <x v="0"/>
    <x v="0"/>
  </r>
  <r>
    <n v="42632"/>
    <x v="4"/>
    <x v="0"/>
    <n v="55"/>
    <n v="40"/>
    <n v="312.75"/>
    <x v="3"/>
    <d v="2024-08-07T00:00:00"/>
    <d v="2024-08-23T00:00:00"/>
    <x v="2"/>
    <x v="0"/>
    <n v="17201.25"/>
    <x v="0"/>
    <x v="1"/>
    <x v="0"/>
  </r>
  <r>
    <n v="65175"/>
    <x v="12"/>
    <x v="0"/>
    <n v="235"/>
    <n v="20"/>
    <n v="415.6"/>
    <x v="0"/>
    <d v="2024-02-03T00:00:00"/>
    <d v="2024-02-20T00:00:00"/>
    <x v="0"/>
    <x v="0"/>
    <n v="97666"/>
    <x v="0"/>
    <x v="0"/>
    <x v="0"/>
  </r>
  <r>
    <n v="36190"/>
    <x v="4"/>
    <x v="0"/>
    <n v="229"/>
    <n v="80"/>
    <n v="159.38999999999999"/>
    <x v="3"/>
    <d v="2024-08-28T00:00:00"/>
    <d v="2024-09-08T00:00:00"/>
    <x v="2"/>
    <x v="0"/>
    <n v="36500.31"/>
    <x v="0"/>
    <x v="1"/>
    <x v="0"/>
  </r>
  <r>
    <n v="89455"/>
    <x v="4"/>
    <x v="0"/>
    <n v="360"/>
    <n v="150"/>
    <n v="6.73"/>
    <x v="4"/>
    <d v="2024-04-13T00:00:00"/>
    <d v="2024-05-03T00:00:00"/>
    <x v="2"/>
    <x v="0"/>
    <n v="2422.8000000000002"/>
    <x v="0"/>
    <x v="1"/>
    <x v="0"/>
  </r>
  <r>
    <n v="39692"/>
    <x v="4"/>
    <x v="0"/>
    <n v="1"/>
    <n v="150"/>
    <n v="296.74"/>
    <x v="3"/>
    <d v="2024-07-09T00:00:00"/>
    <d v="2024-07-16T00:00:00"/>
    <x v="0"/>
    <x v="1"/>
    <n v="296.74"/>
    <x v="80"/>
    <x v="1"/>
    <x v="1"/>
  </r>
  <r>
    <n v="19605"/>
    <x v="2"/>
    <x v="1"/>
    <n v="476"/>
    <n v="100"/>
    <n v="68.900000000000006"/>
    <x v="3"/>
    <d v="2024-06-21T00:00:00"/>
    <d v="2024-07-27T00:00:00"/>
    <x v="0"/>
    <x v="0"/>
    <n v="32796.400000000001"/>
    <x v="0"/>
    <x v="0"/>
    <x v="0"/>
  </r>
  <r>
    <n v="68618"/>
    <x v="9"/>
    <x v="1"/>
    <n v="112"/>
    <n v="100"/>
    <n v="460.97"/>
    <x v="3"/>
    <d v="2024-07-29T00:00:00"/>
    <d v="2024-08-22T00:00:00"/>
    <x v="1"/>
    <x v="0"/>
    <n v="51628.639999999999"/>
    <x v="0"/>
    <x v="1"/>
    <x v="0"/>
  </r>
  <r>
    <n v="33386"/>
    <x v="4"/>
    <x v="0"/>
    <n v="440"/>
    <n v="20"/>
    <n v="234.75"/>
    <x v="0"/>
    <d v="2024-06-11T00:00:00"/>
    <d v="2024-06-25T00:00:00"/>
    <x v="0"/>
    <x v="0"/>
    <n v="103290"/>
    <x v="0"/>
    <x v="0"/>
    <x v="0"/>
  </r>
  <r>
    <n v="65097"/>
    <x v="0"/>
    <x v="0"/>
    <n v="33"/>
    <n v="40"/>
    <n v="347.99"/>
    <x v="3"/>
    <d v="2024-09-16T00:00:00"/>
    <d v="2024-10-03T00:00:00"/>
    <x v="1"/>
    <x v="1"/>
    <n v="11483.67"/>
    <x v="43"/>
    <x v="1"/>
    <x v="1"/>
  </r>
  <r>
    <n v="55167"/>
    <x v="15"/>
    <x v="4"/>
    <n v="115"/>
    <n v="50"/>
    <n v="187.5"/>
    <x v="0"/>
    <d v="2024-09-06T00:00:00"/>
    <d v="2024-10-02T00:00:00"/>
    <x v="1"/>
    <x v="0"/>
    <n v="21562.5"/>
    <x v="0"/>
    <x v="1"/>
    <x v="0"/>
  </r>
  <r>
    <n v="42259"/>
    <x v="2"/>
    <x v="1"/>
    <n v="175"/>
    <n v="20"/>
    <n v="284.94"/>
    <x v="4"/>
    <d v="2024-06-29T00:00:00"/>
    <d v="2024-07-06T00:00:00"/>
    <x v="0"/>
    <x v="0"/>
    <n v="49864.5"/>
    <x v="0"/>
    <x v="0"/>
    <x v="0"/>
  </r>
  <r>
    <n v="53199"/>
    <x v="8"/>
    <x v="1"/>
    <n v="493"/>
    <n v="40"/>
    <n v="480.3"/>
    <x v="4"/>
    <d v="2024-03-26T00:00:00"/>
    <d v="2024-04-19T00:00:00"/>
    <x v="2"/>
    <x v="0"/>
    <n v="236787.9"/>
    <x v="0"/>
    <x v="0"/>
    <x v="0"/>
  </r>
  <r>
    <n v="15717"/>
    <x v="11"/>
    <x v="4"/>
    <n v="106"/>
    <n v="150"/>
    <n v="339.3"/>
    <x v="0"/>
    <d v="2024-07-28T00:00:00"/>
    <d v="2024-08-12T00:00:00"/>
    <x v="2"/>
    <x v="1"/>
    <n v="35965.800000000003"/>
    <x v="111"/>
    <x v="1"/>
    <x v="1"/>
  </r>
  <r>
    <n v="25198"/>
    <x v="11"/>
    <x v="4"/>
    <n v="342"/>
    <n v="20"/>
    <n v="341.47"/>
    <x v="3"/>
    <d v="2024-05-08T00:00:00"/>
    <d v="2024-05-21T00:00:00"/>
    <x v="1"/>
    <x v="0"/>
    <n v="116782.74"/>
    <x v="0"/>
    <x v="0"/>
    <x v="0"/>
  </r>
  <r>
    <n v="36547"/>
    <x v="7"/>
    <x v="3"/>
    <n v="145"/>
    <n v="150"/>
    <n v="414.7"/>
    <x v="3"/>
    <d v="2024-03-27T00:00:00"/>
    <d v="2024-04-11T00:00:00"/>
    <x v="2"/>
    <x v="1"/>
    <n v="60131.5"/>
    <x v="18"/>
    <x v="1"/>
    <x v="1"/>
  </r>
  <r>
    <n v="98636"/>
    <x v="7"/>
    <x v="3"/>
    <n v="446"/>
    <n v="20"/>
    <n v="92.65"/>
    <x v="0"/>
    <d v="2024-06-18T00:00:00"/>
    <d v="2024-07-18T00:00:00"/>
    <x v="1"/>
    <x v="0"/>
    <n v="41321.9"/>
    <x v="0"/>
    <x v="0"/>
    <x v="0"/>
  </r>
  <r>
    <n v="24248"/>
    <x v="15"/>
    <x v="4"/>
    <n v="491"/>
    <n v="50"/>
    <n v="140.91"/>
    <x v="1"/>
    <d v="2024-02-08T00:00:00"/>
    <d v="2024-03-04T00:00:00"/>
    <x v="1"/>
    <x v="0"/>
    <n v="69186.81"/>
    <x v="0"/>
    <x v="0"/>
    <x v="0"/>
  </r>
  <r>
    <n v="87994"/>
    <x v="7"/>
    <x v="3"/>
    <n v="151"/>
    <n v="20"/>
    <n v="184.01"/>
    <x v="2"/>
    <d v="2024-05-25T00:00:00"/>
    <d v="2024-06-13T00:00:00"/>
    <x v="0"/>
    <x v="0"/>
    <n v="27785.51"/>
    <x v="0"/>
    <x v="0"/>
    <x v="0"/>
  </r>
  <r>
    <n v="44094"/>
    <x v="16"/>
    <x v="3"/>
    <n v="375"/>
    <n v="20"/>
    <n v="441.89"/>
    <x v="1"/>
    <d v="2024-08-15T00:00:00"/>
    <d v="2024-09-19T00:00:00"/>
    <x v="2"/>
    <x v="0"/>
    <n v="165708.75"/>
    <x v="0"/>
    <x v="0"/>
    <x v="0"/>
  </r>
  <r>
    <n v="42089"/>
    <x v="15"/>
    <x v="4"/>
    <n v="93"/>
    <n v="50"/>
    <n v="181.4"/>
    <x v="2"/>
    <d v="2024-09-06T00:00:00"/>
    <d v="2024-09-29T00:00:00"/>
    <x v="2"/>
    <x v="0"/>
    <n v="16870.2"/>
    <x v="0"/>
    <x v="1"/>
    <x v="0"/>
  </r>
  <r>
    <n v="92864"/>
    <x v="6"/>
    <x v="3"/>
    <n v="397"/>
    <n v="40"/>
    <n v="54.01"/>
    <x v="2"/>
    <d v="2024-11-05T00:00:00"/>
    <d v="2024-11-15T00:00:00"/>
    <x v="2"/>
    <x v="0"/>
    <n v="21441.969999999998"/>
    <x v="0"/>
    <x v="0"/>
    <x v="0"/>
  </r>
  <r>
    <n v="17084"/>
    <x v="0"/>
    <x v="0"/>
    <n v="90"/>
    <n v="50"/>
    <n v="405.85"/>
    <x v="4"/>
    <d v="2024-07-07T00:00:00"/>
    <d v="2024-07-13T00:00:00"/>
    <x v="1"/>
    <x v="0"/>
    <n v="36526.5"/>
    <x v="0"/>
    <x v="1"/>
    <x v="0"/>
  </r>
  <r>
    <n v="46668"/>
    <x v="7"/>
    <x v="3"/>
    <n v="369"/>
    <n v="30"/>
    <n v="412.98"/>
    <x v="1"/>
    <d v="2024-07-25T00:00:00"/>
    <d v="2024-08-30T00:00:00"/>
    <x v="0"/>
    <x v="0"/>
    <n v="152389.62"/>
    <x v="0"/>
    <x v="0"/>
    <x v="0"/>
  </r>
  <r>
    <n v="14601"/>
    <x v="3"/>
    <x v="2"/>
    <n v="198"/>
    <n v="80"/>
    <n v="90.95"/>
    <x v="0"/>
    <d v="2024-11-16T00:00:00"/>
    <d v="2024-12-04T00:00:00"/>
    <x v="2"/>
    <x v="0"/>
    <n v="18008.100000000002"/>
    <x v="0"/>
    <x v="1"/>
    <x v="0"/>
  </r>
  <r>
    <n v="50854"/>
    <x v="2"/>
    <x v="1"/>
    <n v="268"/>
    <n v="50"/>
    <n v="168.8"/>
    <x v="0"/>
    <d v="2024-04-09T00:00:00"/>
    <d v="2024-04-23T00:00:00"/>
    <x v="1"/>
    <x v="0"/>
    <n v="45238.400000000001"/>
    <x v="0"/>
    <x v="0"/>
    <x v="0"/>
  </r>
  <r>
    <n v="97191"/>
    <x v="15"/>
    <x v="4"/>
    <n v="65"/>
    <n v="150"/>
    <n v="278.14999999999998"/>
    <x v="2"/>
    <d v="2024-12-02T00:00:00"/>
    <d v="2024-12-24T00:00:00"/>
    <x v="1"/>
    <x v="1"/>
    <n v="18079.75"/>
    <x v="81"/>
    <x v="1"/>
    <x v="1"/>
  </r>
  <r>
    <n v="41300"/>
    <x v="13"/>
    <x v="3"/>
    <n v="63"/>
    <n v="30"/>
    <n v="289.08999999999997"/>
    <x v="3"/>
    <d v="2024-06-10T00:00:00"/>
    <d v="2024-06-16T00:00:00"/>
    <x v="2"/>
    <x v="0"/>
    <n v="18212.669999999998"/>
    <x v="0"/>
    <x v="1"/>
    <x v="0"/>
  </r>
  <r>
    <n v="66422"/>
    <x v="4"/>
    <x v="0"/>
    <n v="470"/>
    <n v="80"/>
    <n v="405.26"/>
    <x v="4"/>
    <d v="2024-04-16T00:00:00"/>
    <d v="2024-04-28T00:00:00"/>
    <x v="0"/>
    <x v="0"/>
    <n v="190472.19999999998"/>
    <x v="0"/>
    <x v="0"/>
    <x v="0"/>
  </r>
  <r>
    <n v="67135"/>
    <x v="3"/>
    <x v="2"/>
    <n v="435"/>
    <n v="100"/>
    <n v="257.7"/>
    <x v="3"/>
    <d v="2024-09-06T00:00:00"/>
    <d v="2024-10-03T00:00:00"/>
    <x v="1"/>
    <x v="0"/>
    <n v="112099.5"/>
    <x v="0"/>
    <x v="0"/>
    <x v="0"/>
  </r>
  <r>
    <n v="40085"/>
    <x v="10"/>
    <x v="2"/>
    <n v="16"/>
    <n v="150"/>
    <n v="46.04"/>
    <x v="2"/>
    <d v="2024-11-05T00:00:00"/>
    <d v="2024-12-06T00:00:00"/>
    <x v="1"/>
    <x v="1"/>
    <n v="736.64"/>
    <x v="101"/>
    <x v="1"/>
    <x v="1"/>
  </r>
  <r>
    <n v="26057"/>
    <x v="0"/>
    <x v="0"/>
    <n v="111"/>
    <n v="100"/>
    <n v="298.58999999999997"/>
    <x v="1"/>
    <d v="2024-01-07T00:00:00"/>
    <d v="2024-02-06T00:00:00"/>
    <x v="2"/>
    <x v="0"/>
    <n v="33143.49"/>
    <x v="0"/>
    <x v="1"/>
    <x v="0"/>
  </r>
  <r>
    <n v="43149"/>
    <x v="13"/>
    <x v="3"/>
    <n v="477"/>
    <n v="150"/>
    <n v="219.95"/>
    <x v="4"/>
    <d v="2024-04-24T00:00:00"/>
    <d v="2024-05-22T00:00:00"/>
    <x v="2"/>
    <x v="0"/>
    <n v="104916.15"/>
    <x v="0"/>
    <x v="0"/>
    <x v="0"/>
  </r>
  <r>
    <n v="66869"/>
    <x v="6"/>
    <x v="3"/>
    <n v="274"/>
    <n v="150"/>
    <n v="152.16"/>
    <x v="3"/>
    <d v="2024-02-13T00:00:00"/>
    <d v="2024-03-02T00:00:00"/>
    <x v="0"/>
    <x v="0"/>
    <n v="41691.839999999997"/>
    <x v="0"/>
    <x v="1"/>
    <x v="0"/>
  </r>
  <r>
    <n v="65333"/>
    <x v="14"/>
    <x v="4"/>
    <n v="380"/>
    <n v="80"/>
    <n v="425.32"/>
    <x v="0"/>
    <d v="2024-03-26T00:00:00"/>
    <d v="2024-04-02T00:00:00"/>
    <x v="1"/>
    <x v="0"/>
    <n v="161621.6"/>
    <x v="0"/>
    <x v="0"/>
    <x v="0"/>
  </r>
  <r>
    <n v="10792"/>
    <x v="2"/>
    <x v="1"/>
    <n v="447"/>
    <n v="150"/>
    <n v="286.57"/>
    <x v="2"/>
    <d v="2024-11-21T00:00:00"/>
    <d v="2024-11-26T00:00:00"/>
    <x v="1"/>
    <x v="0"/>
    <n v="128096.79"/>
    <x v="0"/>
    <x v="1"/>
    <x v="0"/>
  </r>
  <r>
    <n v="54870"/>
    <x v="14"/>
    <x v="4"/>
    <n v="130"/>
    <n v="40"/>
    <n v="97.02"/>
    <x v="1"/>
    <d v="2024-04-22T00:00:00"/>
    <d v="2024-04-27T00:00:00"/>
    <x v="1"/>
    <x v="0"/>
    <n v="12612.6"/>
    <x v="0"/>
    <x v="0"/>
    <x v="0"/>
  </r>
  <r>
    <n v="24937"/>
    <x v="5"/>
    <x v="2"/>
    <n v="157"/>
    <n v="40"/>
    <n v="78.41"/>
    <x v="0"/>
    <d v="2024-09-25T00:00:00"/>
    <d v="2024-10-19T00:00:00"/>
    <x v="0"/>
    <x v="0"/>
    <n v="12310.369999999999"/>
    <x v="0"/>
    <x v="0"/>
    <x v="0"/>
  </r>
  <r>
    <n v="58122"/>
    <x v="8"/>
    <x v="1"/>
    <n v="303"/>
    <n v="50"/>
    <n v="43.96"/>
    <x v="2"/>
    <d v="2024-08-29T00:00:00"/>
    <d v="2024-10-06T00:00:00"/>
    <x v="0"/>
    <x v="0"/>
    <n v="13319.880000000001"/>
    <x v="0"/>
    <x v="0"/>
    <x v="0"/>
  </r>
  <r>
    <n v="73175"/>
    <x v="5"/>
    <x v="2"/>
    <n v="385"/>
    <n v="150"/>
    <n v="183.39"/>
    <x v="1"/>
    <d v="2024-06-04T00:00:00"/>
    <d v="2024-06-29T00:00:00"/>
    <x v="2"/>
    <x v="0"/>
    <n v="70605.149999999994"/>
    <x v="0"/>
    <x v="1"/>
    <x v="0"/>
  </r>
  <r>
    <n v="21447"/>
    <x v="11"/>
    <x v="4"/>
    <n v="200"/>
    <n v="50"/>
    <n v="197.11"/>
    <x v="0"/>
    <d v="2024-08-12T00:00:00"/>
    <d v="2024-08-20T00:00:00"/>
    <x v="2"/>
    <x v="0"/>
    <n v="39422"/>
    <x v="0"/>
    <x v="0"/>
    <x v="0"/>
  </r>
  <r>
    <n v="12589"/>
    <x v="4"/>
    <x v="0"/>
    <n v="150"/>
    <n v="50"/>
    <n v="28.08"/>
    <x v="3"/>
    <d v="2024-12-19T00:00:00"/>
    <d v="2024-12-25T00:00:00"/>
    <x v="1"/>
    <x v="0"/>
    <n v="4212"/>
    <x v="0"/>
    <x v="1"/>
    <x v="0"/>
  </r>
  <r>
    <n v="71104"/>
    <x v="11"/>
    <x v="4"/>
    <n v="167"/>
    <n v="20"/>
    <n v="139.61000000000001"/>
    <x v="3"/>
    <d v="2024-08-15T00:00:00"/>
    <d v="2024-08-31T00:00:00"/>
    <x v="0"/>
    <x v="0"/>
    <n v="23314.870000000003"/>
    <x v="0"/>
    <x v="0"/>
    <x v="0"/>
  </r>
  <r>
    <n v="60298"/>
    <x v="5"/>
    <x v="2"/>
    <n v="45"/>
    <n v="100"/>
    <n v="352.51"/>
    <x v="4"/>
    <d v="2024-12-25T00:00:00"/>
    <d v="2025-01-03T00:00:00"/>
    <x v="0"/>
    <x v="1"/>
    <n v="15862.949999999999"/>
    <x v="5"/>
    <x v="1"/>
    <x v="1"/>
  </r>
  <r>
    <n v="46366"/>
    <x v="3"/>
    <x v="2"/>
    <n v="499"/>
    <n v="150"/>
    <n v="172.63"/>
    <x v="2"/>
    <d v="2024-03-22T00:00:00"/>
    <d v="2024-04-07T00:00:00"/>
    <x v="1"/>
    <x v="0"/>
    <n v="86142.37"/>
    <x v="0"/>
    <x v="0"/>
    <x v="0"/>
  </r>
  <r>
    <n v="45779"/>
    <x v="15"/>
    <x v="4"/>
    <n v="371"/>
    <n v="20"/>
    <n v="374.65"/>
    <x v="0"/>
    <d v="2024-11-02T00:00:00"/>
    <d v="2024-11-14T00:00:00"/>
    <x v="1"/>
    <x v="0"/>
    <n v="138995.15"/>
    <x v="0"/>
    <x v="0"/>
    <x v="0"/>
  </r>
  <r>
    <n v="76555"/>
    <x v="3"/>
    <x v="2"/>
    <n v="284"/>
    <n v="30"/>
    <n v="479.6"/>
    <x v="1"/>
    <d v="2024-10-12T00:00:00"/>
    <d v="2024-11-15T00:00:00"/>
    <x v="0"/>
    <x v="0"/>
    <n v="136206.39999999999"/>
    <x v="0"/>
    <x v="0"/>
    <x v="0"/>
  </r>
  <r>
    <n v="65165"/>
    <x v="15"/>
    <x v="4"/>
    <n v="278"/>
    <n v="40"/>
    <n v="272.06"/>
    <x v="4"/>
    <d v="2024-05-03T00:00:00"/>
    <d v="2024-05-20T00:00:00"/>
    <x v="2"/>
    <x v="0"/>
    <n v="75632.680000000008"/>
    <x v="0"/>
    <x v="0"/>
    <x v="0"/>
  </r>
  <r>
    <n v="97404"/>
    <x v="10"/>
    <x v="2"/>
    <n v="460"/>
    <n v="20"/>
    <n v="312.45999999999998"/>
    <x v="4"/>
    <d v="2024-05-27T00:00:00"/>
    <d v="2024-06-14T00:00:00"/>
    <x v="1"/>
    <x v="0"/>
    <n v="143731.59999999998"/>
    <x v="0"/>
    <x v="0"/>
    <x v="0"/>
  </r>
  <r>
    <n v="94351"/>
    <x v="10"/>
    <x v="2"/>
    <n v="469"/>
    <n v="30"/>
    <n v="268.58999999999997"/>
    <x v="1"/>
    <d v="2024-08-19T00:00:00"/>
    <d v="2024-08-26T00:00:00"/>
    <x v="2"/>
    <x v="0"/>
    <n v="125968.70999999999"/>
    <x v="0"/>
    <x v="0"/>
    <x v="0"/>
  </r>
  <r>
    <n v="97081"/>
    <x v="14"/>
    <x v="4"/>
    <n v="380"/>
    <n v="20"/>
    <n v="192.83"/>
    <x v="4"/>
    <d v="2024-04-29T00:00:00"/>
    <d v="2024-05-19T00:00:00"/>
    <x v="2"/>
    <x v="0"/>
    <n v="73275.400000000009"/>
    <x v="0"/>
    <x v="0"/>
    <x v="0"/>
  </r>
  <r>
    <n v="72979"/>
    <x v="8"/>
    <x v="1"/>
    <n v="311"/>
    <n v="100"/>
    <n v="270.52999999999997"/>
    <x v="1"/>
    <d v="2024-07-07T00:00:00"/>
    <d v="2024-07-15T00:00:00"/>
    <x v="0"/>
    <x v="0"/>
    <n v="84134.829999999987"/>
    <x v="0"/>
    <x v="0"/>
    <x v="0"/>
  </r>
  <r>
    <n v="27007"/>
    <x v="5"/>
    <x v="2"/>
    <n v="483"/>
    <n v="80"/>
    <n v="156.35"/>
    <x v="4"/>
    <d v="2024-05-07T00:00:00"/>
    <d v="2024-06-01T00:00:00"/>
    <x v="0"/>
    <x v="0"/>
    <n v="75517.05"/>
    <x v="0"/>
    <x v="0"/>
    <x v="0"/>
  </r>
  <r>
    <n v="74367"/>
    <x v="15"/>
    <x v="4"/>
    <n v="385"/>
    <n v="20"/>
    <n v="242.42"/>
    <x v="3"/>
    <d v="2024-02-14T00:00:00"/>
    <d v="2024-03-07T00:00:00"/>
    <x v="2"/>
    <x v="0"/>
    <n v="93331.7"/>
    <x v="0"/>
    <x v="0"/>
    <x v="0"/>
  </r>
  <r>
    <n v="70482"/>
    <x v="9"/>
    <x v="1"/>
    <n v="88"/>
    <n v="30"/>
    <n v="226.45"/>
    <x v="0"/>
    <d v="2024-08-15T00:00:00"/>
    <d v="2024-09-23T00:00:00"/>
    <x v="0"/>
    <x v="0"/>
    <n v="19927.599999999999"/>
    <x v="0"/>
    <x v="1"/>
    <x v="0"/>
  </r>
  <r>
    <n v="30967"/>
    <x v="5"/>
    <x v="2"/>
    <n v="359"/>
    <n v="100"/>
    <n v="232.36"/>
    <x v="1"/>
    <d v="2024-10-27T00:00:00"/>
    <d v="2024-11-07T00:00:00"/>
    <x v="0"/>
    <x v="0"/>
    <n v="83417.240000000005"/>
    <x v="0"/>
    <x v="0"/>
    <x v="0"/>
  </r>
  <r>
    <n v="70200"/>
    <x v="8"/>
    <x v="1"/>
    <n v="476"/>
    <n v="30"/>
    <n v="469.75"/>
    <x v="1"/>
    <d v="2024-04-21T00:00:00"/>
    <d v="2024-05-24T00:00:00"/>
    <x v="2"/>
    <x v="0"/>
    <n v="223601"/>
    <x v="0"/>
    <x v="0"/>
    <x v="0"/>
  </r>
  <r>
    <n v="70587"/>
    <x v="13"/>
    <x v="3"/>
    <n v="458"/>
    <n v="20"/>
    <n v="26.95"/>
    <x v="1"/>
    <d v="2024-10-23T00:00:00"/>
    <d v="2024-11-05T00:00:00"/>
    <x v="1"/>
    <x v="0"/>
    <n v="12343.1"/>
    <x v="0"/>
    <x v="0"/>
    <x v="0"/>
  </r>
  <r>
    <n v="31661"/>
    <x v="6"/>
    <x v="3"/>
    <n v="353"/>
    <n v="20"/>
    <n v="218.2"/>
    <x v="1"/>
    <d v="2024-12-03T00:00:00"/>
    <d v="2024-12-21T00:00:00"/>
    <x v="0"/>
    <x v="0"/>
    <n v="77024.599999999991"/>
    <x v="0"/>
    <x v="0"/>
    <x v="0"/>
  </r>
  <r>
    <n v="34198"/>
    <x v="3"/>
    <x v="2"/>
    <n v="308"/>
    <n v="50"/>
    <n v="55.69"/>
    <x v="1"/>
    <d v="2024-09-27T00:00:00"/>
    <d v="2024-10-21T00:00:00"/>
    <x v="1"/>
    <x v="0"/>
    <n v="17152.52"/>
    <x v="0"/>
    <x v="0"/>
    <x v="0"/>
  </r>
  <r>
    <n v="47443"/>
    <x v="15"/>
    <x v="4"/>
    <n v="473"/>
    <n v="80"/>
    <n v="206.01"/>
    <x v="4"/>
    <d v="2024-11-01T00:00:00"/>
    <d v="2024-11-07T00:00:00"/>
    <x v="0"/>
    <x v="0"/>
    <n v="97442.73"/>
    <x v="0"/>
    <x v="0"/>
    <x v="0"/>
  </r>
  <r>
    <n v="57280"/>
    <x v="14"/>
    <x v="4"/>
    <n v="374"/>
    <n v="80"/>
    <n v="270.92"/>
    <x v="1"/>
    <d v="2024-01-02T00:00:00"/>
    <d v="2024-01-24T00:00:00"/>
    <x v="1"/>
    <x v="0"/>
    <n v="101324.08"/>
    <x v="0"/>
    <x v="0"/>
    <x v="0"/>
  </r>
  <r>
    <n v="53025"/>
    <x v="8"/>
    <x v="1"/>
    <n v="278"/>
    <n v="30"/>
    <n v="407.49"/>
    <x v="1"/>
    <d v="2024-10-31T00:00:00"/>
    <d v="2024-12-08T00:00:00"/>
    <x v="2"/>
    <x v="0"/>
    <n v="113282.22"/>
    <x v="0"/>
    <x v="0"/>
    <x v="0"/>
  </r>
  <r>
    <n v="69169"/>
    <x v="10"/>
    <x v="2"/>
    <n v="442"/>
    <n v="80"/>
    <n v="305.64"/>
    <x v="3"/>
    <d v="2024-11-15T00:00:00"/>
    <d v="2024-11-21T00:00:00"/>
    <x v="0"/>
    <x v="0"/>
    <n v="135092.88"/>
    <x v="0"/>
    <x v="0"/>
    <x v="0"/>
  </r>
  <r>
    <n v="15131"/>
    <x v="12"/>
    <x v="0"/>
    <n v="392"/>
    <n v="30"/>
    <n v="386.35"/>
    <x v="2"/>
    <d v="2024-08-19T00:00:00"/>
    <d v="2024-09-02T00:00:00"/>
    <x v="1"/>
    <x v="0"/>
    <n v="151449.20000000001"/>
    <x v="0"/>
    <x v="0"/>
    <x v="0"/>
  </r>
  <r>
    <n v="10891"/>
    <x v="2"/>
    <x v="1"/>
    <n v="491"/>
    <n v="20"/>
    <n v="348.56"/>
    <x v="4"/>
    <d v="2024-12-02T00:00:00"/>
    <d v="2025-01-08T00:00:00"/>
    <x v="2"/>
    <x v="0"/>
    <n v="171142.96"/>
    <x v="0"/>
    <x v="0"/>
    <x v="0"/>
  </r>
  <r>
    <n v="32778"/>
    <x v="0"/>
    <x v="0"/>
    <n v="96"/>
    <n v="20"/>
    <n v="106.76"/>
    <x v="0"/>
    <d v="2024-10-19T00:00:00"/>
    <d v="2024-10-25T00:00:00"/>
    <x v="0"/>
    <x v="0"/>
    <n v="10248.960000000001"/>
    <x v="0"/>
    <x v="0"/>
    <x v="0"/>
  </r>
  <r>
    <n v="29521"/>
    <x v="14"/>
    <x v="4"/>
    <n v="434"/>
    <n v="80"/>
    <n v="467.07"/>
    <x v="0"/>
    <d v="2024-07-22T00:00:00"/>
    <d v="2024-07-31T00:00:00"/>
    <x v="1"/>
    <x v="0"/>
    <n v="202708.38"/>
    <x v="0"/>
    <x v="0"/>
    <x v="0"/>
  </r>
  <r>
    <n v="50376"/>
    <x v="5"/>
    <x v="2"/>
    <n v="372"/>
    <n v="30"/>
    <n v="176.52"/>
    <x v="1"/>
    <d v="2024-08-05T00:00:00"/>
    <d v="2024-08-24T00:00:00"/>
    <x v="2"/>
    <x v="0"/>
    <n v="65665.440000000002"/>
    <x v="0"/>
    <x v="0"/>
    <x v="0"/>
  </r>
  <r>
    <n v="46775"/>
    <x v="9"/>
    <x v="1"/>
    <n v="76"/>
    <n v="80"/>
    <n v="213.43"/>
    <x v="1"/>
    <d v="2024-04-19T00:00:00"/>
    <d v="2024-05-26T00:00:00"/>
    <x v="2"/>
    <x v="1"/>
    <n v="16220.68"/>
    <x v="64"/>
    <x v="1"/>
    <x v="1"/>
  </r>
  <r>
    <n v="17101"/>
    <x v="8"/>
    <x v="1"/>
    <n v="34"/>
    <n v="30"/>
    <n v="375.13"/>
    <x v="4"/>
    <d v="2024-10-09T00:00:00"/>
    <d v="2024-10-19T00:00:00"/>
    <x v="2"/>
    <x v="0"/>
    <n v="12754.42"/>
    <x v="0"/>
    <x v="1"/>
    <x v="0"/>
  </r>
  <r>
    <n v="29276"/>
    <x v="11"/>
    <x v="4"/>
    <n v="436"/>
    <n v="50"/>
    <n v="393.33"/>
    <x v="1"/>
    <d v="2024-01-28T00:00:00"/>
    <d v="2024-03-04T00:00:00"/>
    <x v="1"/>
    <x v="0"/>
    <n v="171491.88"/>
    <x v="0"/>
    <x v="0"/>
    <x v="0"/>
  </r>
  <r>
    <n v="20862"/>
    <x v="10"/>
    <x v="2"/>
    <n v="423"/>
    <n v="40"/>
    <n v="18.61"/>
    <x v="3"/>
    <d v="2024-12-20T00:00:00"/>
    <d v="2025-01-07T00:00:00"/>
    <x v="2"/>
    <x v="0"/>
    <n v="7872.03"/>
    <x v="0"/>
    <x v="0"/>
    <x v="0"/>
  </r>
  <r>
    <n v="32942"/>
    <x v="14"/>
    <x v="4"/>
    <n v="161"/>
    <n v="50"/>
    <n v="265.93"/>
    <x v="2"/>
    <d v="2024-11-26T00:00:00"/>
    <d v="2024-12-13T00:00:00"/>
    <x v="0"/>
    <x v="0"/>
    <n v="42814.73"/>
    <x v="0"/>
    <x v="0"/>
    <x v="0"/>
  </r>
  <r>
    <n v="68434"/>
    <x v="14"/>
    <x v="4"/>
    <n v="116"/>
    <n v="20"/>
    <n v="438.77"/>
    <x v="0"/>
    <d v="2024-03-22T00:00:00"/>
    <d v="2024-04-01T00:00:00"/>
    <x v="2"/>
    <x v="0"/>
    <n v="50897.32"/>
    <x v="0"/>
    <x v="0"/>
    <x v="0"/>
  </r>
  <r>
    <n v="50693"/>
    <x v="10"/>
    <x v="2"/>
    <n v="171"/>
    <n v="100"/>
    <n v="267.94"/>
    <x v="0"/>
    <d v="2024-10-28T00:00:00"/>
    <d v="2024-11-20T00:00:00"/>
    <x v="0"/>
    <x v="0"/>
    <n v="45817.74"/>
    <x v="0"/>
    <x v="1"/>
    <x v="0"/>
  </r>
  <r>
    <n v="21440"/>
    <x v="13"/>
    <x v="3"/>
    <n v="62"/>
    <n v="20"/>
    <n v="225.49"/>
    <x v="2"/>
    <d v="2024-09-16T00:00:00"/>
    <d v="2024-10-15T00:00:00"/>
    <x v="2"/>
    <x v="0"/>
    <n v="13980.380000000001"/>
    <x v="0"/>
    <x v="0"/>
    <x v="0"/>
  </r>
  <r>
    <n v="81839"/>
    <x v="14"/>
    <x v="4"/>
    <n v="398"/>
    <n v="40"/>
    <n v="116.86"/>
    <x v="1"/>
    <d v="2024-09-03T00:00:00"/>
    <d v="2024-09-11T00:00:00"/>
    <x v="2"/>
    <x v="0"/>
    <n v="46510.28"/>
    <x v="0"/>
    <x v="0"/>
    <x v="0"/>
  </r>
  <r>
    <n v="78908"/>
    <x v="13"/>
    <x v="3"/>
    <n v="417"/>
    <n v="100"/>
    <n v="399.19"/>
    <x v="2"/>
    <d v="2024-04-27T00:00:00"/>
    <d v="2024-05-19T00:00:00"/>
    <x v="0"/>
    <x v="0"/>
    <n v="166462.23000000001"/>
    <x v="0"/>
    <x v="0"/>
    <x v="0"/>
  </r>
  <r>
    <n v="80683"/>
    <x v="9"/>
    <x v="1"/>
    <n v="410"/>
    <n v="30"/>
    <n v="469.37"/>
    <x v="2"/>
    <d v="2024-10-23T00:00:00"/>
    <d v="2024-11-22T00:00:00"/>
    <x v="1"/>
    <x v="0"/>
    <n v="192441.7"/>
    <x v="0"/>
    <x v="0"/>
    <x v="0"/>
  </r>
  <r>
    <n v="45391"/>
    <x v="5"/>
    <x v="2"/>
    <n v="101"/>
    <n v="30"/>
    <n v="337.11"/>
    <x v="2"/>
    <d v="2024-04-09T00:00:00"/>
    <d v="2024-05-02T00:00:00"/>
    <x v="1"/>
    <x v="0"/>
    <n v="34048.11"/>
    <x v="0"/>
    <x v="0"/>
    <x v="0"/>
  </r>
  <r>
    <n v="95380"/>
    <x v="4"/>
    <x v="0"/>
    <n v="140"/>
    <n v="20"/>
    <n v="205.11"/>
    <x v="3"/>
    <d v="2024-04-01T00:00:00"/>
    <d v="2024-05-05T00:00:00"/>
    <x v="2"/>
    <x v="0"/>
    <n v="28715.4"/>
    <x v="0"/>
    <x v="0"/>
    <x v="0"/>
  </r>
  <r>
    <n v="52801"/>
    <x v="3"/>
    <x v="2"/>
    <n v="276"/>
    <n v="100"/>
    <n v="135.04"/>
    <x v="1"/>
    <d v="2024-04-30T00:00:00"/>
    <d v="2024-05-10T00:00:00"/>
    <x v="1"/>
    <x v="0"/>
    <n v="37271.040000000001"/>
    <x v="0"/>
    <x v="1"/>
    <x v="0"/>
  </r>
  <r>
    <n v="77602"/>
    <x v="8"/>
    <x v="1"/>
    <n v="285"/>
    <n v="30"/>
    <n v="340.88"/>
    <x v="0"/>
    <d v="2024-02-17T00:00:00"/>
    <d v="2024-03-15T00:00:00"/>
    <x v="2"/>
    <x v="0"/>
    <n v="97150.8"/>
    <x v="0"/>
    <x v="0"/>
    <x v="0"/>
  </r>
  <r>
    <n v="56390"/>
    <x v="16"/>
    <x v="3"/>
    <n v="91"/>
    <n v="30"/>
    <n v="365.54"/>
    <x v="4"/>
    <d v="2024-05-29T00:00:00"/>
    <d v="2024-06-29T00:00:00"/>
    <x v="0"/>
    <x v="0"/>
    <n v="33264.14"/>
    <x v="0"/>
    <x v="0"/>
    <x v="0"/>
  </r>
  <r>
    <n v="82043"/>
    <x v="5"/>
    <x v="2"/>
    <n v="467"/>
    <n v="20"/>
    <n v="181.43"/>
    <x v="0"/>
    <d v="2024-12-07T00:00:00"/>
    <d v="2025-01-06T00:00:00"/>
    <x v="1"/>
    <x v="0"/>
    <n v="84727.81"/>
    <x v="0"/>
    <x v="0"/>
    <x v="0"/>
  </r>
  <r>
    <n v="27970"/>
    <x v="2"/>
    <x v="1"/>
    <n v="262"/>
    <n v="50"/>
    <n v="470.21"/>
    <x v="0"/>
    <d v="2024-08-23T00:00:00"/>
    <d v="2024-09-12T00:00:00"/>
    <x v="1"/>
    <x v="0"/>
    <n v="123195.01999999999"/>
    <x v="0"/>
    <x v="0"/>
    <x v="0"/>
  </r>
  <r>
    <n v="93804"/>
    <x v="12"/>
    <x v="0"/>
    <n v="331"/>
    <n v="40"/>
    <n v="54.33"/>
    <x v="1"/>
    <d v="2024-05-09T00:00:00"/>
    <d v="2024-06-06T00:00:00"/>
    <x v="2"/>
    <x v="0"/>
    <n v="17983.23"/>
    <x v="0"/>
    <x v="0"/>
    <x v="0"/>
  </r>
  <r>
    <n v="53030"/>
    <x v="11"/>
    <x v="4"/>
    <n v="320"/>
    <n v="50"/>
    <n v="472.37"/>
    <x v="2"/>
    <d v="2024-06-17T00:00:00"/>
    <d v="2024-07-02T00:00:00"/>
    <x v="1"/>
    <x v="0"/>
    <n v="151158.39999999999"/>
    <x v="0"/>
    <x v="0"/>
    <x v="0"/>
  </r>
  <r>
    <n v="80474"/>
    <x v="4"/>
    <x v="0"/>
    <n v="478"/>
    <n v="150"/>
    <n v="82.31"/>
    <x v="0"/>
    <d v="2024-04-27T00:00:00"/>
    <d v="2024-05-07T00:00:00"/>
    <x v="0"/>
    <x v="0"/>
    <n v="39344.18"/>
    <x v="0"/>
    <x v="0"/>
    <x v="0"/>
  </r>
  <r>
    <n v="34146"/>
    <x v="5"/>
    <x v="2"/>
    <n v="50"/>
    <n v="80"/>
    <n v="97.42"/>
    <x v="3"/>
    <d v="2024-09-05T00:00:00"/>
    <d v="2024-09-26T00:00:00"/>
    <x v="1"/>
    <x v="1"/>
    <n v="4871"/>
    <x v="68"/>
    <x v="1"/>
    <x v="1"/>
  </r>
  <r>
    <n v="48071"/>
    <x v="6"/>
    <x v="3"/>
    <n v="276"/>
    <n v="40"/>
    <n v="127.19"/>
    <x v="4"/>
    <d v="2024-10-17T00:00:00"/>
    <d v="2024-11-06T00:00:00"/>
    <x v="1"/>
    <x v="0"/>
    <n v="35104.44"/>
    <x v="0"/>
    <x v="0"/>
    <x v="0"/>
  </r>
  <r>
    <n v="76535"/>
    <x v="5"/>
    <x v="2"/>
    <n v="468"/>
    <n v="50"/>
    <n v="247.19"/>
    <x v="3"/>
    <d v="2024-10-15T00:00:00"/>
    <d v="2024-11-08T00:00:00"/>
    <x v="0"/>
    <x v="0"/>
    <n v="115684.92"/>
    <x v="0"/>
    <x v="0"/>
    <x v="0"/>
  </r>
  <r>
    <n v="72278"/>
    <x v="1"/>
    <x v="0"/>
    <n v="437"/>
    <n v="150"/>
    <n v="244.06"/>
    <x v="1"/>
    <d v="2024-05-02T00:00:00"/>
    <d v="2024-05-28T00:00:00"/>
    <x v="1"/>
    <x v="0"/>
    <n v="106654.22"/>
    <x v="0"/>
    <x v="1"/>
    <x v="0"/>
  </r>
  <r>
    <n v="55564"/>
    <x v="9"/>
    <x v="1"/>
    <n v="181"/>
    <n v="80"/>
    <n v="468.36"/>
    <x v="1"/>
    <d v="2024-07-14T00:00:00"/>
    <d v="2024-08-07T00:00:00"/>
    <x v="1"/>
    <x v="0"/>
    <n v="84773.16"/>
    <x v="0"/>
    <x v="1"/>
    <x v="0"/>
  </r>
  <r>
    <n v="82495"/>
    <x v="14"/>
    <x v="4"/>
    <n v="132"/>
    <n v="40"/>
    <n v="258.8"/>
    <x v="0"/>
    <d v="2024-11-30T00:00:00"/>
    <d v="2024-12-10T00:00:00"/>
    <x v="2"/>
    <x v="0"/>
    <n v="34161.599999999999"/>
    <x v="0"/>
    <x v="0"/>
    <x v="0"/>
  </r>
  <r>
    <n v="25437"/>
    <x v="1"/>
    <x v="0"/>
    <n v="445"/>
    <n v="30"/>
    <n v="172.09"/>
    <x v="2"/>
    <d v="2024-01-19T00:00:00"/>
    <d v="2024-02-26T00:00:00"/>
    <x v="0"/>
    <x v="0"/>
    <n v="76580.05"/>
    <x v="0"/>
    <x v="0"/>
    <x v="0"/>
  </r>
  <r>
    <n v="31305"/>
    <x v="14"/>
    <x v="4"/>
    <n v="364"/>
    <n v="20"/>
    <n v="275.63"/>
    <x v="0"/>
    <d v="2024-01-29T00:00:00"/>
    <d v="2024-03-02T00:00:00"/>
    <x v="1"/>
    <x v="0"/>
    <n v="100329.31999999999"/>
    <x v="0"/>
    <x v="0"/>
    <x v="0"/>
  </r>
  <r>
    <n v="50122"/>
    <x v="3"/>
    <x v="2"/>
    <n v="304"/>
    <n v="100"/>
    <n v="306.41000000000003"/>
    <x v="2"/>
    <d v="2024-07-24T00:00:00"/>
    <d v="2024-08-07T00:00:00"/>
    <x v="2"/>
    <x v="0"/>
    <n v="93148.640000000014"/>
    <x v="0"/>
    <x v="0"/>
    <x v="0"/>
  </r>
  <r>
    <n v="23510"/>
    <x v="15"/>
    <x v="4"/>
    <n v="328"/>
    <n v="80"/>
    <n v="373.6"/>
    <x v="3"/>
    <d v="2024-02-22T00:00:00"/>
    <d v="2024-03-11T00:00:00"/>
    <x v="1"/>
    <x v="0"/>
    <n v="122540.8"/>
    <x v="0"/>
    <x v="0"/>
    <x v="0"/>
  </r>
  <r>
    <n v="68860"/>
    <x v="2"/>
    <x v="1"/>
    <n v="171"/>
    <n v="100"/>
    <n v="281.47000000000003"/>
    <x v="3"/>
    <d v="2024-07-04T00:00:00"/>
    <d v="2024-08-05T00:00:00"/>
    <x v="1"/>
    <x v="0"/>
    <n v="48131.37"/>
    <x v="0"/>
    <x v="1"/>
    <x v="0"/>
  </r>
  <r>
    <n v="51604"/>
    <x v="11"/>
    <x v="4"/>
    <n v="330"/>
    <n v="20"/>
    <n v="425.51"/>
    <x v="1"/>
    <d v="2024-05-26T00:00:00"/>
    <d v="2024-06-17T00:00:00"/>
    <x v="1"/>
    <x v="0"/>
    <n v="140418.29999999999"/>
    <x v="0"/>
    <x v="0"/>
    <x v="0"/>
  </r>
  <r>
    <n v="56235"/>
    <x v="14"/>
    <x v="4"/>
    <n v="111"/>
    <n v="150"/>
    <n v="245.85"/>
    <x v="3"/>
    <d v="2024-02-26T00:00:00"/>
    <d v="2024-03-02T00:00:00"/>
    <x v="2"/>
    <x v="1"/>
    <n v="27289.35"/>
    <x v="27"/>
    <x v="1"/>
    <x v="1"/>
  </r>
  <r>
    <n v="11316"/>
    <x v="11"/>
    <x v="4"/>
    <n v="186"/>
    <n v="150"/>
    <n v="473.7"/>
    <x v="2"/>
    <d v="2024-06-25T00:00:00"/>
    <d v="2024-07-04T00:00:00"/>
    <x v="1"/>
    <x v="0"/>
    <n v="88108.2"/>
    <x v="0"/>
    <x v="1"/>
    <x v="0"/>
  </r>
  <r>
    <n v="41957"/>
    <x v="7"/>
    <x v="3"/>
    <n v="224"/>
    <n v="40"/>
    <n v="252.21"/>
    <x v="3"/>
    <d v="2024-05-30T00:00:00"/>
    <d v="2024-06-05T00:00:00"/>
    <x v="1"/>
    <x v="0"/>
    <n v="56495.040000000001"/>
    <x v="0"/>
    <x v="0"/>
    <x v="0"/>
  </r>
  <r>
    <n v="12106"/>
    <x v="5"/>
    <x v="2"/>
    <n v="302"/>
    <n v="50"/>
    <n v="158.97"/>
    <x v="0"/>
    <d v="2024-01-09T00:00:00"/>
    <d v="2024-01-14T00:00:00"/>
    <x v="1"/>
    <x v="0"/>
    <n v="48008.94"/>
    <x v="0"/>
    <x v="0"/>
    <x v="0"/>
  </r>
  <r>
    <n v="92164"/>
    <x v="4"/>
    <x v="0"/>
    <n v="346"/>
    <n v="30"/>
    <n v="55.59"/>
    <x v="4"/>
    <d v="2024-06-25T00:00:00"/>
    <d v="2024-07-31T00:00:00"/>
    <x v="2"/>
    <x v="0"/>
    <n v="19234.14"/>
    <x v="0"/>
    <x v="0"/>
    <x v="0"/>
  </r>
  <r>
    <n v="89789"/>
    <x v="1"/>
    <x v="0"/>
    <n v="212"/>
    <n v="100"/>
    <n v="211.25"/>
    <x v="3"/>
    <d v="2024-06-13T00:00:00"/>
    <d v="2024-07-03T00:00:00"/>
    <x v="0"/>
    <x v="0"/>
    <n v="44785"/>
    <x v="0"/>
    <x v="1"/>
    <x v="0"/>
  </r>
  <r>
    <n v="63450"/>
    <x v="13"/>
    <x v="3"/>
    <n v="178"/>
    <n v="100"/>
    <n v="395.59"/>
    <x v="1"/>
    <d v="2024-06-18T00:00:00"/>
    <d v="2024-06-26T00:00:00"/>
    <x v="1"/>
    <x v="0"/>
    <n v="70415.01999999999"/>
    <x v="0"/>
    <x v="1"/>
    <x v="0"/>
  </r>
  <r>
    <n v="30742"/>
    <x v="15"/>
    <x v="4"/>
    <n v="316"/>
    <n v="150"/>
    <n v="330.13"/>
    <x v="1"/>
    <d v="2024-07-17T00:00:00"/>
    <d v="2024-08-22T00:00:00"/>
    <x v="2"/>
    <x v="0"/>
    <n v="104321.08"/>
    <x v="0"/>
    <x v="1"/>
    <x v="0"/>
  </r>
  <r>
    <n v="51057"/>
    <x v="1"/>
    <x v="0"/>
    <n v="191"/>
    <n v="80"/>
    <n v="366.39"/>
    <x v="1"/>
    <d v="2024-12-17T00:00:00"/>
    <d v="2025-01-08T00:00:00"/>
    <x v="1"/>
    <x v="0"/>
    <n v="69980.489999999991"/>
    <x v="0"/>
    <x v="1"/>
    <x v="0"/>
  </r>
  <r>
    <n v="55874"/>
    <x v="9"/>
    <x v="1"/>
    <n v="241"/>
    <n v="30"/>
    <n v="289.5"/>
    <x v="1"/>
    <d v="2024-09-10T00:00:00"/>
    <d v="2024-09-15T00:00:00"/>
    <x v="1"/>
    <x v="0"/>
    <n v="69769.5"/>
    <x v="0"/>
    <x v="0"/>
    <x v="0"/>
  </r>
  <r>
    <n v="26119"/>
    <x v="16"/>
    <x v="3"/>
    <n v="86"/>
    <n v="80"/>
    <n v="32.64"/>
    <x v="1"/>
    <d v="2024-05-24T00:00:00"/>
    <d v="2024-06-22T00:00:00"/>
    <x v="2"/>
    <x v="0"/>
    <n v="2807.04"/>
    <x v="0"/>
    <x v="1"/>
    <x v="0"/>
  </r>
  <r>
    <n v="90880"/>
    <x v="7"/>
    <x v="3"/>
    <n v="295"/>
    <n v="100"/>
    <n v="380.59"/>
    <x v="2"/>
    <d v="2024-05-14T00:00:00"/>
    <d v="2024-05-31T00:00:00"/>
    <x v="2"/>
    <x v="0"/>
    <n v="112274.04999999999"/>
    <x v="0"/>
    <x v="1"/>
    <x v="0"/>
  </r>
  <r>
    <n v="25376"/>
    <x v="15"/>
    <x v="4"/>
    <n v="139"/>
    <n v="20"/>
    <n v="440.27"/>
    <x v="2"/>
    <d v="2024-11-01T00:00:00"/>
    <d v="2024-11-18T00:00:00"/>
    <x v="1"/>
    <x v="0"/>
    <n v="61197.53"/>
    <x v="0"/>
    <x v="0"/>
    <x v="0"/>
  </r>
  <r>
    <n v="69821"/>
    <x v="2"/>
    <x v="1"/>
    <n v="290"/>
    <n v="40"/>
    <n v="111.76"/>
    <x v="3"/>
    <d v="2024-06-30T00:00:00"/>
    <d v="2024-07-22T00:00:00"/>
    <x v="0"/>
    <x v="0"/>
    <n v="32410.400000000001"/>
    <x v="0"/>
    <x v="0"/>
    <x v="0"/>
  </r>
  <r>
    <n v="14318"/>
    <x v="8"/>
    <x v="1"/>
    <n v="410"/>
    <n v="20"/>
    <n v="379.52"/>
    <x v="2"/>
    <d v="2024-08-28T00:00:00"/>
    <d v="2024-09-11T00:00:00"/>
    <x v="0"/>
    <x v="0"/>
    <n v="155603.19999999998"/>
    <x v="0"/>
    <x v="0"/>
    <x v="0"/>
  </r>
  <r>
    <n v="38273"/>
    <x v="0"/>
    <x v="0"/>
    <n v="321"/>
    <n v="150"/>
    <n v="438.86"/>
    <x v="1"/>
    <d v="2024-09-25T00:00:00"/>
    <d v="2024-10-13T00:00:00"/>
    <x v="2"/>
    <x v="0"/>
    <n v="140874.06"/>
    <x v="0"/>
    <x v="1"/>
    <x v="0"/>
  </r>
  <r>
    <n v="39433"/>
    <x v="10"/>
    <x v="2"/>
    <n v="24"/>
    <n v="100"/>
    <n v="23.13"/>
    <x v="4"/>
    <d v="2024-09-24T00:00:00"/>
    <d v="2024-10-07T00:00:00"/>
    <x v="0"/>
    <x v="1"/>
    <n v="555.12"/>
    <x v="16"/>
    <x v="1"/>
    <x v="1"/>
  </r>
  <r>
    <n v="33439"/>
    <x v="5"/>
    <x v="2"/>
    <n v="41"/>
    <n v="50"/>
    <n v="403.85"/>
    <x v="0"/>
    <d v="2024-03-07T00:00:00"/>
    <d v="2024-03-13T00:00:00"/>
    <x v="2"/>
    <x v="1"/>
    <n v="16557.850000000002"/>
    <x v="79"/>
    <x v="1"/>
    <x v="1"/>
  </r>
  <r>
    <n v="51887"/>
    <x v="9"/>
    <x v="1"/>
    <n v="373"/>
    <n v="30"/>
    <n v="133.19999999999999"/>
    <x v="2"/>
    <d v="2024-05-17T00:00:00"/>
    <d v="2024-06-08T00:00:00"/>
    <x v="0"/>
    <x v="0"/>
    <n v="49683.6"/>
    <x v="0"/>
    <x v="0"/>
    <x v="0"/>
  </r>
  <r>
    <n v="66437"/>
    <x v="0"/>
    <x v="0"/>
    <n v="143"/>
    <n v="50"/>
    <n v="109.87"/>
    <x v="2"/>
    <d v="2024-07-05T00:00:00"/>
    <d v="2024-08-13T00:00:00"/>
    <x v="1"/>
    <x v="0"/>
    <n v="15711.41"/>
    <x v="0"/>
    <x v="1"/>
    <x v="0"/>
  </r>
  <r>
    <n v="74557"/>
    <x v="4"/>
    <x v="0"/>
    <n v="30"/>
    <n v="20"/>
    <n v="260.89"/>
    <x v="3"/>
    <d v="2024-06-17T00:00:00"/>
    <d v="2024-07-08T00:00:00"/>
    <x v="0"/>
    <x v="0"/>
    <n v="7826.7"/>
    <x v="0"/>
    <x v="1"/>
    <x v="0"/>
  </r>
  <r>
    <n v="91122"/>
    <x v="15"/>
    <x v="4"/>
    <n v="367"/>
    <n v="40"/>
    <n v="416.61"/>
    <x v="3"/>
    <d v="2024-03-28T00:00:00"/>
    <d v="2024-04-04T00:00:00"/>
    <x v="2"/>
    <x v="0"/>
    <n v="152895.87"/>
    <x v="0"/>
    <x v="0"/>
    <x v="0"/>
  </r>
  <r>
    <n v="69556"/>
    <x v="3"/>
    <x v="2"/>
    <n v="383"/>
    <n v="80"/>
    <n v="351"/>
    <x v="0"/>
    <d v="2024-04-21T00:00:00"/>
    <d v="2024-05-02T00:00:00"/>
    <x v="2"/>
    <x v="0"/>
    <n v="134433"/>
    <x v="0"/>
    <x v="0"/>
    <x v="0"/>
  </r>
  <r>
    <n v="17139"/>
    <x v="8"/>
    <x v="1"/>
    <n v="310"/>
    <n v="40"/>
    <n v="84.35"/>
    <x v="0"/>
    <d v="2024-10-15T00:00:00"/>
    <d v="2024-11-23T00:00:00"/>
    <x v="1"/>
    <x v="0"/>
    <n v="26148.5"/>
    <x v="0"/>
    <x v="0"/>
    <x v="0"/>
  </r>
  <r>
    <n v="64020"/>
    <x v="10"/>
    <x v="2"/>
    <n v="190"/>
    <n v="80"/>
    <n v="156.37"/>
    <x v="1"/>
    <d v="2024-04-29T00:00:00"/>
    <d v="2024-05-16T00:00:00"/>
    <x v="2"/>
    <x v="0"/>
    <n v="29710.3"/>
    <x v="0"/>
    <x v="1"/>
    <x v="0"/>
  </r>
  <r>
    <n v="54789"/>
    <x v="3"/>
    <x v="2"/>
    <n v="204"/>
    <n v="100"/>
    <n v="286.74"/>
    <x v="0"/>
    <d v="2024-07-23T00:00:00"/>
    <d v="2024-07-28T00:00:00"/>
    <x v="0"/>
    <x v="0"/>
    <n v="58494.96"/>
    <x v="0"/>
    <x v="1"/>
    <x v="0"/>
  </r>
  <r>
    <n v="93938"/>
    <x v="7"/>
    <x v="3"/>
    <n v="0"/>
    <n v="40"/>
    <n v="176.26"/>
    <x v="2"/>
    <d v="2024-05-07T00:00:00"/>
    <d v="2024-06-02T00:00:00"/>
    <x v="1"/>
    <x v="1"/>
    <n v="0"/>
    <x v="9"/>
    <x v="1"/>
    <x v="1"/>
  </r>
  <r>
    <n v="80053"/>
    <x v="4"/>
    <x v="0"/>
    <n v="155"/>
    <n v="150"/>
    <n v="56.23"/>
    <x v="3"/>
    <d v="2024-01-05T00:00:00"/>
    <d v="2024-01-26T00:00:00"/>
    <x v="2"/>
    <x v="0"/>
    <n v="8715.65"/>
    <x v="0"/>
    <x v="1"/>
    <x v="0"/>
  </r>
  <r>
    <n v="87219"/>
    <x v="4"/>
    <x v="0"/>
    <n v="269"/>
    <n v="30"/>
    <n v="130.22"/>
    <x v="1"/>
    <d v="2024-12-12T00:00:00"/>
    <d v="2025-01-10T00:00:00"/>
    <x v="0"/>
    <x v="0"/>
    <n v="35029.18"/>
    <x v="0"/>
    <x v="0"/>
    <x v="0"/>
  </r>
  <r>
    <n v="91457"/>
    <x v="3"/>
    <x v="2"/>
    <n v="394"/>
    <n v="30"/>
    <n v="481.74"/>
    <x v="4"/>
    <d v="2024-02-16T00:00:00"/>
    <d v="2024-03-20T00:00:00"/>
    <x v="0"/>
    <x v="0"/>
    <n v="189805.56"/>
    <x v="0"/>
    <x v="0"/>
    <x v="0"/>
  </r>
  <r>
    <n v="98487"/>
    <x v="7"/>
    <x v="3"/>
    <n v="89"/>
    <n v="40"/>
    <n v="461.31"/>
    <x v="1"/>
    <d v="2024-09-12T00:00:00"/>
    <d v="2024-10-05T00:00:00"/>
    <x v="1"/>
    <x v="0"/>
    <n v="41056.590000000004"/>
    <x v="0"/>
    <x v="1"/>
    <x v="0"/>
  </r>
  <r>
    <n v="21240"/>
    <x v="2"/>
    <x v="1"/>
    <n v="90"/>
    <n v="100"/>
    <n v="103.06"/>
    <x v="4"/>
    <d v="2024-09-12T00:00:00"/>
    <d v="2024-10-21T00:00:00"/>
    <x v="2"/>
    <x v="1"/>
    <n v="9275.4"/>
    <x v="60"/>
    <x v="1"/>
    <x v="1"/>
  </r>
  <r>
    <n v="96677"/>
    <x v="0"/>
    <x v="0"/>
    <n v="125"/>
    <n v="80"/>
    <n v="463.04"/>
    <x v="0"/>
    <d v="2024-04-21T00:00:00"/>
    <d v="2024-05-26T00:00:00"/>
    <x v="2"/>
    <x v="0"/>
    <n v="57880"/>
    <x v="0"/>
    <x v="1"/>
    <x v="0"/>
  </r>
  <r>
    <n v="51252"/>
    <x v="9"/>
    <x v="1"/>
    <n v="369"/>
    <n v="80"/>
    <n v="281.18"/>
    <x v="2"/>
    <d v="2024-10-30T00:00:00"/>
    <d v="2024-12-04T00:00:00"/>
    <x v="1"/>
    <x v="0"/>
    <n v="103755.42"/>
    <x v="0"/>
    <x v="0"/>
    <x v="0"/>
  </r>
  <r>
    <n v="35407"/>
    <x v="15"/>
    <x v="4"/>
    <n v="271"/>
    <n v="20"/>
    <n v="39.75"/>
    <x v="3"/>
    <d v="2024-10-20T00:00:00"/>
    <d v="2024-11-27T00:00:00"/>
    <x v="0"/>
    <x v="0"/>
    <n v="10772.25"/>
    <x v="0"/>
    <x v="0"/>
    <x v="0"/>
  </r>
  <r>
    <n v="50733"/>
    <x v="14"/>
    <x v="4"/>
    <n v="58"/>
    <n v="80"/>
    <n v="143.02000000000001"/>
    <x v="4"/>
    <d v="2024-01-01T00:00:00"/>
    <d v="2024-01-18T00:00:00"/>
    <x v="2"/>
    <x v="1"/>
    <n v="8295.16"/>
    <x v="23"/>
    <x v="1"/>
    <x v="1"/>
  </r>
  <r>
    <n v="12866"/>
    <x v="7"/>
    <x v="3"/>
    <n v="70"/>
    <n v="30"/>
    <n v="268.54000000000002"/>
    <x v="0"/>
    <d v="2024-03-20T00:00:00"/>
    <d v="2024-04-24T00:00:00"/>
    <x v="0"/>
    <x v="0"/>
    <n v="18797.800000000003"/>
    <x v="0"/>
    <x v="1"/>
    <x v="0"/>
  </r>
  <r>
    <n v="63544"/>
    <x v="6"/>
    <x v="3"/>
    <n v="220"/>
    <n v="20"/>
    <n v="459"/>
    <x v="4"/>
    <d v="2024-10-01T00:00:00"/>
    <d v="2024-10-26T00:00:00"/>
    <x v="0"/>
    <x v="0"/>
    <n v="100980"/>
    <x v="0"/>
    <x v="0"/>
    <x v="0"/>
  </r>
  <r>
    <n v="52912"/>
    <x v="15"/>
    <x v="4"/>
    <n v="458"/>
    <n v="20"/>
    <n v="392.82"/>
    <x v="1"/>
    <d v="2024-03-30T00:00:00"/>
    <d v="2024-04-15T00:00:00"/>
    <x v="1"/>
    <x v="0"/>
    <n v="179911.56"/>
    <x v="0"/>
    <x v="0"/>
    <x v="0"/>
  </r>
  <r>
    <n v="47242"/>
    <x v="5"/>
    <x v="2"/>
    <n v="90"/>
    <n v="80"/>
    <n v="262.60000000000002"/>
    <x v="1"/>
    <d v="2024-08-07T00:00:00"/>
    <d v="2024-09-15T00:00:00"/>
    <x v="1"/>
    <x v="0"/>
    <n v="23634.000000000004"/>
    <x v="0"/>
    <x v="1"/>
    <x v="0"/>
  </r>
  <r>
    <n v="40268"/>
    <x v="4"/>
    <x v="0"/>
    <n v="232"/>
    <n v="40"/>
    <n v="101.66"/>
    <x v="0"/>
    <d v="2024-08-01T00:00:00"/>
    <d v="2024-09-07T00:00:00"/>
    <x v="2"/>
    <x v="0"/>
    <n v="23585.119999999999"/>
    <x v="0"/>
    <x v="0"/>
    <x v="0"/>
  </r>
  <r>
    <n v="36401"/>
    <x v="15"/>
    <x v="4"/>
    <n v="215"/>
    <n v="80"/>
    <n v="132.96"/>
    <x v="3"/>
    <d v="2024-12-17T00:00:00"/>
    <d v="2025-01-21T00:00:00"/>
    <x v="1"/>
    <x v="0"/>
    <n v="28586.400000000001"/>
    <x v="0"/>
    <x v="1"/>
    <x v="0"/>
  </r>
  <r>
    <n v="67268"/>
    <x v="3"/>
    <x v="2"/>
    <n v="46"/>
    <n v="100"/>
    <n v="331.57"/>
    <x v="2"/>
    <d v="2024-03-17T00:00:00"/>
    <d v="2024-03-24T00:00:00"/>
    <x v="2"/>
    <x v="1"/>
    <n v="15252.22"/>
    <x v="89"/>
    <x v="1"/>
    <x v="1"/>
  </r>
  <r>
    <n v="59028"/>
    <x v="3"/>
    <x v="2"/>
    <n v="99"/>
    <n v="80"/>
    <n v="431.7"/>
    <x v="1"/>
    <d v="2024-07-10T00:00:00"/>
    <d v="2024-07-18T00:00:00"/>
    <x v="2"/>
    <x v="0"/>
    <n v="42738.299999999996"/>
    <x v="0"/>
    <x v="1"/>
    <x v="0"/>
  </r>
  <r>
    <n v="61761"/>
    <x v="2"/>
    <x v="1"/>
    <n v="263"/>
    <n v="50"/>
    <n v="455.68"/>
    <x v="1"/>
    <d v="2024-09-06T00:00:00"/>
    <d v="2024-09-13T00:00:00"/>
    <x v="0"/>
    <x v="0"/>
    <n v="119843.84"/>
    <x v="0"/>
    <x v="0"/>
    <x v="0"/>
  </r>
  <r>
    <n v="84492"/>
    <x v="16"/>
    <x v="3"/>
    <n v="203"/>
    <n v="40"/>
    <n v="490.55"/>
    <x v="3"/>
    <d v="2024-04-20T00:00:00"/>
    <d v="2024-04-25T00:00:00"/>
    <x v="2"/>
    <x v="0"/>
    <n v="99581.650000000009"/>
    <x v="0"/>
    <x v="0"/>
    <x v="0"/>
  </r>
  <r>
    <n v="11821"/>
    <x v="9"/>
    <x v="1"/>
    <n v="333"/>
    <n v="40"/>
    <n v="14.56"/>
    <x v="1"/>
    <d v="2024-08-03T00:00:00"/>
    <d v="2024-09-02T00:00:00"/>
    <x v="2"/>
    <x v="0"/>
    <n v="4848.4800000000005"/>
    <x v="0"/>
    <x v="0"/>
    <x v="0"/>
  </r>
  <r>
    <n v="83133"/>
    <x v="16"/>
    <x v="3"/>
    <n v="188"/>
    <n v="40"/>
    <n v="112.3"/>
    <x v="3"/>
    <d v="2024-03-01T00:00:00"/>
    <d v="2024-03-28T00:00:00"/>
    <x v="2"/>
    <x v="0"/>
    <n v="21112.399999999998"/>
    <x v="0"/>
    <x v="0"/>
    <x v="0"/>
  </r>
  <r>
    <n v="28632"/>
    <x v="10"/>
    <x v="2"/>
    <n v="233"/>
    <n v="40"/>
    <n v="246.9"/>
    <x v="2"/>
    <d v="2024-12-04T00:00:00"/>
    <d v="2024-12-09T00:00:00"/>
    <x v="0"/>
    <x v="0"/>
    <n v="57527.700000000004"/>
    <x v="0"/>
    <x v="0"/>
    <x v="0"/>
  </r>
  <r>
    <n v="11461"/>
    <x v="5"/>
    <x v="2"/>
    <n v="105"/>
    <n v="30"/>
    <n v="71.760000000000005"/>
    <x v="0"/>
    <d v="2024-06-01T00:00:00"/>
    <d v="2024-07-04T00:00:00"/>
    <x v="0"/>
    <x v="0"/>
    <n v="7534.8"/>
    <x v="0"/>
    <x v="0"/>
    <x v="0"/>
  </r>
  <r>
    <n v="63668"/>
    <x v="3"/>
    <x v="2"/>
    <n v="3"/>
    <n v="80"/>
    <n v="59.66"/>
    <x v="3"/>
    <d v="2024-04-22T00:00:00"/>
    <d v="2024-05-19T00:00:00"/>
    <x v="0"/>
    <x v="1"/>
    <n v="178.98"/>
    <x v="87"/>
    <x v="1"/>
    <x v="1"/>
  </r>
  <r>
    <n v="42532"/>
    <x v="16"/>
    <x v="3"/>
    <n v="32"/>
    <n v="150"/>
    <n v="115.63"/>
    <x v="3"/>
    <d v="2024-05-12T00:00:00"/>
    <d v="2024-05-31T00:00:00"/>
    <x v="0"/>
    <x v="1"/>
    <n v="3700.16"/>
    <x v="112"/>
    <x v="1"/>
    <x v="1"/>
  </r>
  <r>
    <n v="12438"/>
    <x v="15"/>
    <x v="4"/>
    <n v="117"/>
    <n v="30"/>
    <n v="483.15"/>
    <x v="4"/>
    <d v="2024-05-04T00:00:00"/>
    <d v="2024-05-27T00:00:00"/>
    <x v="1"/>
    <x v="0"/>
    <n v="56528.549999999996"/>
    <x v="0"/>
    <x v="0"/>
    <x v="0"/>
  </r>
  <r>
    <n v="59831"/>
    <x v="15"/>
    <x v="4"/>
    <n v="360"/>
    <n v="150"/>
    <n v="400.36"/>
    <x v="4"/>
    <d v="2024-06-30T00:00:00"/>
    <d v="2024-08-05T00:00:00"/>
    <x v="1"/>
    <x v="0"/>
    <n v="144129.60000000001"/>
    <x v="0"/>
    <x v="1"/>
    <x v="0"/>
  </r>
  <r>
    <n v="36515"/>
    <x v="15"/>
    <x v="4"/>
    <n v="148"/>
    <n v="30"/>
    <n v="403.71"/>
    <x v="0"/>
    <d v="2024-05-16T00:00:00"/>
    <d v="2024-06-24T00:00:00"/>
    <x v="2"/>
    <x v="0"/>
    <n v="59749.079999999994"/>
    <x v="0"/>
    <x v="0"/>
    <x v="0"/>
  </r>
  <r>
    <n v="50955"/>
    <x v="4"/>
    <x v="0"/>
    <n v="487"/>
    <n v="20"/>
    <n v="401.31"/>
    <x v="4"/>
    <d v="2024-07-29T00:00:00"/>
    <d v="2024-09-01T00:00:00"/>
    <x v="0"/>
    <x v="0"/>
    <n v="195437.97"/>
    <x v="0"/>
    <x v="0"/>
    <x v="0"/>
  </r>
  <r>
    <n v="44256"/>
    <x v="0"/>
    <x v="0"/>
    <n v="400"/>
    <n v="100"/>
    <n v="272.89999999999998"/>
    <x v="1"/>
    <d v="2024-04-01T00:00:00"/>
    <d v="2024-04-29T00:00:00"/>
    <x v="1"/>
    <x v="0"/>
    <n v="109159.99999999999"/>
    <x v="0"/>
    <x v="0"/>
    <x v="0"/>
  </r>
  <r>
    <n v="48664"/>
    <x v="4"/>
    <x v="0"/>
    <n v="178"/>
    <n v="40"/>
    <n v="283.54000000000002"/>
    <x v="2"/>
    <d v="2024-11-15T00:00:00"/>
    <d v="2024-11-27T00:00:00"/>
    <x v="2"/>
    <x v="0"/>
    <n v="50470.12"/>
    <x v="0"/>
    <x v="0"/>
    <x v="0"/>
  </r>
  <r>
    <n v="71829"/>
    <x v="7"/>
    <x v="3"/>
    <n v="257"/>
    <n v="50"/>
    <n v="82.38"/>
    <x v="4"/>
    <d v="2024-11-25T00:00:00"/>
    <d v="2024-12-02T00:00:00"/>
    <x v="2"/>
    <x v="0"/>
    <n v="21171.66"/>
    <x v="0"/>
    <x v="0"/>
    <x v="0"/>
  </r>
  <r>
    <n v="95411"/>
    <x v="5"/>
    <x v="2"/>
    <n v="170"/>
    <n v="40"/>
    <n v="59.7"/>
    <x v="3"/>
    <d v="2024-10-25T00:00:00"/>
    <d v="2024-11-26T00:00:00"/>
    <x v="2"/>
    <x v="0"/>
    <n v="10149"/>
    <x v="0"/>
    <x v="0"/>
    <x v="0"/>
  </r>
  <r>
    <n v="74544"/>
    <x v="10"/>
    <x v="2"/>
    <n v="329"/>
    <n v="80"/>
    <n v="236.31"/>
    <x v="0"/>
    <d v="2024-10-20T00:00:00"/>
    <d v="2024-10-26T00:00:00"/>
    <x v="1"/>
    <x v="0"/>
    <n v="77745.990000000005"/>
    <x v="0"/>
    <x v="0"/>
    <x v="0"/>
  </r>
  <r>
    <n v="50144"/>
    <x v="10"/>
    <x v="2"/>
    <n v="430"/>
    <n v="150"/>
    <n v="71.03"/>
    <x v="4"/>
    <d v="2024-08-05T00:00:00"/>
    <d v="2024-09-03T00:00:00"/>
    <x v="0"/>
    <x v="0"/>
    <n v="30542.9"/>
    <x v="0"/>
    <x v="1"/>
    <x v="0"/>
  </r>
  <r>
    <n v="57431"/>
    <x v="4"/>
    <x v="0"/>
    <n v="208"/>
    <n v="100"/>
    <n v="210.34"/>
    <x v="1"/>
    <d v="2024-03-18T00:00:00"/>
    <d v="2024-04-08T00:00:00"/>
    <x v="2"/>
    <x v="0"/>
    <n v="43750.720000000001"/>
    <x v="0"/>
    <x v="1"/>
    <x v="0"/>
  </r>
  <r>
    <n v="14803"/>
    <x v="13"/>
    <x v="3"/>
    <n v="469"/>
    <n v="100"/>
    <n v="34.97"/>
    <x v="1"/>
    <d v="2024-08-15T00:00:00"/>
    <d v="2024-09-23T00:00:00"/>
    <x v="2"/>
    <x v="0"/>
    <n v="16400.93"/>
    <x v="0"/>
    <x v="0"/>
    <x v="0"/>
  </r>
  <r>
    <n v="84676"/>
    <x v="14"/>
    <x v="4"/>
    <n v="474"/>
    <n v="20"/>
    <n v="258.11"/>
    <x v="1"/>
    <d v="2024-07-26T00:00:00"/>
    <d v="2024-08-18T00:00:00"/>
    <x v="0"/>
    <x v="0"/>
    <n v="122344.14"/>
    <x v="0"/>
    <x v="0"/>
    <x v="0"/>
  </r>
  <r>
    <n v="89118"/>
    <x v="10"/>
    <x v="2"/>
    <n v="178"/>
    <n v="30"/>
    <n v="88.91"/>
    <x v="0"/>
    <d v="2024-09-22T00:00:00"/>
    <d v="2024-10-05T00:00:00"/>
    <x v="2"/>
    <x v="0"/>
    <n v="15825.98"/>
    <x v="0"/>
    <x v="0"/>
    <x v="0"/>
  </r>
  <r>
    <n v="92593"/>
    <x v="15"/>
    <x v="4"/>
    <n v="18"/>
    <n v="20"/>
    <n v="58.08"/>
    <x v="0"/>
    <d v="2024-07-02T00:00:00"/>
    <d v="2024-07-27T00:00:00"/>
    <x v="0"/>
    <x v="1"/>
    <n v="1045.44"/>
    <x v="6"/>
    <x v="1"/>
    <x v="1"/>
  </r>
  <r>
    <n v="88711"/>
    <x v="14"/>
    <x v="4"/>
    <n v="321"/>
    <n v="40"/>
    <n v="472.72"/>
    <x v="4"/>
    <d v="2024-11-08T00:00:00"/>
    <d v="2024-11-22T00:00:00"/>
    <x v="1"/>
    <x v="0"/>
    <n v="151743.12"/>
    <x v="0"/>
    <x v="0"/>
    <x v="0"/>
  </r>
  <r>
    <n v="74014"/>
    <x v="1"/>
    <x v="0"/>
    <n v="414"/>
    <n v="150"/>
    <n v="389.99"/>
    <x v="4"/>
    <d v="2024-07-19T00:00:00"/>
    <d v="2024-08-18T00:00:00"/>
    <x v="0"/>
    <x v="0"/>
    <n v="161455.86000000002"/>
    <x v="0"/>
    <x v="1"/>
    <x v="0"/>
  </r>
  <r>
    <n v="78745"/>
    <x v="7"/>
    <x v="3"/>
    <n v="262"/>
    <n v="20"/>
    <n v="497.81"/>
    <x v="2"/>
    <d v="2024-01-04T00:00:00"/>
    <d v="2024-02-07T00:00:00"/>
    <x v="1"/>
    <x v="0"/>
    <n v="130426.22"/>
    <x v="0"/>
    <x v="0"/>
    <x v="0"/>
  </r>
  <r>
    <n v="61481"/>
    <x v="0"/>
    <x v="0"/>
    <n v="275"/>
    <n v="20"/>
    <n v="14.01"/>
    <x v="2"/>
    <d v="2024-08-18T00:00:00"/>
    <d v="2024-09-17T00:00:00"/>
    <x v="1"/>
    <x v="0"/>
    <n v="3852.75"/>
    <x v="0"/>
    <x v="0"/>
    <x v="0"/>
  </r>
  <r>
    <n v="58990"/>
    <x v="3"/>
    <x v="2"/>
    <n v="354"/>
    <n v="50"/>
    <n v="81.05"/>
    <x v="3"/>
    <d v="2024-04-06T00:00:00"/>
    <d v="2024-05-04T00:00:00"/>
    <x v="2"/>
    <x v="0"/>
    <n v="28691.7"/>
    <x v="0"/>
    <x v="0"/>
    <x v="0"/>
  </r>
  <r>
    <n v="20040"/>
    <x v="11"/>
    <x v="4"/>
    <n v="139"/>
    <n v="30"/>
    <n v="231.72"/>
    <x v="1"/>
    <d v="2024-06-27T00:00:00"/>
    <d v="2024-07-14T00:00:00"/>
    <x v="1"/>
    <x v="0"/>
    <n v="32209.079999999998"/>
    <x v="0"/>
    <x v="0"/>
    <x v="0"/>
  </r>
  <r>
    <n v="69090"/>
    <x v="4"/>
    <x v="0"/>
    <n v="232"/>
    <n v="50"/>
    <n v="447.72"/>
    <x v="2"/>
    <d v="2024-04-20T00:00:00"/>
    <d v="2024-04-27T00:00:00"/>
    <x v="0"/>
    <x v="0"/>
    <n v="103871.04000000001"/>
    <x v="0"/>
    <x v="0"/>
    <x v="0"/>
  </r>
  <r>
    <n v="34248"/>
    <x v="10"/>
    <x v="2"/>
    <n v="183"/>
    <n v="20"/>
    <n v="208.3"/>
    <x v="0"/>
    <d v="2024-05-02T00:00:00"/>
    <d v="2024-06-10T00:00:00"/>
    <x v="1"/>
    <x v="0"/>
    <n v="38118.9"/>
    <x v="0"/>
    <x v="0"/>
    <x v="0"/>
  </r>
  <r>
    <n v="18104"/>
    <x v="11"/>
    <x v="4"/>
    <n v="112"/>
    <n v="20"/>
    <n v="353.87"/>
    <x v="0"/>
    <d v="2024-10-09T00:00:00"/>
    <d v="2024-11-03T00:00:00"/>
    <x v="0"/>
    <x v="0"/>
    <n v="39633.440000000002"/>
    <x v="0"/>
    <x v="0"/>
    <x v="0"/>
  </r>
  <r>
    <n v="72723"/>
    <x v="11"/>
    <x v="4"/>
    <n v="238"/>
    <n v="20"/>
    <n v="488.07"/>
    <x v="2"/>
    <d v="2024-09-22T00:00:00"/>
    <d v="2024-10-03T00:00:00"/>
    <x v="2"/>
    <x v="0"/>
    <n v="116160.66"/>
    <x v="0"/>
    <x v="0"/>
    <x v="0"/>
  </r>
  <r>
    <n v="27469"/>
    <x v="0"/>
    <x v="0"/>
    <n v="418"/>
    <n v="150"/>
    <n v="223.12"/>
    <x v="1"/>
    <d v="2024-03-17T00:00:00"/>
    <d v="2024-04-09T00:00:00"/>
    <x v="0"/>
    <x v="0"/>
    <n v="93264.16"/>
    <x v="0"/>
    <x v="1"/>
    <x v="0"/>
  </r>
  <r>
    <n v="27221"/>
    <x v="4"/>
    <x v="0"/>
    <n v="226"/>
    <n v="150"/>
    <n v="217.64"/>
    <x v="2"/>
    <d v="2024-07-22T00:00:00"/>
    <d v="2024-08-07T00:00:00"/>
    <x v="2"/>
    <x v="0"/>
    <n v="49186.64"/>
    <x v="0"/>
    <x v="1"/>
    <x v="0"/>
  </r>
  <r>
    <n v="54153"/>
    <x v="14"/>
    <x v="4"/>
    <n v="408"/>
    <n v="150"/>
    <n v="60.07"/>
    <x v="2"/>
    <d v="2024-08-27T00:00:00"/>
    <d v="2024-09-11T00:00:00"/>
    <x v="0"/>
    <x v="0"/>
    <n v="24508.560000000001"/>
    <x v="0"/>
    <x v="1"/>
    <x v="0"/>
  </r>
  <r>
    <n v="10415"/>
    <x v="3"/>
    <x v="2"/>
    <n v="250"/>
    <n v="40"/>
    <n v="418.3"/>
    <x v="1"/>
    <d v="2024-03-17T00:00:00"/>
    <d v="2024-04-07T00:00:00"/>
    <x v="0"/>
    <x v="0"/>
    <n v="104575"/>
    <x v="0"/>
    <x v="0"/>
    <x v="0"/>
  </r>
  <r>
    <n v="55299"/>
    <x v="4"/>
    <x v="0"/>
    <n v="396"/>
    <n v="80"/>
    <n v="411.53"/>
    <x v="0"/>
    <d v="2024-01-01T00:00:00"/>
    <d v="2024-02-07T00:00:00"/>
    <x v="1"/>
    <x v="0"/>
    <n v="162965.87999999998"/>
    <x v="0"/>
    <x v="0"/>
    <x v="0"/>
  </r>
  <r>
    <n v="10552"/>
    <x v="5"/>
    <x v="2"/>
    <n v="296"/>
    <n v="20"/>
    <n v="447.14"/>
    <x v="4"/>
    <d v="2024-04-24T00:00:00"/>
    <d v="2024-04-29T00:00:00"/>
    <x v="2"/>
    <x v="0"/>
    <n v="132353.44"/>
    <x v="0"/>
    <x v="0"/>
    <x v="0"/>
  </r>
  <r>
    <n v="45765"/>
    <x v="15"/>
    <x v="4"/>
    <n v="334"/>
    <n v="20"/>
    <n v="489.1"/>
    <x v="1"/>
    <d v="2024-05-16T00:00:00"/>
    <d v="2024-06-24T00:00:00"/>
    <x v="0"/>
    <x v="0"/>
    <n v="163359.4"/>
    <x v="0"/>
    <x v="0"/>
    <x v="0"/>
  </r>
  <r>
    <n v="42882"/>
    <x v="5"/>
    <x v="2"/>
    <n v="64"/>
    <n v="80"/>
    <n v="349.39"/>
    <x v="3"/>
    <d v="2024-02-19T00:00:00"/>
    <d v="2024-03-21T00:00:00"/>
    <x v="2"/>
    <x v="1"/>
    <n v="22360.959999999999"/>
    <x v="91"/>
    <x v="1"/>
    <x v="1"/>
  </r>
  <r>
    <n v="19013"/>
    <x v="11"/>
    <x v="4"/>
    <n v="494"/>
    <n v="80"/>
    <n v="328.51"/>
    <x v="1"/>
    <d v="2024-10-25T00:00:00"/>
    <d v="2024-11-06T00:00:00"/>
    <x v="1"/>
    <x v="0"/>
    <n v="162283.94"/>
    <x v="0"/>
    <x v="0"/>
    <x v="0"/>
  </r>
  <r>
    <n v="65773"/>
    <x v="9"/>
    <x v="1"/>
    <n v="203"/>
    <n v="20"/>
    <n v="200.6"/>
    <x v="0"/>
    <d v="2024-02-17T00:00:00"/>
    <d v="2024-03-10T00:00:00"/>
    <x v="2"/>
    <x v="0"/>
    <n v="40721.799999999996"/>
    <x v="0"/>
    <x v="0"/>
    <x v="0"/>
  </r>
  <r>
    <n v="57219"/>
    <x v="12"/>
    <x v="0"/>
    <n v="99"/>
    <n v="50"/>
    <n v="439.58"/>
    <x v="4"/>
    <d v="2024-10-06T00:00:00"/>
    <d v="2024-10-23T00:00:00"/>
    <x v="2"/>
    <x v="0"/>
    <n v="43518.42"/>
    <x v="0"/>
    <x v="1"/>
    <x v="0"/>
  </r>
  <r>
    <n v="26375"/>
    <x v="7"/>
    <x v="3"/>
    <n v="70"/>
    <n v="40"/>
    <n v="432.59"/>
    <x v="1"/>
    <d v="2024-05-24T00:00:00"/>
    <d v="2024-06-10T00:00:00"/>
    <x v="1"/>
    <x v="0"/>
    <n v="30281.3"/>
    <x v="0"/>
    <x v="1"/>
    <x v="0"/>
  </r>
  <r>
    <n v="94418"/>
    <x v="14"/>
    <x v="4"/>
    <n v="363"/>
    <n v="150"/>
    <n v="223.24"/>
    <x v="3"/>
    <d v="2024-05-08T00:00:00"/>
    <d v="2024-05-27T00:00:00"/>
    <x v="2"/>
    <x v="0"/>
    <n v="81036.12000000001"/>
    <x v="0"/>
    <x v="1"/>
    <x v="0"/>
  </r>
  <r>
    <n v="97049"/>
    <x v="15"/>
    <x v="4"/>
    <n v="77"/>
    <n v="50"/>
    <n v="491.38"/>
    <x v="2"/>
    <d v="2024-08-15T00:00:00"/>
    <d v="2024-09-12T00:00:00"/>
    <x v="2"/>
    <x v="0"/>
    <n v="37836.26"/>
    <x v="0"/>
    <x v="1"/>
    <x v="0"/>
  </r>
  <r>
    <n v="39870"/>
    <x v="15"/>
    <x v="4"/>
    <n v="316"/>
    <n v="50"/>
    <n v="349.69"/>
    <x v="0"/>
    <d v="2024-01-18T00:00:00"/>
    <d v="2024-01-29T00:00:00"/>
    <x v="1"/>
    <x v="0"/>
    <n v="110502.04"/>
    <x v="0"/>
    <x v="0"/>
    <x v="0"/>
  </r>
  <r>
    <n v="16590"/>
    <x v="9"/>
    <x v="1"/>
    <n v="324"/>
    <n v="30"/>
    <n v="167.77"/>
    <x v="3"/>
    <d v="2024-12-06T00:00:00"/>
    <d v="2024-12-29T00:00:00"/>
    <x v="1"/>
    <x v="0"/>
    <n v="54357.48"/>
    <x v="0"/>
    <x v="0"/>
    <x v="0"/>
  </r>
  <r>
    <n v="47499"/>
    <x v="2"/>
    <x v="1"/>
    <n v="309"/>
    <n v="150"/>
    <n v="234.1"/>
    <x v="4"/>
    <d v="2024-09-11T00:00:00"/>
    <d v="2024-10-20T00:00:00"/>
    <x v="1"/>
    <x v="0"/>
    <n v="72336.899999999994"/>
    <x v="0"/>
    <x v="1"/>
    <x v="0"/>
  </r>
  <r>
    <n v="25852"/>
    <x v="7"/>
    <x v="3"/>
    <n v="106"/>
    <n v="80"/>
    <n v="263.97000000000003"/>
    <x v="1"/>
    <d v="2024-07-04T00:00:00"/>
    <d v="2024-08-09T00:00:00"/>
    <x v="1"/>
    <x v="0"/>
    <n v="27980.820000000003"/>
    <x v="0"/>
    <x v="1"/>
    <x v="0"/>
  </r>
  <r>
    <n v="19895"/>
    <x v="3"/>
    <x v="2"/>
    <n v="403"/>
    <n v="80"/>
    <n v="22.64"/>
    <x v="4"/>
    <d v="2024-02-18T00:00:00"/>
    <d v="2024-03-12T00:00:00"/>
    <x v="1"/>
    <x v="0"/>
    <n v="9123.92"/>
    <x v="0"/>
    <x v="0"/>
    <x v="0"/>
  </r>
  <r>
    <n v="37431"/>
    <x v="14"/>
    <x v="4"/>
    <n v="390"/>
    <n v="40"/>
    <n v="460.59"/>
    <x v="0"/>
    <d v="2024-10-23T00:00:00"/>
    <d v="2024-10-30T00:00:00"/>
    <x v="1"/>
    <x v="0"/>
    <n v="179630.09999999998"/>
    <x v="0"/>
    <x v="0"/>
    <x v="0"/>
  </r>
  <r>
    <n v="24887"/>
    <x v="12"/>
    <x v="0"/>
    <n v="403"/>
    <n v="20"/>
    <n v="57.77"/>
    <x v="4"/>
    <d v="2024-04-17T00:00:00"/>
    <d v="2024-05-15T00:00:00"/>
    <x v="1"/>
    <x v="0"/>
    <n v="23281.31"/>
    <x v="0"/>
    <x v="0"/>
    <x v="0"/>
  </r>
  <r>
    <n v="90875"/>
    <x v="0"/>
    <x v="0"/>
    <n v="331"/>
    <n v="20"/>
    <n v="217.76"/>
    <x v="1"/>
    <d v="2024-09-14T00:00:00"/>
    <d v="2024-09-24T00:00:00"/>
    <x v="1"/>
    <x v="0"/>
    <n v="72078.559999999998"/>
    <x v="0"/>
    <x v="0"/>
    <x v="0"/>
  </r>
  <r>
    <n v="75471"/>
    <x v="6"/>
    <x v="3"/>
    <n v="209"/>
    <n v="20"/>
    <n v="43.97"/>
    <x v="2"/>
    <d v="2024-08-25T00:00:00"/>
    <d v="2024-09-14T00:00:00"/>
    <x v="0"/>
    <x v="0"/>
    <n v="9189.73"/>
    <x v="0"/>
    <x v="0"/>
    <x v="0"/>
  </r>
  <r>
    <n v="26533"/>
    <x v="0"/>
    <x v="0"/>
    <n v="278"/>
    <n v="80"/>
    <n v="308.45999999999998"/>
    <x v="0"/>
    <d v="2024-02-20T00:00:00"/>
    <d v="2024-03-21T00:00:00"/>
    <x v="2"/>
    <x v="0"/>
    <n v="85751.87999999999"/>
    <x v="0"/>
    <x v="0"/>
    <x v="0"/>
  </r>
  <r>
    <n v="23654"/>
    <x v="8"/>
    <x v="1"/>
    <n v="493"/>
    <n v="150"/>
    <n v="337.62"/>
    <x v="4"/>
    <d v="2024-06-22T00:00:00"/>
    <d v="2024-07-22T00:00:00"/>
    <x v="0"/>
    <x v="0"/>
    <n v="166446.66"/>
    <x v="0"/>
    <x v="0"/>
    <x v="0"/>
  </r>
  <r>
    <n v="74934"/>
    <x v="5"/>
    <x v="2"/>
    <n v="11"/>
    <n v="80"/>
    <n v="248.62"/>
    <x v="0"/>
    <d v="2024-03-06T00:00:00"/>
    <d v="2024-03-22T00:00:00"/>
    <x v="2"/>
    <x v="1"/>
    <n v="2734.82"/>
    <x v="29"/>
    <x v="1"/>
    <x v="1"/>
  </r>
  <r>
    <n v="92627"/>
    <x v="2"/>
    <x v="1"/>
    <n v="234"/>
    <n v="40"/>
    <n v="223.84"/>
    <x v="1"/>
    <d v="2024-08-29T00:00:00"/>
    <d v="2024-09-27T00:00:00"/>
    <x v="1"/>
    <x v="0"/>
    <n v="52378.559999999998"/>
    <x v="0"/>
    <x v="0"/>
    <x v="0"/>
  </r>
  <r>
    <n v="59999"/>
    <x v="7"/>
    <x v="3"/>
    <n v="446"/>
    <n v="100"/>
    <n v="232.1"/>
    <x v="1"/>
    <d v="2024-12-22T00:00:00"/>
    <d v="2024-12-29T00:00:00"/>
    <x v="1"/>
    <x v="0"/>
    <n v="103516.59999999999"/>
    <x v="0"/>
    <x v="0"/>
    <x v="0"/>
  </r>
  <r>
    <n v="66982"/>
    <x v="5"/>
    <x v="2"/>
    <n v="398"/>
    <n v="20"/>
    <n v="88.89"/>
    <x v="2"/>
    <d v="2024-07-16T00:00:00"/>
    <d v="2024-08-16T00:00:00"/>
    <x v="0"/>
    <x v="0"/>
    <n v="35378.22"/>
    <x v="0"/>
    <x v="0"/>
    <x v="0"/>
  </r>
  <r>
    <n v="58225"/>
    <x v="4"/>
    <x v="0"/>
    <n v="132"/>
    <n v="20"/>
    <n v="319.3"/>
    <x v="3"/>
    <d v="2024-03-22T00:00:00"/>
    <d v="2024-04-17T00:00:00"/>
    <x v="1"/>
    <x v="0"/>
    <n v="42147.6"/>
    <x v="0"/>
    <x v="0"/>
    <x v="0"/>
  </r>
  <r>
    <n v="10973"/>
    <x v="13"/>
    <x v="3"/>
    <n v="474"/>
    <n v="80"/>
    <n v="426.68"/>
    <x v="3"/>
    <d v="2024-06-05T00:00:00"/>
    <d v="2024-07-01T00:00:00"/>
    <x v="1"/>
    <x v="0"/>
    <n v="202246.32"/>
    <x v="0"/>
    <x v="0"/>
    <x v="0"/>
  </r>
  <r>
    <n v="81980"/>
    <x v="5"/>
    <x v="2"/>
    <n v="59"/>
    <n v="100"/>
    <n v="259.95"/>
    <x v="1"/>
    <d v="2024-09-15T00:00:00"/>
    <d v="2024-10-23T00:00:00"/>
    <x v="2"/>
    <x v="1"/>
    <n v="15337.05"/>
    <x v="113"/>
    <x v="1"/>
    <x v="1"/>
  </r>
  <r>
    <n v="94834"/>
    <x v="6"/>
    <x v="3"/>
    <n v="187"/>
    <n v="80"/>
    <n v="44.86"/>
    <x v="4"/>
    <d v="2024-08-11T00:00:00"/>
    <d v="2024-09-07T00:00:00"/>
    <x v="1"/>
    <x v="0"/>
    <n v="8388.82"/>
    <x v="0"/>
    <x v="1"/>
    <x v="0"/>
  </r>
  <r>
    <n v="94719"/>
    <x v="8"/>
    <x v="1"/>
    <n v="312"/>
    <n v="20"/>
    <n v="57.12"/>
    <x v="1"/>
    <d v="2024-02-06T00:00:00"/>
    <d v="2024-03-02T00:00:00"/>
    <x v="1"/>
    <x v="0"/>
    <n v="17821.439999999999"/>
    <x v="0"/>
    <x v="0"/>
    <x v="0"/>
  </r>
  <r>
    <n v="71457"/>
    <x v="10"/>
    <x v="2"/>
    <n v="324"/>
    <n v="80"/>
    <n v="340.2"/>
    <x v="4"/>
    <d v="2024-06-06T00:00:00"/>
    <d v="2024-06-26T00:00:00"/>
    <x v="1"/>
    <x v="0"/>
    <n v="110224.8"/>
    <x v="0"/>
    <x v="0"/>
    <x v="0"/>
  </r>
  <r>
    <n v="87318"/>
    <x v="9"/>
    <x v="1"/>
    <n v="478"/>
    <n v="20"/>
    <n v="346.32"/>
    <x v="0"/>
    <d v="2024-07-11T00:00:00"/>
    <d v="2024-07-22T00:00:00"/>
    <x v="0"/>
    <x v="0"/>
    <n v="165540.96"/>
    <x v="0"/>
    <x v="0"/>
    <x v="0"/>
  </r>
  <r>
    <n v="45011"/>
    <x v="3"/>
    <x v="2"/>
    <n v="488"/>
    <n v="20"/>
    <n v="379.8"/>
    <x v="1"/>
    <d v="2024-02-10T00:00:00"/>
    <d v="2024-02-16T00:00:00"/>
    <x v="0"/>
    <x v="0"/>
    <n v="185342.4"/>
    <x v="0"/>
    <x v="0"/>
    <x v="0"/>
  </r>
  <r>
    <n v="51003"/>
    <x v="3"/>
    <x v="2"/>
    <n v="423"/>
    <n v="80"/>
    <n v="469.48"/>
    <x v="3"/>
    <d v="2024-05-29T00:00:00"/>
    <d v="2024-06-13T00:00:00"/>
    <x v="0"/>
    <x v="0"/>
    <n v="198590.04"/>
    <x v="0"/>
    <x v="0"/>
    <x v="0"/>
  </r>
  <r>
    <n v="28260"/>
    <x v="13"/>
    <x v="3"/>
    <n v="115"/>
    <n v="80"/>
    <n v="293.27"/>
    <x v="2"/>
    <d v="2024-04-01T00:00:00"/>
    <d v="2024-04-16T00:00:00"/>
    <x v="0"/>
    <x v="0"/>
    <n v="33726.049999999996"/>
    <x v="0"/>
    <x v="1"/>
    <x v="0"/>
  </r>
  <r>
    <n v="22836"/>
    <x v="2"/>
    <x v="1"/>
    <n v="190"/>
    <n v="20"/>
    <n v="320.86"/>
    <x v="3"/>
    <d v="2024-05-16T00:00:00"/>
    <d v="2024-06-02T00:00:00"/>
    <x v="0"/>
    <x v="0"/>
    <n v="60963.4"/>
    <x v="0"/>
    <x v="0"/>
    <x v="0"/>
  </r>
  <r>
    <n v="73265"/>
    <x v="6"/>
    <x v="3"/>
    <n v="134"/>
    <n v="100"/>
    <n v="239.1"/>
    <x v="0"/>
    <d v="2024-09-11T00:00:00"/>
    <d v="2024-09-21T00:00:00"/>
    <x v="0"/>
    <x v="0"/>
    <n v="32039.399999999998"/>
    <x v="0"/>
    <x v="1"/>
    <x v="0"/>
  </r>
  <r>
    <n v="37937"/>
    <x v="4"/>
    <x v="0"/>
    <n v="442"/>
    <n v="100"/>
    <n v="91.08"/>
    <x v="4"/>
    <d v="2024-03-07T00:00:00"/>
    <d v="2024-03-15T00:00:00"/>
    <x v="0"/>
    <x v="0"/>
    <n v="40257.360000000001"/>
    <x v="0"/>
    <x v="0"/>
    <x v="0"/>
  </r>
  <r>
    <n v="43400"/>
    <x v="4"/>
    <x v="0"/>
    <n v="137"/>
    <n v="30"/>
    <n v="224.09"/>
    <x v="4"/>
    <d v="2024-09-18T00:00:00"/>
    <d v="2024-10-16T00:00:00"/>
    <x v="2"/>
    <x v="0"/>
    <n v="30700.33"/>
    <x v="0"/>
    <x v="0"/>
    <x v="0"/>
  </r>
  <r>
    <n v="23894"/>
    <x v="14"/>
    <x v="4"/>
    <n v="319"/>
    <n v="100"/>
    <n v="97.58"/>
    <x v="3"/>
    <d v="2024-07-28T00:00:00"/>
    <d v="2024-08-13T00:00:00"/>
    <x v="0"/>
    <x v="0"/>
    <n v="31128.02"/>
    <x v="0"/>
    <x v="0"/>
    <x v="0"/>
  </r>
  <r>
    <n v="55311"/>
    <x v="2"/>
    <x v="1"/>
    <n v="463"/>
    <n v="50"/>
    <n v="442.47"/>
    <x v="3"/>
    <d v="2024-08-26T00:00:00"/>
    <d v="2024-09-27T00:00:00"/>
    <x v="0"/>
    <x v="0"/>
    <n v="204863.61000000002"/>
    <x v="0"/>
    <x v="0"/>
    <x v="0"/>
  </r>
  <r>
    <n v="35059"/>
    <x v="5"/>
    <x v="2"/>
    <n v="273"/>
    <n v="80"/>
    <n v="105.33"/>
    <x v="3"/>
    <d v="2024-05-18T00:00:00"/>
    <d v="2024-06-13T00:00:00"/>
    <x v="1"/>
    <x v="0"/>
    <n v="28755.09"/>
    <x v="0"/>
    <x v="0"/>
    <x v="0"/>
  </r>
  <r>
    <n v="21628"/>
    <x v="14"/>
    <x v="4"/>
    <n v="348"/>
    <n v="100"/>
    <n v="49.4"/>
    <x v="1"/>
    <d v="2024-05-11T00:00:00"/>
    <d v="2024-05-26T00:00:00"/>
    <x v="1"/>
    <x v="0"/>
    <n v="17191.2"/>
    <x v="0"/>
    <x v="0"/>
    <x v="0"/>
  </r>
  <r>
    <n v="60333"/>
    <x v="12"/>
    <x v="0"/>
    <n v="98"/>
    <n v="150"/>
    <n v="418.34"/>
    <x v="0"/>
    <d v="2024-11-16T00:00:00"/>
    <d v="2024-12-19T00:00:00"/>
    <x v="0"/>
    <x v="1"/>
    <n v="40997.32"/>
    <x v="30"/>
    <x v="1"/>
    <x v="1"/>
  </r>
  <r>
    <n v="91983"/>
    <x v="0"/>
    <x v="0"/>
    <n v="207"/>
    <n v="20"/>
    <n v="139.51"/>
    <x v="1"/>
    <d v="2024-02-28T00:00:00"/>
    <d v="2024-04-03T00:00:00"/>
    <x v="2"/>
    <x v="0"/>
    <n v="28878.57"/>
    <x v="0"/>
    <x v="0"/>
    <x v="0"/>
  </r>
  <r>
    <n v="68507"/>
    <x v="5"/>
    <x v="2"/>
    <n v="267"/>
    <n v="50"/>
    <n v="113.72"/>
    <x v="4"/>
    <d v="2024-11-03T00:00:00"/>
    <d v="2024-12-04T00:00:00"/>
    <x v="2"/>
    <x v="0"/>
    <n v="30363.239999999998"/>
    <x v="0"/>
    <x v="0"/>
    <x v="0"/>
  </r>
  <r>
    <n v="24066"/>
    <x v="16"/>
    <x v="3"/>
    <n v="162"/>
    <n v="50"/>
    <n v="341.26"/>
    <x v="4"/>
    <d v="2024-11-28T00:00:00"/>
    <d v="2024-12-14T00:00:00"/>
    <x v="2"/>
    <x v="0"/>
    <n v="55284.119999999995"/>
    <x v="0"/>
    <x v="0"/>
    <x v="0"/>
  </r>
  <r>
    <n v="19934"/>
    <x v="2"/>
    <x v="1"/>
    <n v="488"/>
    <n v="20"/>
    <n v="27.36"/>
    <x v="4"/>
    <d v="2024-06-25T00:00:00"/>
    <d v="2024-07-31T00:00:00"/>
    <x v="0"/>
    <x v="0"/>
    <n v="13351.68"/>
    <x v="0"/>
    <x v="0"/>
    <x v="0"/>
  </r>
  <r>
    <n v="21408"/>
    <x v="1"/>
    <x v="0"/>
    <n v="268"/>
    <n v="150"/>
    <n v="432.53"/>
    <x v="4"/>
    <d v="2024-04-16T00:00:00"/>
    <d v="2024-05-18T00:00:00"/>
    <x v="2"/>
    <x v="0"/>
    <n v="115918.04"/>
    <x v="0"/>
    <x v="1"/>
    <x v="0"/>
  </r>
  <r>
    <n v="46870"/>
    <x v="15"/>
    <x v="4"/>
    <n v="111"/>
    <n v="100"/>
    <n v="394.56"/>
    <x v="1"/>
    <d v="2024-07-18T00:00:00"/>
    <d v="2024-08-12T00:00:00"/>
    <x v="0"/>
    <x v="0"/>
    <n v="43796.160000000003"/>
    <x v="0"/>
    <x v="1"/>
    <x v="0"/>
  </r>
  <r>
    <n v="20511"/>
    <x v="7"/>
    <x v="3"/>
    <n v="271"/>
    <n v="150"/>
    <n v="62.12"/>
    <x v="0"/>
    <d v="2024-10-22T00:00:00"/>
    <d v="2024-11-09T00:00:00"/>
    <x v="1"/>
    <x v="0"/>
    <n v="16834.52"/>
    <x v="0"/>
    <x v="1"/>
    <x v="0"/>
  </r>
  <r>
    <n v="74555"/>
    <x v="12"/>
    <x v="0"/>
    <n v="247"/>
    <n v="50"/>
    <n v="421.63"/>
    <x v="2"/>
    <d v="2024-11-16T00:00:00"/>
    <d v="2024-12-25T00:00:00"/>
    <x v="0"/>
    <x v="0"/>
    <n v="104142.61"/>
    <x v="0"/>
    <x v="0"/>
    <x v="0"/>
  </r>
  <r>
    <n v="24418"/>
    <x v="11"/>
    <x v="4"/>
    <n v="367"/>
    <n v="40"/>
    <n v="105.3"/>
    <x v="1"/>
    <d v="2024-12-21T00:00:00"/>
    <d v="2024-12-31T00:00:00"/>
    <x v="2"/>
    <x v="0"/>
    <n v="38645.1"/>
    <x v="0"/>
    <x v="0"/>
    <x v="0"/>
  </r>
  <r>
    <n v="86979"/>
    <x v="14"/>
    <x v="4"/>
    <n v="448"/>
    <n v="150"/>
    <n v="89.52"/>
    <x v="2"/>
    <d v="2024-11-09T00:00:00"/>
    <d v="2024-11-15T00:00:00"/>
    <x v="0"/>
    <x v="0"/>
    <n v="40104.959999999999"/>
    <x v="0"/>
    <x v="1"/>
    <x v="0"/>
  </r>
  <r>
    <n v="61341"/>
    <x v="15"/>
    <x v="4"/>
    <n v="249"/>
    <n v="30"/>
    <n v="359.77"/>
    <x v="0"/>
    <d v="2024-12-09T00:00:00"/>
    <d v="2024-12-23T00:00:00"/>
    <x v="2"/>
    <x v="0"/>
    <n v="89582.73"/>
    <x v="0"/>
    <x v="0"/>
    <x v="0"/>
  </r>
  <r>
    <n v="83662"/>
    <x v="1"/>
    <x v="0"/>
    <n v="410"/>
    <n v="30"/>
    <n v="479.14"/>
    <x v="4"/>
    <d v="2024-10-01T00:00:00"/>
    <d v="2024-10-12T00:00:00"/>
    <x v="2"/>
    <x v="0"/>
    <n v="196447.4"/>
    <x v="0"/>
    <x v="0"/>
    <x v="0"/>
  </r>
  <r>
    <n v="55643"/>
    <x v="7"/>
    <x v="3"/>
    <n v="70"/>
    <n v="150"/>
    <n v="105.81"/>
    <x v="1"/>
    <d v="2024-08-11T00:00:00"/>
    <d v="2024-08-23T00:00:00"/>
    <x v="1"/>
    <x v="1"/>
    <n v="7406.7"/>
    <x v="107"/>
    <x v="1"/>
    <x v="1"/>
  </r>
  <r>
    <n v="25600"/>
    <x v="2"/>
    <x v="1"/>
    <n v="93"/>
    <n v="80"/>
    <n v="335.95"/>
    <x v="0"/>
    <d v="2024-03-02T00:00:00"/>
    <d v="2024-03-26T00:00:00"/>
    <x v="2"/>
    <x v="0"/>
    <n v="31243.35"/>
    <x v="0"/>
    <x v="1"/>
    <x v="0"/>
  </r>
  <r>
    <n v="89303"/>
    <x v="12"/>
    <x v="0"/>
    <n v="453"/>
    <n v="100"/>
    <n v="319.8"/>
    <x v="4"/>
    <d v="2024-10-27T00:00:00"/>
    <d v="2024-11-11T00:00:00"/>
    <x v="2"/>
    <x v="0"/>
    <n v="144869.4"/>
    <x v="0"/>
    <x v="0"/>
    <x v="0"/>
  </r>
  <r>
    <n v="25900"/>
    <x v="11"/>
    <x v="4"/>
    <n v="111"/>
    <n v="20"/>
    <n v="447.79"/>
    <x v="1"/>
    <d v="2024-04-07T00:00:00"/>
    <d v="2024-05-05T00:00:00"/>
    <x v="2"/>
    <x v="0"/>
    <n v="49704.69"/>
    <x v="0"/>
    <x v="0"/>
    <x v="0"/>
  </r>
  <r>
    <n v="12977"/>
    <x v="8"/>
    <x v="1"/>
    <n v="327"/>
    <n v="80"/>
    <n v="350.79"/>
    <x v="0"/>
    <d v="2024-06-01T00:00:00"/>
    <d v="2024-06-28T00:00:00"/>
    <x v="2"/>
    <x v="0"/>
    <n v="114708.33"/>
    <x v="0"/>
    <x v="0"/>
    <x v="0"/>
  </r>
  <r>
    <n v="21885"/>
    <x v="14"/>
    <x v="4"/>
    <n v="289"/>
    <n v="80"/>
    <n v="84.48"/>
    <x v="4"/>
    <d v="2024-07-03T00:00:00"/>
    <d v="2024-07-14T00:00:00"/>
    <x v="1"/>
    <x v="0"/>
    <n v="24414.720000000001"/>
    <x v="0"/>
    <x v="0"/>
    <x v="0"/>
  </r>
  <r>
    <n v="74649"/>
    <x v="11"/>
    <x v="4"/>
    <n v="365"/>
    <n v="30"/>
    <n v="446.07"/>
    <x v="1"/>
    <d v="2024-08-24T00:00:00"/>
    <d v="2024-09-13T00:00:00"/>
    <x v="1"/>
    <x v="0"/>
    <n v="162815.54999999999"/>
    <x v="0"/>
    <x v="0"/>
    <x v="0"/>
  </r>
  <r>
    <n v="31661"/>
    <x v="13"/>
    <x v="3"/>
    <n v="438"/>
    <n v="40"/>
    <n v="57.26"/>
    <x v="3"/>
    <d v="2024-10-22T00:00:00"/>
    <d v="2024-11-04T00:00:00"/>
    <x v="1"/>
    <x v="0"/>
    <n v="25079.879999999997"/>
    <x v="0"/>
    <x v="0"/>
    <x v="0"/>
  </r>
  <r>
    <n v="13728"/>
    <x v="4"/>
    <x v="0"/>
    <n v="127"/>
    <n v="100"/>
    <n v="414.36"/>
    <x v="3"/>
    <d v="2024-12-22T00:00:00"/>
    <d v="2025-01-18T00:00:00"/>
    <x v="2"/>
    <x v="0"/>
    <n v="52623.72"/>
    <x v="0"/>
    <x v="1"/>
    <x v="0"/>
  </r>
  <r>
    <n v="29439"/>
    <x v="5"/>
    <x v="2"/>
    <n v="484"/>
    <n v="40"/>
    <n v="179.81"/>
    <x v="4"/>
    <d v="2024-05-20T00:00:00"/>
    <d v="2024-06-07T00:00:00"/>
    <x v="2"/>
    <x v="0"/>
    <n v="87028.040000000008"/>
    <x v="0"/>
    <x v="0"/>
    <x v="0"/>
  </r>
  <r>
    <n v="72235"/>
    <x v="12"/>
    <x v="0"/>
    <n v="100"/>
    <n v="100"/>
    <n v="472.41"/>
    <x v="3"/>
    <d v="2024-11-14T00:00:00"/>
    <d v="2024-11-25T00:00:00"/>
    <x v="2"/>
    <x v="0"/>
    <n v="47241"/>
    <x v="0"/>
    <x v="1"/>
    <x v="0"/>
  </r>
  <r>
    <n v="29330"/>
    <x v="2"/>
    <x v="1"/>
    <n v="382"/>
    <n v="20"/>
    <n v="242.45"/>
    <x v="0"/>
    <d v="2024-03-17T00:00:00"/>
    <d v="2024-04-08T00:00:00"/>
    <x v="0"/>
    <x v="0"/>
    <n v="92615.9"/>
    <x v="0"/>
    <x v="0"/>
    <x v="0"/>
  </r>
  <r>
    <n v="46688"/>
    <x v="8"/>
    <x v="1"/>
    <n v="23"/>
    <n v="40"/>
    <n v="195.85"/>
    <x v="0"/>
    <d v="2024-11-27T00:00:00"/>
    <d v="2024-12-23T00:00:00"/>
    <x v="0"/>
    <x v="1"/>
    <n v="4504.55"/>
    <x v="14"/>
    <x v="1"/>
    <x v="1"/>
  </r>
  <r>
    <n v="96314"/>
    <x v="9"/>
    <x v="1"/>
    <n v="264"/>
    <n v="80"/>
    <n v="358.65"/>
    <x v="3"/>
    <d v="2024-11-03T00:00:00"/>
    <d v="2024-11-30T00:00:00"/>
    <x v="1"/>
    <x v="0"/>
    <n v="94683.599999999991"/>
    <x v="0"/>
    <x v="0"/>
    <x v="0"/>
  </r>
  <r>
    <n v="52129"/>
    <x v="15"/>
    <x v="4"/>
    <n v="30"/>
    <n v="20"/>
    <n v="98.66"/>
    <x v="4"/>
    <d v="2024-11-10T00:00:00"/>
    <d v="2024-12-12T00:00:00"/>
    <x v="0"/>
    <x v="0"/>
    <n v="2959.7999999999997"/>
    <x v="0"/>
    <x v="1"/>
    <x v="0"/>
  </r>
  <r>
    <n v="94946"/>
    <x v="15"/>
    <x v="4"/>
    <n v="292"/>
    <n v="80"/>
    <n v="174.87"/>
    <x v="1"/>
    <d v="2024-08-03T00:00:00"/>
    <d v="2024-08-21T00:00:00"/>
    <x v="0"/>
    <x v="0"/>
    <n v="51062.04"/>
    <x v="0"/>
    <x v="0"/>
    <x v="0"/>
  </r>
  <r>
    <n v="62571"/>
    <x v="1"/>
    <x v="0"/>
    <n v="423"/>
    <n v="30"/>
    <n v="13.38"/>
    <x v="3"/>
    <d v="2024-06-04T00:00:00"/>
    <d v="2024-06-12T00:00:00"/>
    <x v="0"/>
    <x v="0"/>
    <n v="5659.7400000000007"/>
    <x v="0"/>
    <x v="0"/>
    <x v="0"/>
  </r>
  <r>
    <n v="82264"/>
    <x v="2"/>
    <x v="1"/>
    <n v="339"/>
    <n v="30"/>
    <n v="256.3"/>
    <x v="4"/>
    <d v="2024-12-11T00:00:00"/>
    <d v="2025-01-06T00:00:00"/>
    <x v="0"/>
    <x v="0"/>
    <n v="86885.7"/>
    <x v="0"/>
    <x v="0"/>
    <x v="0"/>
  </r>
  <r>
    <n v="16621"/>
    <x v="2"/>
    <x v="1"/>
    <n v="1"/>
    <n v="80"/>
    <n v="406.15"/>
    <x v="0"/>
    <d v="2024-09-11T00:00:00"/>
    <d v="2024-09-28T00:00:00"/>
    <x v="1"/>
    <x v="1"/>
    <n v="406.15"/>
    <x v="10"/>
    <x v="1"/>
    <x v="1"/>
  </r>
  <r>
    <n v="51232"/>
    <x v="15"/>
    <x v="4"/>
    <n v="186"/>
    <n v="30"/>
    <n v="172.6"/>
    <x v="2"/>
    <d v="2024-07-02T00:00:00"/>
    <d v="2024-07-21T00:00:00"/>
    <x v="1"/>
    <x v="0"/>
    <n v="32103.599999999999"/>
    <x v="0"/>
    <x v="0"/>
    <x v="0"/>
  </r>
  <r>
    <n v="65034"/>
    <x v="13"/>
    <x v="3"/>
    <n v="224"/>
    <n v="100"/>
    <n v="446.44"/>
    <x v="0"/>
    <d v="2024-01-16T00:00:00"/>
    <d v="2024-01-23T00:00:00"/>
    <x v="1"/>
    <x v="0"/>
    <n v="100002.56"/>
    <x v="0"/>
    <x v="1"/>
    <x v="0"/>
  </r>
  <r>
    <n v="51616"/>
    <x v="10"/>
    <x v="2"/>
    <n v="498"/>
    <n v="30"/>
    <n v="180.71"/>
    <x v="4"/>
    <d v="2024-01-22T00:00:00"/>
    <d v="2024-01-31T00:00:00"/>
    <x v="2"/>
    <x v="0"/>
    <n v="89993.58"/>
    <x v="0"/>
    <x v="0"/>
    <x v="0"/>
  </r>
  <r>
    <n v="72473"/>
    <x v="9"/>
    <x v="1"/>
    <n v="208"/>
    <n v="40"/>
    <n v="198.33"/>
    <x v="1"/>
    <d v="2024-08-24T00:00:00"/>
    <d v="2024-09-26T00:00:00"/>
    <x v="1"/>
    <x v="0"/>
    <n v="41252.639999999999"/>
    <x v="0"/>
    <x v="0"/>
    <x v="0"/>
  </r>
  <r>
    <n v="91863"/>
    <x v="1"/>
    <x v="0"/>
    <n v="241"/>
    <n v="20"/>
    <n v="210.27"/>
    <x v="3"/>
    <d v="2024-01-19T00:00:00"/>
    <d v="2024-02-15T00:00:00"/>
    <x v="0"/>
    <x v="0"/>
    <n v="50675.07"/>
    <x v="0"/>
    <x v="0"/>
    <x v="0"/>
  </r>
  <r>
    <n v="24620"/>
    <x v="14"/>
    <x v="4"/>
    <n v="27"/>
    <n v="40"/>
    <n v="442.46"/>
    <x v="2"/>
    <d v="2024-10-22T00:00:00"/>
    <d v="2024-11-14T00:00:00"/>
    <x v="1"/>
    <x v="1"/>
    <n v="11946.42"/>
    <x v="37"/>
    <x v="1"/>
    <x v="1"/>
  </r>
  <r>
    <n v="98456"/>
    <x v="11"/>
    <x v="4"/>
    <n v="395"/>
    <n v="20"/>
    <n v="410.32"/>
    <x v="1"/>
    <d v="2024-06-01T00:00:00"/>
    <d v="2024-06-09T00:00:00"/>
    <x v="1"/>
    <x v="0"/>
    <n v="162076.4"/>
    <x v="0"/>
    <x v="0"/>
    <x v="0"/>
  </r>
  <r>
    <n v="74264"/>
    <x v="15"/>
    <x v="4"/>
    <n v="159"/>
    <n v="50"/>
    <n v="473.59"/>
    <x v="4"/>
    <d v="2024-05-06T00:00:00"/>
    <d v="2024-06-11T00:00:00"/>
    <x v="0"/>
    <x v="0"/>
    <n v="75300.81"/>
    <x v="0"/>
    <x v="0"/>
    <x v="0"/>
  </r>
  <r>
    <n v="50028"/>
    <x v="5"/>
    <x v="2"/>
    <n v="399"/>
    <n v="50"/>
    <n v="271.01"/>
    <x v="2"/>
    <d v="2024-01-18T00:00:00"/>
    <d v="2024-02-04T00:00:00"/>
    <x v="0"/>
    <x v="0"/>
    <n v="108132.98999999999"/>
    <x v="0"/>
    <x v="0"/>
    <x v="0"/>
  </r>
  <r>
    <n v="91583"/>
    <x v="0"/>
    <x v="0"/>
    <n v="42"/>
    <n v="150"/>
    <n v="359.16"/>
    <x v="3"/>
    <d v="2024-02-03T00:00:00"/>
    <d v="2024-03-12T00:00:00"/>
    <x v="2"/>
    <x v="1"/>
    <n v="15084.720000000001"/>
    <x v="114"/>
    <x v="1"/>
    <x v="1"/>
  </r>
  <r>
    <n v="42161"/>
    <x v="7"/>
    <x v="3"/>
    <n v="365"/>
    <n v="50"/>
    <n v="471.69"/>
    <x v="2"/>
    <d v="2024-03-11T00:00:00"/>
    <d v="2024-03-22T00:00:00"/>
    <x v="1"/>
    <x v="0"/>
    <n v="172166.85"/>
    <x v="0"/>
    <x v="0"/>
    <x v="0"/>
  </r>
  <r>
    <n v="75781"/>
    <x v="8"/>
    <x v="1"/>
    <n v="400"/>
    <n v="50"/>
    <n v="369.35"/>
    <x v="4"/>
    <d v="2024-07-23T00:00:00"/>
    <d v="2024-08-20T00:00:00"/>
    <x v="1"/>
    <x v="0"/>
    <n v="147740"/>
    <x v="0"/>
    <x v="0"/>
    <x v="0"/>
  </r>
  <r>
    <n v="47371"/>
    <x v="0"/>
    <x v="0"/>
    <n v="444"/>
    <n v="100"/>
    <n v="129.07"/>
    <x v="0"/>
    <d v="2024-04-03T00:00:00"/>
    <d v="2024-05-07T00:00:00"/>
    <x v="2"/>
    <x v="0"/>
    <n v="57307.079999999994"/>
    <x v="0"/>
    <x v="0"/>
    <x v="0"/>
  </r>
  <r>
    <n v="41426"/>
    <x v="16"/>
    <x v="3"/>
    <n v="441"/>
    <n v="100"/>
    <n v="196.09"/>
    <x v="1"/>
    <d v="2024-06-30T00:00:00"/>
    <d v="2024-07-17T00:00:00"/>
    <x v="2"/>
    <x v="0"/>
    <n v="86475.69"/>
    <x v="0"/>
    <x v="0"/>
    <x v="0"/>
  </r>
  <r>
    <n v="23760"/>
    <x v="0"/>
    <x v="0"/>
    <n v="308"/>
    <n v="40"/>
    <n v="181.27"/>
    <x v="2"/>
    <d v="2024-01-04T00:00:00"/>
    <d v="2024-01-23T00:00:00"/>
    <x v="0"/>
    <x v="0"/>
    <n v="55831.16"/>
    <x v="0"/>
    <x v="0"/>
    <x v="0"/>
  </r>
  <r>
    <n v="68616"/>
    <x v="8"/>
    <x v="1"/>
    <n v="381"/>
    <n v="80"/>
    <n v="228.79"/>
    <x v="2"/>
    <d v="2024-07-23T00:00:00"/>
    <d v="2024-08-26T00:00:00"/>
    <x v="1"/>
    <x v="0"/>
    <n v="87168.989999999991"/>
    <x v="0"/>
    <x v="0"/>
    <x v="0"/>
  </r>
  <r>
    <n v="30325"/>
    <x v="6"/>
    <x v="3"/>
    <n v="84"/>
    <n v="100"/>
    <n v="359.24"/>
    <x v="2"/>
    <d v="2024-12-16T00:00:00"/>
    <d v="2025-01-08T00:00:00"/>
    <x v="2"/>
    <x v="1"/>
    <n v="30176.16"/>
    <x v="91"/>
    <x v="1"/>
    <x v="1"/>
  </r>
  <r>
    <n v="62485"/>
    <x v="15"/>
    <x v="4"/>
    <n v="338"/>
    <n v="50"/>
    <n v="305.63"/>
    <x v="0"/>
    <d v="2024-07-15T00:00:00"/>
    <d v="2024-07-24T00:00:00"/>
    <x v="0"/>
    <x v="0"/>
    <n v="103302.94"/>
    <x v="0"/>
    <x v="0"/>
    <x v="0"/>
  </r>
  <r>
    <n v="16023"/>
    <x v="9"/>
    <x v="1"/>
    <n v="121"/>
    <n v="80"/>
    <n v="128.94999999999999"/>
    <x v="1"/>
    <d v="2024-08-18T00:00:00"/>
    <d v="2024-09-08T00:00:00"/>
    <x v="2"/>
    <x v="0"/>
    <n v="15602.949999999999"/>
    <x v="0"/>
    <x v="1"/>
    <x v="0"/>
  </r>
  <r>
    <n v="23397"/>
    <x v="14"/>
    <x v="4"/>
    <n v="235"/>
    <n v="80"/>
    <n v="183.68"/>
    <x v="4"/>
    <d v="2024-06-01T00:00:00"/>
    <d v="2024-06-28T00:00:00"/>
    <x v="2"/>
    <x v="0"/>
    <n v="43164.800000000003"/>
    <x v="0"/>
    <x v="1"/>
    <x v="0"/>
  </r>
  <r>
    <n v="13846"/>
    <x v="10"/>
    <x v="2"/>
    <n v="366"/>
    <n v="50"/>
    <n v="89.2"/>
    <x v="3"/>
    <d v="2024-07-21T00:00:00"/>
    <d v="2024-08-18T00:00:00"/>
    <x v="0"/>
    <x v="0"/>
    <n v="32647.200000000001"/>
    <x v="0"/>
    <x v="0"/>
    <x v="0"/>
  </r>
  <r>
    <n v="31157"/>
    <x v="9"/>
    <x v="1"/>
    <n v="359"/>
    <n v="50"/>
    <n v="122.55"/>
    <x v="4"/>
    <d v="2024-02-15T00:00:00"/>
    <d v="2024-02-20T00:00:00"/>
    <x v="1"/>
    <x v="0"/>
    <n v="43995.45"/>
    <x v="0"/>
    <x v="0"/>
    <x v="0"/>
  </r>
  <r>
    <n v="16421"/>
    <x v="5"/>
    <x v="2"/>
    <n v="203"/>
    <n v="30"/>
    <n v="343.07"/>
    <x v="4"/>
    <d v="2024-10-06T00:00:00"/>
    <d v="2024-11-07T00:00:00"/>
    <x v="0"/>
    <x v="0"/>
    <n v="69643.209999999992"/>
    <x v="0"/>
    <x v="0"/>
    <x v="0"/>
  </r>
  <r>
    <n v="28130"/>
    <x v="1"/>
    <x v="0"/>
    <n v="317"/>
    <n v="40"/>
    <n v="372.68"/>
    <x v="3"/>
    <d v="2024-03-07T00:00:00"/>
    <d v="2024-04-07T00:00:00"/>
    <x v="0"/>
    <x v="0"/>
    <n v="118139.56"/>
    <x v="0"/>
    <x v="0"/>
    <x v="0"/>
  </r>
  <r>
    <n v="33267"/>
    <x v="16"/>
    <x v="3"/>
    <n v="32"/>
    <n v="40"/>
    <n v="89.86"/>
    <x v="3"/>
    <d v="2024-07-16T00:00:00"/>
    <d v="2024-08-04T00:00:00"/>
    <x v="1"/>
    <x v="1"/>
    <n v="2875.52"/>
    <x v="44"/>
    <x v="1"/>
    <x v="1"/>
  </r>
  <r>
    <n v="71854"/>
    <x v="9"/>
    <x v="1"/>
    <n v="240"/>
    <n v="150"/>
    <n v="452.99"/>
    <x v="3"/>
    <d v="2024-08-25T00:00:00"/>
    <d v="2024-09-27T00:00:00"/>
    <x v="2"/>
    <x v="0"/>
    <n v="108717.6"/>
    <x v="0"/>
    <x v="1"/>
    <x v="0"/>
  </r>
  <r>
    <n v="72239"/>
    <x v="11"/>
    <x v="4"/>
    <n v="261"/>
    <n v="50"/>
    <n v="441.19"/>
    <x v="1"/>
    <d v="2024-08-26T00:00:00"/>
    <d v="2024-09-29T00:00:00"/>
    <x v="1"/>
    <x v="0"/>
    <n v="115150.59"/>
    <x v="0"/>
    <x v="0"/>
    <x v="0"/>
  </r>
  <r>
    <n v="93017"/>
    <x v="16"/>
    <x v="3"/>
    <n v="68"/>
    <n v="80"/>
    <n v="340.3"/>
    <x v="3"/>
    <d v="2024-08-06T00:00:00"/>
    <d v="2024-08-14T00:00:00"/>
    <x v="1"/>
    <x v="1"/>
    <n v="23140.400000000001"/>
    <x v="50"/>
    <x v="1"/>
    <x v="1"/>
  </r>
  <r>
    <n v="18418"/>
    <x v="9"/>
    <x v="1"/>
    <n v="160"/>
    <n v="20"/>
    <n v="210.35"/>
    <x v="3"/>
    <d v="2024-09-14T00:00:00"/>
    <d v="2024-09-29T00:00:00"/>
    <x v="2"/>
    <x v="0"/>
    <n v="33656"/>
    <x v="0"/>
    <x v="0"/>
    <x v="0"/>
  </r>
  <r>
    <n v="15888"/>
    <x v="6"/>
    <x v="3"/>
    <n v="85"/>
    <n v="40"/>
    <n v="293.39"/>
    <x v="2"/>
    <d v="2024-12-24T00:00:00"/>
    <d v="2024-12-30T00:00:00"/>
    <x v="1"/>
    <x v="0"/>
    <n v="24938.149999999998"/>
    <x v="0"/>
    <x v="1"/>
    <x v="0"/>
  </r>
  <r>
    <n v="36691"/>
    <x v="12"/>
    <x v="0"/>
    <n v="251"/>
    <n v="80"/>
    <n v="30.89"/>
    <x v="0"/>
    <d v="2024-06-11T00:00:00"/>
    <d v="2024-06-23T00:00:00"/>
    <x v="1"/>
    <x v="0"/>
    <n v="7753.39"/>
    <x v="0"/>
    <x v="0"/>
    <x v="0"/>
  </r>
  <r>
    <n v="91499"/>
    <x v="14"/>
    <x v="4"/>
    <n v="441"/>
    <n v="20"/>
    <n v="59.44"/>
    <x v="1"/>
    <d v="2024-03-28T00:00:00"/>
    <d v="2024-04-06T00:00:00"/>
    <x v="2"/>
    <x v="0"/>
    <n v="26213.039999999997"/>
    <x v="0"/>
    <x v="0"/>
    <x v="0"/>
  </r>
  <r>
    <n v="47462"/>
    <x v="16"/>
    <x v="3"/>
    <n v="457"/>
    <n v="20"/>
    <n v="74.650000000000006"/>
    <x v="4"/>
    <d v="2024-07-14T00:00:00"/>
    <d v="2024-08-15T00:00:00"/>
    <x v="2"/>
    <x v="0"/>
    <n v="34115.050000000003"/>
    <x v="0"/>
    <x v="0"/>
    <x v="0"/>
  </r>
  <r>
    <n v="12792"/>
    <x v="11"/>
    <x v="4"/>
    <n v="358"/>
    <n v="50"/>
    <n v="94.25"/>
    <x v="4"/>
    <d v="2024-05-25T00:00:00"/>
    <d v="2024-06-14T00:00:00"/>
    <x v="0"/>
    <x v="0"/>
    <n v="33741.5"/>
    <x v="0"/>
    <x v="0"/>
    <x v="0"/>
  </r>
  <r>
    <n v="28243"/>
    <x v="2"/>
    <x v="1"/>
    <n v="7"/>
    <n v="50"/>
    <n v="63.98"/>
    <x v="2"/>
    <d v="2024-12-05T00:00:00"/>
    <d v="2024-12-27T00:00:00"/>
    <x v="2"/>
    <x v="1"/>
    <n v="447.85999999999996"/>
    <x v="94"/>
    <x v="1"/>
    <x v="1"/>
  </r>
  <r>
    <n v="16773"/>
    <x v="5"/>
    <x v="2"/>
    <n v="366"/>
    <n v="30"/>
    <n v="116.86"/>
    <x v="1"/>
    <d v="2024-02-04T00:00:00"/>
    <d v="2024-02-14T00:00:00"/>
    <x v="2"/>
    <x v="0"/>
    <n v="42770.76"/>
    <x v="0"/>
    <x v="0"/>
    <x v="0"/>
  </r>
  <r>
    <n v="99343"/>
    <x v="16"/>
    <x v="3"/>
    <n v="87"/>
    <n v="150"/>
    <n v="468.26"/>
    <x v="0"/>
    <d v="2024-05-12T00:00:00"/>
    <d v="2024-05-23T00:00:00"/>
    <x v="1"/>
    <x v="1"/>
    <n v="40738.620000000003"/>
    <x v="115"/>
    <x v="1"/>
    <x v="1"/>
  </r>
  <r>
    <n v="40875"/>
    <x v="16"/>
    <x v="3"/>
    <n v="34"/>
    <n v="30"/>
    <n v="406.99"/>
    <x v="2"/>
    <d v="2024-10-11T00:00:00"/>
    <d v="2024-10-17T00:00:00"/>
    <x v="0"/>
    <x v="0"/>
    <n v="13837.66"/>
    <x v="0"/>
    <x v="1"/>
    <x v="0"/>
  </r>
  <r>
    <n v="50533"/>
    <x v="5"/>
    <x v="2"/>
    <n v="373"/>
    <n v="30"/>
    <n v="245.04"/>
    <x v="4"/>
    <d v="2024-12-29T00:00:00"/>
    <d v="2025-02-05T00:00:00"/>
    <x v="2"/>
    <x v="0"/>
    <n v="91399.92"/>
    <x v="0"/>
    <x v="0"/>
    <x v="0"/>
  </r>
  <r>
    <n v="24538"/>
    <x v="16"/>
    <x v="3"/>
    <n v="457"/>
    <n v="30"/>
    <n v="33.299999999999997"/>
    <x v="2"/>
    <d v="2024-07-31T00:00:00"/>
    <d v="2024-08-17T00:00:00"/>
    <x v="2"/>
    <x v="0"/>
    <n v="15218.099999999999"/>
    <x v="0"/>
    <x v="0"/>
    <x v="0"/>
  </r>
  <r>
    <n v="54191"/>
    <x v="2"/>
    <x v="1"/>
    <n v="361"/>
    <n v="40"/>
    <n v="107.52"/>
    <x v="3"/>
    <d v="2024-06-09T00:00:00"/>
    <d v="2024-06-21T00:00:00"/>
    <x v="2"/>
    <x v="0"/>
    <n v="38814.720000000001"/>
    <x v="0"/>
    <x v="0"/>
    <x v="0"/>
  </r>
  <r>
    <n v="89946"/>
    <x v="15"/>
    <x v="4"/>
    <n v="105"/>
    <n v="150"/>
    <n v="59.62"/>
    <x v="1"/>
    <d v="2024-10-03T00:00:00"/>
    <d v="2024-11-08T00:00:00"/>
    <x v="2"/>
    <x v="1"/>
    <n v="6260.0999999999995"/>
    <x v="15"/>
    <x v="1"/>
    <x v="1"/>
  </r>
  <r>
    <n v="93247"/>
    <x v="5"/>
    <x v="2"/>
    <n v="481"/>
    <n v="80"/>
    <n v="490.9"/>
    <x v="0"/>
    <d v="2024-11-29T00:00:00"/>
    <d v="2024-12-28T00:00:00"/>
    <x v="0"/>
    <x v="0"/>
    <n v="236122.9"/>
    <x v="0"/>
    <x v="0"/>
    <x v="0"/>
  </r>
  <r>
    <n v="98232"/>
    <x v="7"/>
    <x v="3"/>
    <n v="165"/>
    <n v="150"/>
    <n v="469.49"/>
    <x v="1"/>
    <d v="2024-02-06T00:00:00"/>
    <d v="2024-02-16T00:00:00"/>
    <x v="0"/>
    <x v="0"/>
    <n v="77465.850000000006"/>
    <x v="0"/>
    <x v="1"/>
    <x v="0"/>
  </r>
  <r>
    <n v="34336"/>
    <x v="13"/>
    <x v="3"/>
    <n v="498"/>
    <n v="50"/>
    <n v="247.57"/>
    <x v="3"/>
    <d v="2024-05-21T00:00:00"/>
    <d v="2024-05-26T00:00:00"/>
    <x v="1"/>
    <x v="0"/>
    <n v="123289.86"/>
    <x v="0"/>
    <x v="0"/>
    <x v="0"/>
  </r>
  <r>
    <n v="36447"/>
    <x v="16"/>
    <x v="3"/>
    <n v="117"/>
    <n v="80"/>
    <n v="223.55"/>
    <x v="1"/>
    <d v="2024-05-15T00:00:00"/>
    <d v="2024-06-18T00:00:00"/>
    <x v="0"/>
    <x v="0"/>
    <n v="26155.350000000002"/>
    <x v="0"/>
    <x v="1"/>
    <x v="0"/>
  </r>
  <r>
    <n v="26945"/>
    <x v="15"/>
    <x v="4"/>
    <n v="428"/>
    <n v="40"/>
    <n v="28.44"/>
    <x v="3"/>
    <d v="2024-11-19T00:00:00"/>
    <d v="2024-12-12T00:00:00"/>
    <x v="2"/>
    <x v="0"/>
    <n v="12172.32"/>
    <x v="0"/>
    <x v="0"/>
    <x v="0"/>
  </r>
  <r>
    <n v="45449"/>
    <x v="10"/>
    <x v="2"/>
    <n v="478"/>
    <n v="50"/>
    <n v="243.82"/>
    <x v="1"/>
    <d v="2024-02-08T00:00:00"/>
    <d v="2024-02-19T00:00:00"/>
    <x v="1"/>
    <x v="0"/>
    <n v="116545.95999999999"/>
    <x v="0"/>
    <x v="0"/>
    <x v="0"/>
  </r>
  <r>
    <n v="28706"/>
    <x v="6"/>
    <x v="3"/>
    <n v="214"/>
    <n v="50"/>
    <n v="282.01"/>
    <x v="2"/>
    <d v="2024-01-25T00:00:00"/>
    <d v="2024-02-26T00:00:00"/>
    <x v="2"/>
    <x v="0"/>
    <n v="60350.14"/>
    <x v="0"/>
    <x v="0"/>
    <x v="0"/>
  </r>
  <r>
    <n v="37924"/>
    <x v="8"/>
    <x v="1"/>
    <n v="65"/>
    <n v="150"/>
    <n v="82.08"/>
    <x v="2"/>
    <d v="2024-05-25T00:00:00"/>
    <d v="2024-05-30T00:00:00"/>
    <x v="2"/>
    <x v="1"/>
    <n v="5335.2"/>
    <x v="81"/>
    <x v="1"/>
    <x v="1"/>
  </r>
  <r>
    <n v="82575"/>
    <x v="5"/>
    <x v="2"/>
    <n v="110"/>
    <n v="80"/>
    <n v="393.57"/>
    <x v="4"/>
    <d v="2024-06-06T00:00:00"/>
    <d v="2024-07-04T00:00:00"/>
    <x v="1"/>
    <x v="0"/>
    <n v="43292.7"/>
    <x v="0"/>
    <x v="1"/>
    <x v="0"/>
  </r>
  <r>
    <n v="10360"/>
    <x v="4"/>
    <x v="0"/>
    <n v="358"/>
    <n v="40"/>
    <n v="100.03"/>
    <x v="3"/>
    <d v="2024-06-12T00:00:00"/>
    <d v="2024-06-29T00:00:00"/>
    <x v="1"/>
    <x v="0"/>
    <n v="35810.74"/>
    <x v="0"/>
    <x v="0"/>
    <x v="0"/>
  </r>
  <r>
    <n v="80655"/>
    <x v="6"/>
    <x v="3"/>
    <n v="194"/>
    <n v="20"/>
    <n v="48.82"/>
    <x v="2"/>
    <d v="2024-08-08T00:00:00"/>
    <d v="2024-08-23T00:00:00"/>
    <x v="1"/>
    <x v="0"/>
    <n v="9471.08"/>
    <x v="0"/>
    <x v="0"/>
    <x v="0"/>
  </r>
  <r>
    <n v="45081"/>
    <x v="8"/>
    <x v="1"/>
    <n v="153"/>
    <n v="80"/>
    <n v="404"/>
    <x v="1"/>
    <d v="2024-01-31T00:00:00"/>
    <d v="2024-03-06T00:00:00"/>
    <x v="0"/>
    <x v="0"/>
    <n v="61812"/>
    <x v="0"/>
    <x v="1"/>
    <x v="0"/>
  </r>
  <r>
    <n v="22427"/>
    <x v="4"/>
    <x v="0"/>
    <n v="200"/>
    <n v="150"/>
    <n v="485.9"/>
    <x v="2"/>
    <d v="2024-03-30T00:00:00"/>
    <d v="2024-04-27T00:00:00"/>
    <x v="2"/>
    <x v="0"/>
    <n v="97180"/>
    <x v="0"/>
    <x v="1"/>
    <x v="0"/>
  </r>
  <r>
    <n v="83586"/>
    <x v="7"/>
    <x v="3"/>
    <n v="466"/>
    <n v="150"/>
    <n v="97.48"/>
    <x v="2"/>
    <d v="2024-12-17T00:00:00"/>
    <d v="2025-01-10T00:00:00"/>
    <x v="2"/>
    <x v="0"/>
    <n v="45425.68"/>
    <x v="0"/>
    <x v="0"/>
    <x v="0"/>
  </r>
  <r>
    <n v="51644"/>
    <x v="5"/>
    <x v="2"/>
    <n v="332"/>
    <n v="20"/>
    <n v="397.54"/>
    <x v="0"/>
    <d v="2024-01-16T00:00:00"/>
    <d v="2024-01-25T00:00:00"/>
    <x v="2"/>
    <x v="0"/>
    <n v="131983.28"/>
    <x v="0"/>
    <x v="0"/>
    <x v="0"/>
  </r>
  <r>
    <n v="13571"/>
    <x v="10"/>
    <x v="2"/>
    <n v="462"/>
    <n v="150"/>
    <n v="82.15"/>
    <x v="3"/>
    <d v="2024-03-03T00:00:00"/>
    <d v="2024-03-12T00:00:00"/>
    <x v="2"/>
    <x v="0"/>
    <n v="37953.300000000003"/>
    <x v="0"/>
    <x v="0"/>
    <x v="0"/>
  </r>
  <r>
    <n v="26972"/>
    <x v="9"/>
    <x v="1"/>
    <n v="494"/>
    <n v="50"/>
    <n v="21.43"/>
    <x v="3"/>
    <d v="2024-11-04T00:00:00"/>
    <d v="2024-12-01T00:00:00"/>
    <x v="0"/>
    <x v="0"/>
    <n v="10586.42"/>
    <x v="0"/>
    <x v="0"/>
    <x v="0"/>
  </r>
  <r>
    <n v="67602"/>
    <x v="13"/>
    <x v="3"/>
    <n v="353"/>
    <n v="30"/>
    <n v="392.58"/>
    <x v="2"/>
    <d v="2024-11-10T00:00:00"/>
    <d v="2024-11-23T00:00:00"/>
    <x v="1"/>
    <x v="0"/>
    <n v="138580.74"/>
    <x v="0"/>
    <x v="0"/>
    <x v="0"/>
  </r>
  <r>
    <n v="71483"/>
    <x v="13"/>
    <x v="3"/>
    <n v="467"/>
    <n v="50"/>
    <n v="419.94"/>
    <x v="3"/>
    <d v="2024-12-01T00:00:00"/>
    <d v="2024-12-30T00:00:00"/>
    <x v="2"/>
    <x v="0"/>
    <n v="196111.98"/>
    <x v="0"/>
    <x v="0"/>
    <x v="0"/>
  </r>
  <r>
    <n v="96113"/>
    <x v="5"/>
    <x v="2"/>
    <n v="274"/>
    <n v="100"/>
    <n v="5.27"/>
    <x v="3"/>
    <d v="2024-08-01T00:00:00"/>
    <d v="2024-08-20T00:00:00"/>
    <x v="2"/>
    <x v="0"/>
    <n v="1443.9799999999998"/>
    <x v="0"/>
    <x v="1"/>
    <x v="0"/>
  </r>
  <r>
    <n v="97097"/>
    <x v="2"/>
    <x v="1"/>
    <n v="478"/>
    <n v="50"/>
    <n v="181.29"/>
    <x v="1"/>
    <d v="2024-01-10T00:00:00"/>
    <d v="2024-02-04T00:00:00"/>
    <x v="1"/>
    <x v="0"/>
    <n v="86656.62"/>
    <x v="0"/>
    <x v="0"/>
    <x v="0"/>
  </r>
  <r>
    <n v="38564"/>
    <x v="6"/>
    <x v="3"/>
    <n v="426"/>
    <n v="40"/>
    <n v="272.13"/>
    <x v="3"/>
    <d v="2024-02-15T00:00:00"/>
    <d v="2024-02-20T00:00:00"/>
    <x v="0"/>
    <x v="0"/>
    <n v="115927.38"/>
    <x v="0"/>
    <x v="0"/>
    <x v="0"/>
  </r>
  <r>
    <n v="88579"/>
    <x v="8"/>
    <x v="1"/>
    <n v="277"/>
    <n v="100"/>
    <n v="350.33"/>
    <x v="2"/>
    <d v="2024-07-20T00:00:00"/>
    <d v="2024-08-08T00:00:00"/>
    <x v="0"/>
    <x v="0"/>
    <n v="97041.409999999989"/>
    <x v="0"/>
    <x v="1"/>
    <x v="0"/>
  </r>
  <r>
    <n v="61599"/>
    <x v="4"/>
    <x v="0"/>
    <n v="324"/>
    <n v="80"/>
    <n v="177.75"/>
    <x v="2"/>
    <d v="2024-06-01T00:00:00"/>
    <d v="2024-06-21T00:00:00"/>
    <x v="0"/>
    <x v="0"/>
    <n v="57591"/>
    <x v="0"/>
    <x v="0"/>
    <x v="0"/>
  </r>
  <r>
    <n v="64457"/>
    <x v="8"/>
    <x v="1"/>
    <n v="452"/>
    <n v="20"/>
    <n v="84.38"/>
    <x v="1"/>
    <d v="2024-08-27T00:00:00"/>
    <d v="2024-10-04T00:00:00"/>
    <x v="2"/>
    <x v="0"/>
    <n v="38139.759999999995"/>
    <x v="0"/>
    <x v="0"/>
    <x v="0"/>
  </r>
  <r>
    <n v="61331"/>
    <x v="16"/>
    <x v="3"/>
    <n v="143"/>
    <n v="40"/>
    <n v="85.33"/>
    <x v="3"/>
    <d v="2024-12-28T00:00:00"/>
    <d v="2025-01-18T00:00:00"/>
    <x v="1"/>
    <x v="0"/>
    <n v="12202.19"/>
    <x v="0"/>
    <x v="0"/>
    <x v="0"/>
  </r>
  <r>
    <n v="23936"/>
    <x v="8"/>
    <x v="1"/>
    <n v="333"/>
    <n v="40"/>
    <n v="295.12"/>
    <x v="2"/>
    <d v="2024-01-07T00:00:00"/>
    <d v="2024-01-21T00:00:00"/>
    <x v="1"/>
    <x v="0"/>
    <n v="98274.96"/>
    <x v="0"/>
    <x v="0"/>
    <x v="0"/>
  </r>
  <r>
    <n v="29112"/>
    <x v="5"/>
    <x v="2"/>
    <n v="240"/>
    <n v="100"/>
    <n v="14.91"/>
    <x v="1"/>
    <d v="2024-04-11T00:00:00"/>
    <d v="2024-04-27T00:00:00"/>
    <x v="1"/>
    <x v="0"/>
    <n v="3578.4"/>
    <x v="0"/>
    <x v="1"/>
    <x v="0"/>
  </r>
  <r>
    <n v="75729"/>
    <x v="14"/>
    <x v="4"/>
    <n v="464"/>
    <n v="80"/>
    <n v="295.2"/>
    <x v="3"/>
    <d v="2024-11-24T00:00:00"/>
    <d v="2024-12-04T00:00:00"/>
    <x v="1"/>
    <x v="0"/>
    <n v="136972.79999999999"/>
    <x v="0"/>
    <x v="0"/>
    <x v="0"/>
  </r>
  <r>
    <n v="82131"/>
    <x v="9"/>
    <x v="1"/>
    <n v="348"/>
    <n v="50"/>
    <n v="172.41"/>
    <x v="0"/>
    <d v="2024-10-08T00:00:00"/>
    <d v="2024-11-16T00:00:00"/>
    <x v="2"/>
    <x v="0"/>
    <n v="59998.68"/>
    <x v="0"/>
    <x v="0"/>
    <x v="0"/>
  </r>
  <r>
    <n v="32593"/>
    <x v="7"/>
    <x v="3"/>
    <n v="430"/>
    <n v="150"/>
    <n v="87.7"/>
    <x v="3"/>
    <d v="2024-02-11T00:00:00"/>
    <d v="2024-03-05T00:00:00"/>
    <x v="2"/>
    <x v="0"/>
    <n v="37711"/>
    <x v="0"/>
    <x v="1"/>
    <x v="0"/>
  </r>
  <r>
    <n v="15193"/>
    <x v="13"/>
    <x v="3"/>
    <n v="427"/>
    <n v="100"/>
    <n v="383.77"/>
    <x v="3"/>
    <d v="2024-04-06T00:00:00"/>
    <d v="2024-05-03T00:00:00"/>
    <x v="2"/>
    <x v="0"/>
    <n v="163869.78999999998"/>
    <x v="0"/>
    <x v="0"/>
    <x v="0"/>
  </r>
  <r>
    <n v="93408"/>
    <x v="12"/>
    <x v="0"/>
    <n v="291"/>
    <n v="20"/>
    <n v="288.11"/>
    <x v="1"/>
    <d v="2024-09-15T00:00:00"/>
    <d v="2024-10-03T00:00:00"/>
    <x v="1"/>
    <x v="0"/>
    <n v="83840.010000000009"/>
    <x v="0"/>
    <x v="0"/>
    <x v="0"/>
  </r>
  <r>
    <n v="86519"/>
    <x v="13"/>
    <x v="3"/>
    <n v="178"/>
    <n v="20"/>
    <n v="78.040000000000006"/>
    <x v="4"/>
    <d v="2024-08-14T00:00:00"/>
    <d v="2024-09-05T00:00:00"/>
    <x v="1"/>
    <x v="0"/>
    <n v="13891.12"/>
    <x v="0"/>
    <x v="0"/>
    <x v="0"/>
  </r>
  <r>
    <n v="23898"/>
    <x v="8"/>
    <x v="1"/>
    <n v="137"/>
    <n v="40"/>
    <n v="361.56"/>
    <x v="3"/>
    <d v="2024-11-18T00:00:00"/>
    <d v="2024-11-26T00:00:00"/>
    <x v="0"/>
    <x v="0"/>
    <n v="49533.72"/>
    <x v="0"/>
    <x v="0"/>
    <x v="0"/>
  </r>
  <r>
    <n v="53386"/>
    <x v="1"/>
    <x v="0"/>
    <n v="376"/>
    <n v="150"/>
    <n v="422.48"/>
    <x v="3"/>
    <d v="2024-07-21T00:00:00"/>
    <d v="2024-07-31T00:00:00"/>
    <x v="1"/>
    <x v="0"/>
    <n v="158852.48000000001"/>
    <x v="0"/>
    <x v="1"/>
    <x v="0"/>
  </r>
  <r>
    <n v="63812"/>
    <x v="7"/>
    <x v="3"/>
    <n v="149"/>
    <n v="80"/>
    <n v="317.79000000000002"/>
    <x v="1"/>
    <d v="2024-07-02T00:00:00"/>
    <d v="2024-08-04T00:00:00"/>
    <x v="2"/>
    <x v="0"/>
    <n v="47350.710000000006"/>
    <x v="0"/>
    <x v="1"/>
    <x v="0"/>
  </r>
  <r>
    <n v="13477"/>
    <x v="0"/>
    <x v="0"/>
    <n v="410"/>
    <n v="100"/>
    <n v="202.48"/>
    <x v="0"/>
    <d v="2024-12-26T00:00:00"/>
    <d v="2025-01-02T00:00:00"/>
    <x v="1"/>
    <x v="0"/>
    <n v="83016.800000000003"/>
    <x v="0"/>
    <x v="0"/>
    <x v="0"/>
  </r>
  <r>
    <n v="10185"/>
    <x v="10"/>
    <x v="2"/>
    <n v="257"/>
    <n v="40"/>
    <n v="398.21"/>
    <x v="1"/>
    <d v="2024-08-18T00:00:00"/>
    <d v="2024-09-24T00:00:00"/>
    <x v="1"/>
    <x v="0"/>
    <n v="102339.97"/>
    <x v="0"/>
    <x v="0"/>
    <x v="0"/>
  </r>
  <r>
    <n v="37655"/>
    <x v="5"/>
    <x v="2"/>
    <n v="486"/>
    <n v="150"/>
    <n v="280.62"/>
    <x v="0"/>
    <d v="2024-01-21T00:00:00"/>
    <d v="2024-02-09T00:00:00"/>
    <x v="1"/>
    <x v="0"/>
    <n v="136381.32"/>
    <x v="0"/>
    <x v="0"/>
    <x v="0"/>
  </r>
  <r>
    <n v="76865"/>
    <x v="4"/>
    <x v="0"/>
    <n v="376"/>
    <n v="30"/>
    <n v="181.07"/>
    <x v="4"/>
    <d v="2024-05-25T00:00:00"/>
    <d v="2024-06-17T00:00:00"/>
    <x v="1"/>
    <x v="0"/>
    <n v="68082.319999999992"/>
    <x v="0"/>
    <x v="0"/>
    <x v="0"/>
  </r>
  <r>
    <n v="33459"/>
    <x v="1"/>
    <x v="0"/>
    <n v="225"/>
    <n v="40"/>
    <n v="307.66000000000003"/>
    <x v="1"/>
    <d v="2024-08-03T00:00:00"/>
    <d v="2024-08-11T00:00:00"/>
    <x v="2"/>
    <x v="0"/>
    <n v="69223.5"/>
    <x v="0"/>
    <x v="0"/>
    <x v="0"/>
  </r>
  <r>
    <n v="18912"/>
    <x v="8"/>
    <x v="1"/>
    <n v="66"/>
    <n v="100"/>
    <n v="299.77"/>
    <x v="0"/>
    <d v="2024-10-03T00:00:00"/>
    <d v="2024-10-15T00:00:00"/>
    <x v="1"/>
    <x v="1"/>
    <n v="19784.82"/>
    <x v="38"/>
    <x v="1"/>
    <x v="1"/>
  </r>
  <r>
    <n v="62716"/>
    <x v="2"/>
    <x v="1"/>
    <n v="307"/>
    <n v="100"/>
    <n v="83.03"/>
    <x v="3"/>
    <d v="2024-06-14T00:00:00"/>
    <d v="2024-07-08T00:00:00"/>
    <x v="2"/>
    <x v="0"/>
    <n v="25490.21"/>
    <x v="0"/>
    <x v="0"/>
    <x v="0"/>
  </r>
  <r>
    <n v="49177"/>
    <x v="10"/>
    <x v="2"/>
    <n v="66"/>
    <n v="30"/>
    <n v="10.55"/>
    <x v="3"/>
    <d v="2024-06-03T00:00:00"/>
    <d v="2024-07-09T00:00:00"/>
    <x v="2"/>
    <x v="0"/>
    <n v="696.30000000000007"/>
    <x v="0"/>
    <x v="1"/>
    <x v="0"/>
  </r>
  <r>
    <n v="25070"/>
    <x v="2"/>
    <x v="1"/>
    <n v="422"/>
    <n v="150"/>
    <n v="119.48"/>
    <x v="1"/>
    <d v="2024-11-23T00:00:00"/>
    <d v="2024-12-22T00:00:00"/>
    <x v="0"/>
    <x v="0"/>
    <n v="50420.560000000005"/>
    <x v="0"/>
    <x v="1"/>
    <x v="0"/>
  </r>
  <r>
    <n v="51912"/>
    <x v="1"/>
    <x v="0"/>
    <n v="283"/>
    <n v="20"/>
    <n v="191.63"/>
    <x v="4"/>
    <d v="2024-10-26T00:00:00"/>
    <d v="2024-11-22T00:00:00"/>
    <x v="2"/>
    <x v="0"/>
    <n v="54231.29"/>
    <x v="0"/>
    <x v="0"/>
    <x v="0"/>
  </r>
  <r>
    <n v="58505"/>
    <x v="14"/>
    <x v="4"/>
    <n v="464"/>
    <n v="150"/>
    <n v="396.49"/>
    <x v="2"/>
    <d v="2024-04-26T00:00:00"/>
    <d v="2024-05-10T00:00:00"/>
    <x v="1"/>
    <x v="0"/>
    <n v="183971.36000000002"/>
    <x v="0"/>
    <x v="0"/>
    <x v="0"/>
  </r>
  <r>
    <n v="43292"/>
    <x v="11"/>
    <x v="4"/>
    <n v="368"/>
    <n v="30"/>
    <n v="441.72"/>
    <x v="3"/>
    <d v="2024-12-13T00:00:00"/>
    <d v="2025-01-14T00:00:00"/>
    <x v="2"/>
    <x v="0"/>
    <n v="162552.96000000002"/>
    <x v="0"/>
    <x v="0"/>
    <x v="0"/>
  </r>
  <r>
    <n v="22987"/>
    <x v="2"/>
    <x v="1"/>
    <n v="248"/>
    <n v="150"/>
    <n v="362.71"/>
    <x v="1"/>
    <d v="2024-09-20T00:00:00"/>
    <d v="2024-10-03T00:00:00"/>
    <x v="1"/>
    <x v="0"/>
    <n v="89952.08"/>
    <x v="0"/>
    <x v="1"/>
    <x v="0"/>
  </r>
  <r>
    <n v="64510"/>
    <x v="3"/>
    <x v="2"/>
    <n v="456"/>
    <n v="80"/>
    <n v="99.38"/>
    <x v="4"/>
    <d v="2024-02-21T00:00:00"/>
    <d v="2024-03-04T00:00:00"/>
    <x v="1"/>
    <x v="0"/>
    <n v="45317.279999999999"/>
    <x v="0"/>
    <x v="0"/>
    <x v="0"/>
  </r>
  <r>
    <n v="17213"/>
    <x v="16"/>
    <x v="3"/>
    <n v="236"/>
    <n v="150"/>
    <n v="445.25"/>
    <x v="1"/>
    <d v="2024-02-26T00:00:00"/>
    <d v="2024-03-20T00:00:00"/>
    <x v="0"/>
    <x v="0"/>
    <n v="105079"/>
    <x v="0"/>
    <x v="1"/>
    <x v="0"/>
  </r>
  <r>
    <n v="33368"/>
    <x v="7"/>
    <x v="3"/>
    <n v="401"/>
    <n v="50"/>
    <n v="192.67"/>
    <x v="3"/>
    <d v="2024-03-02T00:00:00"/>
    <d v="2024-03-17T00:00:00"/>
    <x v="1"/>
    <x v="0"/>
    <n v="77260.67"/>
    <x v="0"/>
    <x v="0"/>
    <x v="0"/>
  </r>
  <r>
    <n v="19223"/>
    <x v="9"/>
    <x v="1"/>
    <n v="264"/>
    <n v="50"/>
    <n v="235.26"/>
    <x v="1"/>
    <d v="2024-06-14T00:00:00"/>
    <d v="2024-07-16T00:00:00"/>
    <x v="0"/>
    <x v="0"/>
    <n v="62108.639999999999"/>
    <x v="0"/>
    <x v="0"/>
    <x v="0"/>
  </r>
  <r>
    <n v="82002"/>
    <x v="0"/>
    <x v="0"/>
    <n v="49"/>
    <n v="40"/>
    <n v="8.2100000000000009"/>
    <x v="4"/>
    <d v="2024-07-06T00:00:00"/>
    <d v="2024-07-18T00:00:00"/>
    <x v="2"/>
    <x v="0"/>
    <n v="402.29"/>
    <x v="0"/>
    <x v="1"/>
    <x v="0"/>
  </r>
  <r>
    <n v="13346"/>
    <x v="10"/>
    <x v="2"/>
    <n v="227"/>
    <n v="80"/>
    <n v="399.79"/>
    <x v="2"/>
    <d v="2024-03-03T00:00:00"/>
    <d v="2024-03-22T00:00:00"/>
    <x v="2"/>
    <x v="0"/>
    <n v="90752.33"/>
    <x v="0"/>
    <x v="1"/>
    <x v="0"/>
  </r>
  <r>
    <n v="55039"/>
    <x v="1"/>
    <x v="0"/>
    <n v="200"/>
    <n v="50"/>
    <n v="51.16"/>
    <x v="2"/>
    <d v="2024-05-09T00:00:00"/>
    <d v="2024-06-04T00:00:00"/>
    <x v="0"/>
    <x v="0"/>
    <n v="10232"/>
    <x v="0"/>
    <x v="0"/>
    <x v="0"/>
  </r>
  <r>
    <n v="54700"/>
    <x v="11"/>
    <x v="4"/>
    <n v="167"/>
    <n v="80"/>
    <n v="300.56"/>
    <x v="3"/>
    <d v="2024-07-30T00:00:00"/>
    <d v="2024-08-31T00:00:00"/>
    <x v="0"/>
    <x v="0"/>
    <n v="50193.52"/>
    <x v="0"/>
    <x v="1"/>
    <x v="0"/>
  </r>
  <r>
    <n v="84683"/>
    <x v="11"/>
    <x v="4"/>
    <n v="325"/>
    <n v="150"/>
    <n v="156.88"/>
    <x v="2"/>
    <d v="2024-07-20T00:00:00"/>
    <d v="2024-07-25T00:00:00"/>
    <x v="1"/>
    <x v="0"/>
    <n v="50986"/>
    <x v="0"/>
    <x v="1"/>
    <x v="0"/>
  </r>
  <r>
    <n v="23188"/>
    <x v="16"/>
    <x v="3"/>
    <n v="323"/>
    <n v="80"/>
    <n v="460.4"/>
    <x v="2"/>
    <d v="2024-02-13T00:00:00"/>
    <d v="2024-03-01T00:00:00"/>
    <x v="2"/>
    <x v="0"/>
    <n v="148709.19999999998"/>
    <x v="0"/>
    <x v="0"/>
    <x v="0"/>
  </r>
  <r>
    <n v="48082"/>
    <x v="14"/>
    <x v="4"/>
    <n v="262"/>
    <n v="100"/>
    <n v="464.77"/>
    <x v="3"/>
    <d v="2024-08-07T00:00:00"/>
    <d v="2024-08-21T00:00:00"/>
    <x v="1"/>
    <x v="0"/>
    <n v="121769.73999999999"/>
    <x v="0"/>
    <x v="1"/>
    <x v="0"/>
  </r>
  <r>
    <n v="54514"/>
    <x v="5"/>
    <x v="2"/>
    <n v="60"/>
    <n v="100"/>
    <n v="437.58"/>
    <x v="4"/>
    <d v="2024-04-20T00:00:00"/>
    <d v="2024-04-27T00:00:00"/>
    <x v="2"/>
    <x v="1"/>
    <n v="26254.799999999999"/>
    <x v="9"/>
    <x v="1"/>
    <x v="1"/>
  </r>
  <r>
    <n v="11833"/>
    <x v="9"/>
    <x v="1"/>
    <n v="264"/>
    <n v="50"/>
    <n v="398.34"/>
    <x v="3"/>
    <d v="2024-08-06T00:00:00"/>
    <d v="2024-08-28T00:00:00"/>
    <x v="2"/>
    <x v="0"/>
    <n v="105161.76"/>
    <x v="0"/>
    <x v="0"/>
    <x v="0"/>
  </r>
  <r>
    <n v="19940"/>
    <x v="8"/>
    <x v="1"/>
    <n v="233"/>
    <n v="20"/>
    <n v="430.84"/>
    <x v="1"/>
    <d v="2024-08-02T00:00:00"/>
    <d v="2024-09-08T00:00:00"/>
    <x v="0"/>
    <x v="0"/>
    <n v="100385.72"/>
    <x v="0"/>
    <x v="0"/>
    <x v="0"/>
  </r>
  <r>
    <n v="10530"/>
    <x v="15"/>
    <x v="4"/>
    <n v="43"/>
    <n v="40"/>
    <n v="37.4"/>
    <x v="0"/>
    <d v="2024-09-05T00:00:00"/>
    <d v="2024-09-11T00:00:00"/>
    <x v="0"/>
    <x v="0"/>
    <n v="1608.2"/>
    <x v="0"/>
    <x v="1"/>
    <x v="0"/>
  </r>
  <r>
    <n v="68642"/>
    <x v="2"/>
    <x v="1"/>
    <n v="495"/>
    <n v="40"/>
    <n v="104.76"/>
    <x v="1"/>
    <d v="2024-08-09T00:00:00"/>
    <d v="2024-08-23T00:00:00"/>
    <x v="0"/>
    <x v="0"/>
    <n v="51856.200000000004"/>
    <x v="0"/>
    <x v="0"/>
    <x v="0"/>
  </r>
  <r>
    <n v="99937"/>
    <x v="11"/>
    <x v="4"/>
    <n v="94"/>
    <n v="80"/>
    <n v="342.08"/>
    <x v="3"/>
    <d v="2024-02-26T00:00:00"/>
    <d v="2024-03-30T00:00:00"/>
    <x v="1"/>
    <x v="0"/>
    <n v="32155.519999999997"/>
    <x v="0"/>
    <x v="1"/>
    <x v="0"/>
  </r>
  <r>
    <n v="11929"/>
    <x v="10"/>
    <x v="2"/>
    <n v="454"/>
    <n v="30"/>
    <n v="217.03"/>
    <x v="1"/>
    <d v="2024-02-26T00:00:00"/>
    <d v="2024-03-29T00:00:00"/>
    <x v="1"/>
    <x v="0"/>
    <n v="98531.62"/>
    <x v="0"/>
    <x v="0"/>
    <x v="0"/>
  </r>
  <r>
    <n v="91243"/>
    <x v="6"/>
    <x v="3"/>
    <n v="420"/>
    <n v="50"/>
    <n v="360.55"/>
    <x v="4"/>
    <d v="2024-12-30T00:00:00"/>
    <d v="2025-01-22T00:00:00"/>
    <x v="0"/>
    <x v="0"/>
    <n v="151431"/>
    <x v="0"/>
    <x v="0"/>
    <x v="0"/>
  </r>
  <r>
    <n v="43577"/>
    <x v="6"/>
    <x v="3"/>
    <n v="292"/>
    <n v="80"/>
    <n v="206.59"/>
    <x v="3"/>
    <d v="2024-08-07T00:00:00"/>
    <d v="2024-08-30T00:00:00"/>
    <x v="1"/>
    <x v="0"/>
    <n v="60324.28"/>
    <x v="0"/>
    <x v="0"/>
    <x v="0"/>
  </r>
  <r>
    <n v="44001"/>
    <x v="1"/>
    <x v="0"/>
    <n v="387"/>
    <n v="20"/>
    <n v="106.23"/>
    <x v="0"/>
    <d v="2024-02-18T00:00:00"/>
    <d v="2024-03-18T00:00:00"/>
    <x v="0"/>
    <x v="0"/>
    <n v="41111.01"/>
    <x v="0"/>
    <x v="0"/>
    <x v="0"/>
  </r>
  <r>
    <n v="79498"/>
    <x v="0"/>
    <x v="0"/>
    <n v="354"/>
    <n v="20"/>
    <n v="122.34"/>
    <x v="3"/>
    <d v="2024-09-20T00:00:00"/>
    <d v="2024-10-12T00:00:00"/>
    <x v="0"/>
    <x v="0"/>
    <n v="43308.36"/>
    <x v="0"/>
    <x v="0"/>
    <x v="0"/>
  </r>
  <r>
    <n v="35090"/>
    <x v="1"/>
    <x v="0"/>
    <n v="348"/>
    <n v="20"/>
    <n v="191.3"/>
    <x v="1"/>
    <d v="2024-06-21T00:00:00"/>
    <d v="2024-06-26T00:00:00"/>
    <x v="0"/>
    <x v="0"/>
    <n v="66572.400000000009"/>
    <x v="0"/>
    <x v="0"/>
    <x v="0"/>
  </r>
  <r>
    <n v="60374"/>
    <x v="1"/>
    <x v="0"/>
    <n v="158"/>
    <n v="100"/>
    <n v="76.41"/>
    <x v="0"/>
    <d v="2024-07-27T00:00:00"/>
    <d v="2024-08-10T00:00:00"/>
    <x v="2"/>
    <x v="0"/>
    <n v="12072.779999999999"/>
    <x v="0"/>
    <x v="1"/>
    <x v="0"/>
  </r>
  <r>
    <n v="11927"/>
    <x v="3"/>
    <x v="2"/>
    <n v="392"/>
    <n v="100"/>
    <n v="327.13"/>
    <x v="3"/>
    <d v="2024-01-09T00:00:00"/>
    <d v="2024-02-06T00:00:00"/>
    <x v="2"/>
    <x v="0"/>
    <n v="128234.95999999999"/>
    <x v="0"/>
    <x v="0"/>
    <x v="0"/>
  </r>
  <r>
    <n v="25007"/>
    <x v="11"/>
    <x v="4"/>
    <n v="372"/>
    <n v="40"/>
    <n v="297.27"/>
    <x v="4"/>
    <d v="2024-05-13T00:00:00"/>
    <d v="2024-05-23T00:00:00"/>
    <x v="1"/>
    <x v="0"/>
    <n v="110584.43999999999"/>
    <x v="0"/>
    <x v="0"/>
    <x v="0"/>
  </r>
  <r>
    <n v="40497"/>
    <x v="10"/>
    <x v="2"/>
    <n v="183"/>
    <n v="40"/>
    <n v="277.02999999999997"/>
    <x v="2"/>
    <d v="2024-12-02T00:00:00"/>
    <d v="2024-12-09T00:00:00"/>
    <x v="2"/>
    <x v="0"/>
    <n v="50696.49"/>
    <x v="0"/>
    <x v="0"/>
    <x v="0"/>
  </r>
  <r>
    <n v="89925"/>
    <x v="15"/>
    <x v="4"/>
    <n v="367"/>
    <n v="40"/>
    <n v="304.49"/>
    <x v="3"/>
    <d v="2024-09-30T00:00:00"/>
    <d v="2024-10-31T00:00:00"/>
    <x v="0"/>
    <x v="0"/>
    <n v="111747.83"/>
    <x v="0"/>
    <x v="0"/>
    <x v="0"/>
  </r>
  <r>
    <n v="90642"/>
    <x v="3"/>
    <x v="2"/>
    <n v="417"/>
    <n v="20"/>
    <n v="469.66"/>
    <x v="3"/>
    <d v="2024-06-24T00:00:00"/>
    <d v="2024-07-16T00:00:00"/>
    <x v="2"/>
    <x v="0"/>
    <n v="195848.22"/>
    <x v="0"/>
    <x v="0"/>
    <x v="0"/>
  </r>
  <r>
    <n v="85348"/>
    <x v="5"/>
    <x v="2"/>
    <n v="370"/>
    <n v="40"/>
    <n v="277.08999999999997"/>
    <x v="2"/>
    <d v="2024-07-15T00:00:00"/>
    <d v="2024-07-28T00:00:00"/>
    <x v="2"/>
    <x v="0"/>
    <n v="102523.29999999999"/>
    <x v="0"/>
    <x v="0"/>
    <x v="0"/>
  </r>
  <r>
    <n v="69337"/>
    <x v="1"/>
    <x v="0"/>
    <n v="215"/>
    <n v="50"/>
    <n v="14.76"/>
    <x v="1"/>
    <d v="2024-02-03T00:00:00"/>
    <d v="2024-02-27T00:00:00"/>
    <x v="1"/>
    <x v="0"/>
    <n v="3173.4"/>
    <x v="0"/>
    <x v="0"/>
    <x v="0"/>
  </r>
  <r>
    <n v="79550"/>
    <x v="11"/>
    <x v="4"/>
    <n v="413"/>
    <n v="40"/>
    <n v="384.92"/>
    <x v="2"/>
    <d v="2024-04-16T00:00:00"/>
    <d v="2024-04-27T00:00:00"/>
    <x v="0"/>
    <x v="0"/>
    <n v="158971.96000000002"/>
    <x v="0"/>
    <x v="0"/>
    <x v="0"/>
  </r>
  <r>
    <n v="97350"/>
    <x v="3"/>
    <x v="2"/>
    <n v="301"/>
    <n v="50"/>
    <n v="380.75"/>
    <x v="0"/>
    <d v="2024-07-24T00:00:00"/>
    <d v="2024-08-05T00:00:00"/>
    <x v="2"/>
    <x v="0"/>
    <n v="114605.75"/>
    <x v="0"/>
    <x v="0"/>
    <x v="0"/>
  </r>
  <r>
    <n v="88764"/>
    <x v="2"/>
    <x v="1"/>
    <n v="78"/>
    <n v="80"/>
    <n v="132.26"/>
    <x v="1"/>
    <d v="2024-02-19T00:00:00"/>
    <d v="2024-03-25T00:00:00"/>
    <x v="2"/>
    <x v="1"/>
    <n v="10316.279999999999"/>
    <x v="6"/>
    <x v="1"/>
    <x v="1"/>
  </r>
  <r>
    <n v="55652"/>
    <x v="12"/>
    <x v="0"/>
    <n v="103"/>
    <n v="150"/>
    <n v="238.43"/>
    <x v="3"/>
    <d v="2024-06-05T00:00:00"/>
    <d v="2024-07-06T00:00:00"/>
    <x v="1"/>
    <x v="1"/>
    <n v="24558.29"/>
    <x v="83"/>
    <x v="1"/>
    <x v="1"/>
  </r>
  <r>
    <n v="24328"/>
    <x v="15"/>
    <x v="4"/>
    <n v="215"/>
    <n v="20"/>
    <n v="231.12"/>
    <x v="0"/>
    <d v="2024-12-21T00:00:00"/>
    <d v="2025-01-05T00:00:00"/>
    <x v="1"/>
    <x v="0"/>
    <n v="49690.8"/>
    <x v="0"/>
    <x v="0"/>
    <x v="0"/>
  </r>
  <r>
    <n v="78917"/>
    <x v="9"/>
    <x v="1"/>
    <n v="419"/>
    <n v="20"/>
    <n v="329.06"/>
    <x v="3"/>
    <d v="2024-09-23T00:00:00"/>
    <d v="2024-10-13T00:00:00"/>
    <x v="2"/>
    <x v="0"/>
    <n v="137876.14000000001"/>
    <x v="0"/>
    <x v="0"/>
    <x v="0"/>
  </r>
  <r>
    <n v="66843"/>
    <x v="14"/>
    <x v="4"/>
    <n v="303"/>
    <n v="50"/>
    <n v="72.430000000000007"/>
    <x v="4"/>
    <d v="2024-01-07T00:00:00"/>
    <d v="2024-01-25T00:00:00"/>
    <x v="0"/>
    <x v="0"/>
    <n v="21946.29"/>
    <x v="0"/>
    <x v="0"/>
    <x v="0"/>
  </r>
  <r>
    <n v="80679"/>
    <x v="4"/>
    <x v="0"/>
    <n v="310"/>
    <n v="30"/>
    <n v="52.86"/>
    <x v="3"/>
    <d v="2024-04-06T00:00:00"/>
    <d v="2024-05-10T00:00:00"/>
    <x v="1"/>
    <x v="0"/>
    <n v="16386.599999999999"/>
    <x v="0"/>
    <x v="0"/>
    <x v="0"/>
  </r>
  <r>
    <n v="36081"/>
    <x v="15"/>
    <x v="4"/>
    <n v="149"/>
    <n v="100"/>
    <n v="498.4"/>
    <x v="1"/>
    <d v="2024-02-19T00:00:00"/>
    <d v="2024-03-10T00:00:00"/>
    <x v="1"/>
    <x v="0"/>
    <n v="74261.599999999991"/>
    <x v="0"/>
    <x v="1"/>
    <x v="0"/>
  </r>
  <r>
    <n v="25330"/>
    <x v="9"/>
    <x v="1"/>
    <n v="334"/>
    <n v="50"/>
    <n v="165.79"/>
    <x v="3"/>
    <d v="2024-12-01T00:00:00"/>
    <d v="2024-12-31T00:00:00"/>
    <x v="1"/>
    <x v="0"/>
    <n v="55373.86"/>
    <x v="0"/>
    <x v="0"/>
    <x v="0"/>
  </r>
  <r>
    <n v="65810"/>
    <x v="15"/>
    <x v="4"/>
    <n v="184"/>
    <n v="50"/>
    <n v="467.87"/>
    <x v="0"/>
    <d v="2024-04-05T00:00:00"/>
    <d v="2024-05-08T00:00:00"/>
    <x v="2"/>
    <x v="0"/>
    <n v="86088.08"/>
    <x v="0"/>
    <x v="0"/>
    <x v="0"/>
  </r>
  <r>
    <n v="16405"/>
    <x v="10"/>
    <x v="2"/>
    <n v="356"/>
    <n v="50"/>
    <n v="249.52"/>
    <x v="0"/>
    <d v="2024-11-25T00:00:00"/>
    <d v="2024-12-21T00:00:00"/>
    <x v="2"/>
    <x v="0"/>
    <n v="88829.12000000001"/>
    <x v="0"/>
    <x v="0"/>
    <x v="0"/>
  </r>
  <r>
    <n v="25860"/>
    <x v="1"/>
    <x v="0"/>
    <n v="190"/>
    <n v="20"/>
    <n v="159.09"/>
    <x v="1"/>
    <d v="2024-03-28T00:00:00"/>
    <d v="2024-04-13T00:00:00"/>
    <x v="0"/>
    <x v="0"/>
    <n v="30227.100000000002"/>
    <x v="0"/>
    <x v="0"/>
    <x v="0"/>
  </r>
  <r>
    <n v="51705"/>
    <x v="1"/>
    <x v="0"/>
    <n v="432"/>
    <n v="20"/>
    <n v="341.44"/>
    <x v="0"/>
    <d v="2024-01-18T00:00:00"/>
    <d v="2024-02-24T00:00:00"/>
    <x v="2"/>
    <x v="0"/>
    <n v="147502.07999999999"/>
    <x v="0"/>
    <x v="0"/>
    <x v="0"/>
  </r>
  <r>
    <n v="97787"/>
    <x v="2"/>
    <x v="1"/>
    <n v="343"/>
    <n v="100"/>
    <n v="431.53"/>
    <x v="0"/>
    <d v="2024-03-27T00:00:00"/>
    <d v="2024-04-05T00:00:00"/>
    <x v="2"/>
    <x v="0"/>
    <n v="148014.78999999998"/>
    <x v="0"/>
    <x v="0"/>
    <x v="0"/>
  </r>
  <r>
    <n v="44121"/>
    <x v="0"/>
    <x v="0"/>
    <n v="38"/>
    <n v="100"/>
    <n v="41.12"/>
    <x v="2"/>
    <d v="2024-08-24T00:00:00"/>
    <d v="2024-09-01T00:00:00"/>
    <x v="0"/>
    <x v="1"/>
    <n v="1562.56"/>
    <x v="57"/>
    <x v="1"/>
    <x v="1"/>
  </r>
  <r>
    <n v="90252"/>
    <x v="7"/>
    <x v="3"/>
    <n v="486"/>
    <n v="80"/>
    <n v="446.48"/>
    <x v="4"/>
    <d v="2024-08-06T00:00:00"/>
    <d v="2024-08-27T00:00:00"/>
    <x v="1"/>
    <x v="0"/>
    <n v="216989.28"/>
    <x v="0"/>
    <x v="0"/>
    <x v="0"/>
  </r>
  <r>
    <n v="39046"/>
    <x v="3"/>
    <x v="2"/>
    <n v="403"/>
    <n v="100"/>
    <n v="467.28"/>
    <x v="3"/>
    <d v="2024-10-26T00:00:00"/>
    <d v="2024-11-23T00:00:00"/>
    <x v="1"/>
    <x v="0"/>
    <n v="188313.84"/>
    <x v="0"/>
    <x v="0"/>
    <x v="0"/>
  </r>
  <r>
    <n v="69469"/>
    <x v="5"/>
    <x v="2"/>
    <n v="234"/>
    <n v="30"/>
    <n v="142.94999999999999"/>
    <x v="3"/>
    <d v="2024-07-04T00:00:00"/>
    <d v="2024-07-21T00:00:00"/>
    <x v="2"/>
    <x v="0"/>
    <n v="33450.299999999996"/>
    <x v="0"/>
    <x v="0"/>
    <x v="0"/>
  </r>
  <r>
    <n v="18727"/>
    <x v="15"/>
    <x v="4"/>
    <n v="104"/>
    <n v="150"/>
    <n v="119.16"/>
    <x v="4"/>
    <d v="2024-07-29T00:00:00"/>
    <d v="2024-08-11T00:00:00"/>
    <x v="2"/>
    <x v="1"/>
    <n v="12392.64"/>
    <x v="4"/>
    <x v="1"/>
    <x v="1"/>
  </r>
  <r>
    <n v="15635"/>
    <x v="10"/>
    <x v="2"/>
    <n v="457"/>
    <n v="40"/>
    <n v="492.75"/>
    <x v="2"/>
    <d v="2024-07-24T00:00:00"/>
    <d v="2024-08-17T00:00:00"/>
    <x v="2"/>
    <x v="0"/>
    <n v="225186.75"/>
    <x v="0"/>
    <x v="0"/>
    <x v="0"/>
  </r>
  <r>
    <n v="21403"/>
    <x v="13"/>
    <x v="3"/>
    <n v="223"/>
    <n v="100"/>
    <n v="454.08"/>
    <x v="0"/>
    <d v="2024-07-16T00:00:00"/>
    <d v="2024-08-03T00:00:00"/>
    <x v="2"/>
    <x v="0"/>
    <n v="101259.84"/>
    <x v="0"/>
    <x v="1"/>
    <x v="0"/>
  </r>
  <r>
    <n v="52898"/>
    <x v="11"/>
    <x v="4"/>
    <n v="143"/>
    <n v="50"/>
    <n v="9.7799999999999994"/>
    <x v="3"/>
    <d v="2024-10-27T00:00:00"/>
    <d v="2024-11-29T00:00:00"/>
    <x v="1"/>
    <x v="0"/>
    <n v="1398.54"/>
    <x v="0"/>
    <x v="1"/>
    <x v="0"/>
  </r>
  <r>
    <n v="68204"/>
    <x v="0"/>
    <x v="0"/>
    <n v="122"/>
    <n v="50"/>
    <n v="376.29"/>
    <x v="1"/>
    <d v="2024-01-17T00:00:00"/>
    <d v="2024-02-03T00:00:00"/>
    <x v="1"/>
    <x v="0"/>
    <n v="45907.380000000005"/>
    <x v="0"/>
    <x v="1"/>
    <x v="0"/>
  </r>
  <r>
    <n v="14334"/>
    <x v="8"/>
    <x v="1"/>
    <n v="36"/>
    <n v="150"/>
    <n v="283.22000000000003"/>
    <x v="4"/>
    <d v="2024-10-06T00:00:00"/>
    <d v="2024-10-24T00:00:00"/>
    <x v="0"/>
    <x v="1"/>
    <n v="10195.920000000002"/>
    <x v="116"/>
    <x v="1"/>
    <x v="1"/>
  </r>
  <r>
    <n v="70378"/>
    <x v="16"/>
    <x v="3"/>
    <n v="87"/>
    <n v="30"/>
    <n v="341.73"/>
    <x v="2"/>
    <d v="2024-07-06T00:00:00"/>
    <d v="2024-07-19T00:00:00"/>
    <x v="2"/>
    <x v="0"/>
    <n v="29730.510000000002"/>
    <x v="0"/>
    <x v="1"/>
    <x v="0"/>
  </r>
  <r>
    <n v="17004"/>
    <x v="11"/>
    <x v="4"/>
    <n v="163"/>
    <n v="30"/>
    <n v="247.61"/>
    <x v="3"/>
    <d v="2024-09-09T00:00:00"/>
    <d v="2024-10-15T00:00:00"/>
    <x v="2"/>
    <x v="0"/>
    <n v="40360.43"/>
    <x v="0"/>
    <x v="0"/>
    <x v="0"/>
  </r>
  <r>
    <n v="36469"/>
    <x v="8"/>
    <x v="1"/>
    <n v="49"/>
    <n v="50"/>
    <n v="233.58"/>
    <x v="2"/>
    <d v="2024-06-12T00:00:00"/>
    <d v="2024-07-17T00:00:00"/>
    <x v="1"/>
    <x v="1"/>
    <n v="11445.42"/>
    <x v="32"/>
    <x v="1"/>
    <x v="1"/>
  </r>
  <r>
    <n v="48180"/>
    <x v="6"/>
    <x v="3"/>
    <n v="390"/>
    <n v="80"/>
    <n v="311.48"/>
    <x v="4"/>
    <d v="2024-05-13T00:00:00"/>
    <d v="2024-06-10T00:00:00"/>
    <x v="1"/>
    <x v="0"/>
    <n v="121477.20000000001"/>
    <x v="0"/>
    <x v="0"/>
    <x v="0"/>
  </r>
  <r>
    <n v="67752"/>
    <x v="1"/>
    <x v="0"/>
    <n v="357"/>
    <n v="80"/>
    <n v="12.24"/>
    <x v="1"/>
    <d v="2024-12-22T00:00:00"/>
    <d v="2025-01-27T00:00:00"/>
    <x v="1"/>
    <x v="0"/>
    <n v="4369.68"/>
    <x v="0"/>
    <x v="0"/>
    <x v="0"/>
  </r>
  <r>
    <n v="27986"/>
    <x v="9"/>
    <x v="1"/>
    <n v="172"/>
    <n v="40"/>
    <n v="166.81"/>
    <x v="3"/>
    <d v="2024-12-27T00:00:00"/>
    <d v="2025-01-26T00:00:00"/>
    <x v="0"/>
    <x v="0"/>
    <n v="28691.32"/>
    <x v="0"/>
    <x v="0"/>
    <x v="0"/>
  </r>
  <r>
    <n v="28802"/>
    <x v="16"/>
    <x v="3"/>
    <n v="81"/>
    <n v="20"/>
    <n v="193.16"/>
    <x v="2"/>
    <d v="2024-04-14T00:00:00"/>
    <d v="2024-05-22T00:00:00"/>
    <x v="1"/>
    <x v="0"/>
    <n v="15645.96"/>
    <x v="0"/>
    <x v="0"/>
    <x v="0"/>
  </r>
  <r>
    <n v="30337"/>
    <x v="16"/>
    <x v="3"/>
    <n v="482"/>
    <n v="30"/>
    <n v="144.44999999999999"/>
    <x v="2"/>
    <d v="2024-04-23T00:00:00"/>
    <d v="2024-05-03T00:00:00"/>
    <x v="0"/>
    <x v="0"/>
    <n v="69624.899999999994"/>
    <x v="0"/>
    <x v="0"/>
    <x v="0"/>
  </r>
  <r>
    <n v="11745"/>
    <x v="6"/>
    <x v="3"/>
    <n v="332"/>
    <n v="150"/>
    <n v="74.05"/>
    <x v="1"/>
    <d v="2024-04-30T00:00:00"/>
    <d v="2024-05-07T00:00:00"/>
    <x v="2"/>
    <x v="0"/>
    <n v="24584.6"/>
    <x v="0"/>
    <x v="1"/>
    <x v="0"/>
  </r>
  <r>
    <n v="33849"/>
    <x v="11"/>
    <x v="4"/>
    <n v="219"/>
    <n v="50"/>
    <n v="459.61"/>
    <x v="1"/>
    <d v="2024-08-24T00:00:00"/>
    <d v="2024-08-30T00:00:00"/>
    <x v="2"/>
    <x v="0"/>
    <n v="100654.59"/>
    <x v="0"/>
    <x v="0"/>
    <x v="0"/>
  </r>
  <r>
    <n v="35402"/>
    <x v="16"/>
    <x v="3"/>
    <n v="491"/>
    <n v="80"/>
    <n v="385.27"/>
    <x v="1"/>
    <d v="2024-09-14T00:00:00"/>
    <d v="2024-10-15T00:00:00"/>
    <x v="2"/>
    <x v="0"/>
    <n v="189167.56999999998"/>
    <x v="0"/>
    <x v="0"/>
    <x v="0"/>
  </r>
  <r>
    <n v="42261"/>
    <x v="7"/>
    <x v="3"/>
    <n v="22"/>
    <n v="30"/>
    <n v="428.53"/>
    <x v="3"/>
    <d v="2024-06-13T00:00:00"/>
    <d v="2024-07-09T00:00:00"/>
    <x v="2"/>
    <x v="1"/>
    <n v="9427.66"/>
    <x v="44"/>
    <x v="1"/>
    <x v="1"/>
  </r>
  <r>
    <n v="21646"/>
    <x v="8"/>
    <x v="1"/>
    <n v="406"/>
    <n v="20"/>
    <n v="478.52"/>
    <x v="4"/>
    <d v="2024-03-01T00:00:00"/>
    <d v="2024-03-18T00:00:00"/>
    <x v="2"/>
    <x v="0"/>
    <n v="194279.12"/>
    <x v="0"/>
    <x v="0"/>
    <x v="0"/>
  </r>
  <r>
    <n v="65721"/>
    <x v="13"/>
    <x v="3"/>
    <n v="399"/>
    <n v="40"/>
    <n v="41.49"/>
    <x v="1"/>
    <d v="2024-12-06T00:00:00"/>
    <d v="2025-01-09T00:00:00"/>
    <x v="1"/>
    <x v="0"/>
    <n v="16554.510000000002"/>
    <x v="0"/>
    <x v="0"/>
    <x v="0"/>
  </r>
  <r>
    <n v="42643"/>
    <x v="10"/>
    <x v="2"/>
    <n v="322"/>
    <n v="20"/>
    <n v="373.81"/>
    <x v="1"/>
    <d v="2024-05-10T00:00:00"/>
    <d v="2024-05-17T00:00:00"/>
    <x v="2"/>
    <x v="0"/>
    <n v="120366.82"/>
    <x v="0"/>
    <x v="0"/>
    <x v="0"/>
  </r>
  <r>
    <n v="58841"/>
    <x v="7"/>
    <x v="3"/>
    <n v="30"/>
    <n v="80"/>
    <n v="101.46"/>
    <x v="2"/>
    <d v="2024-10-29T00:00:00"/>
    <d v="2024-11-24T00:00:00"/>
    <x v="2"/>
    <x v="1"/>
    <n v="3043.7999999999997"/>
    <x v="77"/>
    <x v="1"/>
    <x v="1"/>
  </r>
  <r>
    <n v="54383"/>
    <x v="9"/>
    <x v="1"/>
    <n v="45"/>
    <n v="20"/>
    <n v="198.76"/>
    <x v="3"/>
    <d v="2024-07-07T00:00:00"/>
    <d v="2024-07-12T00:00:00"/>
    <x v="0"/>
    <x v="0"/>
    <n v="8944.1999999999989"/>
    <x v="0"/>
    <x v="1"/>
    <x v="0"/>
  </r>
  <r>
    <n v="52591"/>
    <x v="8"/>
    <x v="1"/>
    <n v="13"/>
    <n v="80"/>
    <n v="23.53"/>
    <x v="1"/>
    <d v="2024-08-17T00:00:00"/>
    <d v="2024-08-23T00:00:00"/>
    <x v="2"/>
    <x v="1"/>
    <n v="305.89"/>
    <x v="62"/>
    <x v="1"/>
    <x v="1"/>
  </r>
  <r>
    <n v="11431"/>
    <x v="9"/>
    <x v="1"/>
    <n v="465"/>
    <n v="30"/>
    <n v="352.84"/>
    <x v="1"/>
    <d v="2024-10-20T00:00:00"/>
    <d v="2024-10-27T00:00:00"/>
    <x v="1"/>
    <x v="0"/>
    <n v="164070.59999999998"/>
    <x v="0"/>
    <x v="0"/>
    <x v="0"/>
  </r>
  <r>
    <n v="95222"/>
    <x v="1"/>
    <x v="0"/>
    <n v="303"/>
    <n v="20"/>
    <n v="412.11"/>
    <x v="1"/>
    <d v="2024-12-21T00:00:00"/>
    <d v="2025-01-01T00:00:00"/>
    <x v="1"/>
    <x v="0"/>
    <n v="124869.33"/>
    <x v="0"/>
    <x v="0"/>
    <x v="0"/>
  </r>
  <r>
    <n v="93962"/>
    <x v="8"/>
    <x v="1"/>
    <n v="254"/>
    <n v="50"/>
    <n v="432.28"/>
    <x v="0"/>
    <d v="2024-03-29T00:00:00"/>
    <d v="2024-04-10T00:00:00"/>
    <x v="1"/>
    <x v="0"/>
    <n v="109799.12"/>
    <x v="0"/>
    <x v="0"/>
    <x v="0"/>
  </r>
  <r>
    <n v="70623"/>
    <x v="3"/>
    <x v="2"/>
    <n v="291"/>
    <n v="30"/>
    <n v="380"/>
    <x v="1"/>
    <d v="2024-02-07T00:00:00"/>
    <d v="2024-03-07T00:00:00"/>
    <x v="0"/>
    <x v="0"/>
    <n v="110580"/>
    <x v="0"/>
    <x v="0"/>
    <x v="0"/>
  </r>
  <r>
    <n v="72513"/>
    <x v="8"/>
    <x v="1"/>
    <n v="242"/>
    <n v="80"/>
    <n v="180.23"/>
    <x v="2"/>
    <d v="2024-01-25T00:00:00"/>
    <d v="2024-02-25T00:00:00"/>
    <x v="0"/>
    <x v="0"/>
    <n v="43615.659999999996"/>
    <x v="0"/>
    <x v="0"/>
    <x v="0"/>
  </r>
  <r>
    <n v="71282"/>
    <x v="2"/>
    <x v="1"/>
    <n v="25"/>
    <n v="30"/>
    <n v="220.59"/>
    <x v="1"/>
    <d v="2024-02-10T00:00:00"/>
    <d v="2024-02-16T00:00:00"/>
    <x v="2"/>
    <x v="1"/>
    <n v="5514.75"/>
    <x v="18"/>
    <x v="1"/>
    <x v="1"/>
  </r>
  <r>
    <n v="33178"/>
    <x v="4"/>
    <x v="0"/>
    <n v="370"/>
    <n v="50"/>
    <n v="112.38"/>
    <x v="2"/>
    <d v="2024-07-22T00:00:00"/>
    <d v="2024-07-28T00:00:00"/>
    <x v="0"/>
    <x v="0"/>
    <n v="41580.6"/>
    <x v="0"/>
    <x v="0"/>
    <x v="0"/>
  </r>
  <r>
    <n v="56475"/>
    <x v="3"/>
    <x v="2"/>
    <n v="375"/>
    <n v="100"/>
    <n v="210.25"/>
    <x v="1"/>
    <d v="2024-01-21T00:00:00"/>
    <d v="2024-02-03T00:00:00"/>
    <x v="1"/>
    <x v="0"/>
    <n v="78843.75"/>
    <x v="0"/>
    <x v="0"/>
    <x v="0"/>
  </r>
  <r>
    <n v="61932"/>
    <x v="16"/>
    <x v="3"/>
    <n v="68"/>
    <n v="150"/>
    <n v="419.28"/>
    <x v="4"/>
    <d v="2024-10-11T00:00:00"/>
    <d v="2024-11-02T00:00:00"/>
    <x v="2"/>
    <x v="1"/>
    <n v="28511.039999999997"/>
    <x v="117"/>
    <x v="1"/>
    <x v="1"/>
  </r>
  <r>
    <n v="30121"/>
    <x v="4"/>
    <x v="0"/>
    <n v="46"/>
    <n v="150"/>
    <n v="435.14"/>
    <x v="2"/>
    <d v="2024-09-02T00:00:00"/>
    <d v="2024-09-17T00:00:00"/>
    <x v="1"/>
    <x v="1"/>
    <n v="20016.439999999999"/>
    <x v="45"/>
    <x v="1"/>
    <x v="1"/>
  </r>
  <r>
    <n v="72607"/>
    <x v="10"/>
    <x v="2"/>
    <n v="364"/>
    <n v="40"/>
    <n v="198.37"/>
    <x v="2"/>
    <d v="2024-05-27T00:00:00"/>
    <d v="2024-06-03T00:00:00"/>
    <x v="0"/>
    <x v="0"/>
    <n v="72206.680000000008"/>
    <x v="0"/>
    <x v="0"/>
    <x v="0"/>
  </r>
  <r>
    <n v="37785"/>
    <x v="8"/>
    <x v="1"/>
    <n v="28"/>
    <n v="80"/>
    <n v="167.51"/>
    <x v="0"/>
    <d v="2024-12-25T00:00:00"/>
    <d v="2025-01-30T00:00:00"/>
    <x v="1"/>
    <x v="1"/>
    <n v="4690.28"/>
    <x v="30"/>
    <x v="1"/>
    <x v="1"/>
  </r>
  <r>
    <n v="58339"/>
    <x v="5"/>
    <x v="2"/>
    <n v="54"/>
    <n v="40"/>
    <n v="172.26"/>
    <x v="4"/>
    <d v="2024-11-07T00:00:00"/>
    <d v="2024-12-06T00:00:00"/>
    <x v="2"/>
    <x v="0"/>
    <n v="9302.0399999999991"/>
    <x v="0"/>
    <x v="1"/>
    <x v="0"/>
  </r>
  <r>
    <n v="53746"/>
    <x v="0"/>
    <x v="0"/>
    <n v="244"/>
    <n v="20"/>
    <n v="152.05000000000001"/>
    <x v="2"/>
    <d v="2024-08-27T00:00:00"/>
    <d v="2024-10-01T00:00:00"/>
    <x v="1"/>
    <x v="0"/>
    <n v="37100.200000000004"/>
    <x v="0"/>
    <x v="0"/>
    <x v="0"/>
  </r>
  <r>
    <n v="28313"/>
    <x v="1"/>
    <x v="0"/>
    <n v="275"/>
    <n v="20"/>
    <n v="193.38"/>
    <x v="0"/>
    <d v="2024-03-30T00:00:00"/>
    <d v="2024-05-07T00:00:00"/>
    <x v="0"/>
    <x v="0"/>
    <n v="53179.5"/>
    <x v="0"/>
    <x v="0"/>
    <x v="0"/>
  </r>
  <r>
    <n v="39854"/>
    <x v="16"/>
    <x v="3"/>
    <n v="441"/>
    <n v="100"/>
    <n v="60.24"/>
    <x v="1"/>
    <d v="2024-10-25T00:00:00"/>
    <d v="2024-11-08T00:00:00"/>
    <x v="0"/>
    <x v="0"/>
    <n v="26565.84"/>
    <x v="0"/>
    <x v="0"/>
    <x v="0"/>
  </r>
  <r>
    <n v="22679"/>
    <x v="10"/>
    <x v="2"/>
    <n v="417"/>
    <n v="20"/>
    <n v="176.93"/>
    <x v="1"/>
    <d v="2024-07-13T00:00:00"/>
    <d v="2024-08-01T00:00:00"/>
    <x v="2"/>
    <x v="0"/>
    <n v="73779.81"/>
    <x v="0"/>
    <x v="0"/>
    <x v="0"/>
  </r>
  <r>
    <n v="22291"/>
    <x v="8"/>
    <x v="1"/>
    <n v="287"/>
    <n v="40"/>
    <n v="444.27"/>
    <x v="0"/>
    <d v="2024-04-14T00:00:00"/>
    <d v="2024-05-06T00:00:00"/>
    <x v="1"/>
    <x v="0"/>
    <n v="127505.48999999999"/>
    <x v="0"/>
    <x v="0"/>
    <x v="0"/>
  </r>
  <r>
    <n v="92797"/>
    <x v="10"/>
    <x v="2"/>
    <n v="133"/>
    <n v="80"/>
    <n v="130.09"/>
    <x v="2"/>
    <d v="2024-02-25T00:00:00"/>
    <d v="2024-03-25T00:00:00"/>
    <x v="1"/>
    <x v="0"/>
    <n v="17301.97"/>
    <x v="0"/>
    <x v="1"/>
    <x v="0"/>
  </r>
  <r>
    <n v="62204"/>
    <x v="12"/>
    <x v="0"/>
    <n v="345"/>
    <n v="30"/>
    <n v="411.55"/>
    <x v="0"/>
    <d v="2024-09-23T00:00:00"/>
    <d v="2024-09-29T00:00:00"/>
    <x v="2"/>
    <x v="0"/>
    <n v="141984.75"/>
    <x v="0"/>
    <x v="0"/>
    <x v="0"/>
  </r>
  <r>
    <n v="70089"/>
    <x v="11"/>
    <x v="4"/>
    <n v="455"/>
    <n v="80"/>
    <n v="153.58000000000001"/>
    <x v="4"/>
    <d v="2024-03-12T00:00:00"/>
    <d v="2024-03-17T00:00:00"/>
    <x v="0"/>
    <x v="0"/>
    <n v="69878.900000000009"/>
    <x v="0"/>
    <x v="0"/>
    <x v="0"/>
  </r>
  <r>
    <n v="50533"/>
    <x v="4"/>
    <x v="0"/>
    <n v="238"/>
    <n v="150"/>
    <n v="430.76"/>
    <x v="0"/>
    <d v="2024-01-17T00:00:00"/>
    <d v="2024-01-30T00:00:00"/>
    <x v="2"/>
    <x v="0"/>
    <n v="102520.88"/>
    <x v="0"/>
    <x v="1"/>
    <x v="0"/>
  </r>
  <r>
    <n v="83185"/>
    <x v="4"/>
    <x v="0"/>
    <n v="69"/>
    <n v="50"/>
    <n v="74.709999999999994"/>
    <x v="1"/>
    <d v="2024-02-06T00:00:00"/>
    <d v="2024-02-13T00:00:00"/>
    <x v="1"/>
    <x v="0"/>
    <n v="5154.99"/>
    <x v="0"/>
    <x v="1"/>
    <x v="0"/>
  </r>
  <r>
    <n v="65427"/>
    <x v="2"/>
    <x v="1"/>
    <n v="42"/>
    <n v="80"/>
    <n v="27.66"/>
    <x v="1"/>
    <d v="2024-12-12T00:00:00"/>
    <d v="2025-01-17T00:00:00"/>
    <x v="1"/>
    <x v="1"/>
    <n v="1161.72"/>
    <x v="42"/>
    <x v="1"/>
    <x v="1"/>
  </r>
  <r>
    <n v="57431"/>
    <x v="8"/>
    <x v="1"/>
    <n v="0"/>
    <n v="50"/>
    <n v="78.599999999999994"/>
    <x v="2"/>
    <d v="2024-05-04T00:00:00"/>
    <d v="2024-05-15T00:00:00"/>
    <x v="0"/>
    <x v="1"/>
    <n v="0"/>
    <x v="77"/>
    <x v="1"/>
    <x v="1"/>
  </r>
  <r>
    <n v="20296"/>
    <x v="14"/>
    <x v="4"/>
    <n v="41"/>
    <n v="40"/>
    <n v="119.33"/>
    <x v="0"/>
    <d v="2024-02-10T00:00:00"/>
    <d v="2024-03-06T00:00:00"/>
    <x v="2"/>
    <x v="0"/>
    <n v="4892.53"/>
    <x v="0"/>
    <x v="1"/>
    <x v="0"/>
  </r>
  <r>
    <n v="13796"/>
    <x v="1"/>
    <x v="0"/>
    <n v="51"/>
    <n v="100"/>
    <n v="490.39"/>
    <x v="3"/>
    <d v="2024-12-08T00:00:00"/>
    <d v="2024-12-17T00:00:00"/>
    <x v="0"/>
    <x v="1"/>
    <n v="25009.89"/>
    <x v="118"/>
    <x v="1"/>
    <x v="1"/>
  </r>
  <r>
    <n v="95017"/>
    <x v="2"/>
    <x v="1"/>
    <n v="204"/>
    <n v="20"/>
    <n v="476.77"/>
    <x v="2"/>
    <d v="2024-08-05T00:00:00"/>
    <d v="2024-08-28T00:00:00"/>
    <x v="1"/>
    <x v="0"/>
    <n v="97261.08"/>
    <x v="0"/>
    <x v="0"/>
    <x v="0"/>
  </r>
  <r>
    <n v="89941"/>
    <x v="11"/>
    <x v="4"/>
    <n v="149"/>
    <n v="150"/>
    <n v="306.12"/>
    <x v="3"/>
    <d v="2024-02-07T00:00:00"/>
    <d v="2024-03-02T00:00:00"/>
    <x v="1"/>
    <x v="1"/>
    <n v="45611.88"/>
    <x v="32"/>
    <x v="1"/>
    <x v="1"/>
  </r>
  <r>
    <n v="47372"/>
    <x v="11"/>
    <x v="4"/>
    <n v="411"/>
    <n v="80"/>
    <n v="481.15"/>
    <x v="3"/>
    <d v="2024-09-30T00:00:00"/>
    <d v="2024-10-19T00:00:00"/>
    <x v="0"/>
    <x v="0"/>
    <n v="197752.65"/>
    <x v="0"/>
    <x v="0"/>
    <x v="0"/>
  </r>
  <r>
    <n v="78348"/>
    <x v="7"/>
    <x v="3"/>
    <n v="85"/>
    <n v="100"/>
    <n v="190.46"/>
    <x v="4"/>
    <d v="2024-01-15T00:00:00"/>
    <d v="2024-02-05T00:00:00"/>
    <x v="1"/>
    <x v="1"/>
    <n v="16189.1"/>
    <x v="119"/>
    <x v="1"/>
    <x v="1"/>
  </r>
  <r>
    <n v="99795"/>
    <x v="15"/>
    <x v="4"/>
    <n v="213"/>
    <n v="80"/>
    <n v="52.96"/>
    <x v="3"/>
    <d v="2024-03-22T00:00:00"/>
    <d v="2024-04-12T00:00:00"/>
    <x v="0"/>
    <x v="0"/>
    <n v="11280.48"/>
    <x v="0"/>
    <x v="1"/>
    <x v="0"/>
  </r>
  <r>
    <n v="70659"/>
    <x v="10"/>
    <x v="2"/>
    <n v="210"/>
    <n v="40"/>
    <n v="222.4"/>
    <x v="3"/>
    <d v="2024-04-04T00:00:00"/>
    <d v="2024-05-10T00:00:00"/>
    <x v="1"/>
    <x v="0"/>
    <n v="46704"/>
    <x v="0"/>
    <x v="0"/>
    <x v="0"/>
  </r>
  <r>
    <n v="53809"/>
    <x v="11"/>
    <x v="4"/>
    <n v="34"/>
    <n v="100"/>
    <n v="284.47000000000003"/>
    <x v="3"/>
    <d v="2024-06-27T00:00:00"/>
    <d v="2024-07-27T00:00:00"/>
    <x v="1"/>
    <x v="1"/>
    <n v="9671.9800000000014"/>
    <x v="2"/>
    <x v="1"/>
    <x v="1"/>
  </r>
  <r>
    <n v="52967"/>
    <x v="6"/>
    <x v="3"/>
    <n v="229"/>
    <n v="100"/>
    <n v="89.96"/>
    <x v="4"/>
    <d v="2024-07-21T00:00:00"/>
    <d v="2024-08-05T00:00:00"/>
    <x v="2"/>
    <x v="0"/>
    <n v="20600.84"/>
    <x v="0"/>
    <x v="1"/>
    <x v="0"/>
  </r>
  <r>
    <n v="39002"/>
    <x v="12"/>
    <x v="0"/>
    <n v="468"/>
    <n v="150"/>
    <n v="234.57"/>
    <x v="2"/>
    <d v="2024-09-14T00:00:00"/>
    <d v="2024-10-22T00:00:00"/>
    <x v="1"/>
    <x v="0"/>
    <n v="109778.76"/>
    <x v="0"/>
    <x v="0"/>
    <x v="0"/>
  </r>
  <r>
    <n v="65020"/>
    <x v="2"/>
    <x v="1"/>
    <n v="33"/>
    <n v="30"/>
    <n v="369.32"/>
    <x v="3"/>
    <d v="2024-12-17T00:00:00"/>
    <d v="2025-01-02T00:00:00"/>
    <x v="2"/>
    <x v="0"/>
    <n v="12187.56"/>
    <x v="0"/>
    <x v="1"/>
    <x v="0"/>
  </r>
  <r>
    <n v="19585"/>
    <x v="9"/>
    <x v="1"/>
    <n v="367"/>
    <n v="40"/>
    <n v="338.49"/>
    <x v="4"/>
    <d v="2024-06-27T00:00:00"/>
    <d v="2024-07-31T00:00:00"/>
    <x v="1"/>
    <x v="0"/>
    <n v="124225.83"/>
    <x v="0"/>
    <x v="0"/>
    <x v="0"/>
  </r>
  <r>
    <n v="19017"/>
    <x v="8"/>
    <x v="1"/>
    <n v="34"/>
    <n v="150"/>
    <n v="150.30000000000001"/>
    <x v="4"/>
    <d v="2024-10-30T00:00:00"/>
    <d v="2024-11-26T00:00:00"/>
    <x v="0"/>
    <x v="1"/>
    <n v="5110.2000000000007"/>
    <x v="3"/>
    <x v="1"/>
    <x v="1"/>
  </r>
  <r>
    <n v="34020"/>
    <x v="1"/>
    <x v="0"/>
    <n v="61"/>
    <n v="40"/>
    <n v="125.61"/>
    <x v="4"/>
    <d v="2024-03-02T00:00:00"/>
    <d v="2024-04-05T00:00:00"/>
    <x v="2"/>
    <x v="0"/>
    <n v="7662.21"/>
    <x v="0"/>
    <x v="1"/>
    <x v="0"/>
  </r>
  <r>
    <n v="21552"/>
    <x v="10"/>
    <x v="2"/>
    <n v="49"/>
    <n v="150"/>
    <n v="299.27999999999997"/>
    <x v="0"/>
    <d v="2024-02-05T00:00:00"/>
    <d v="2024-03-06T00:00:00"/>
    <x v="0"/>
    <x v="1"/>
    <n v="14664.72"/>
    <x v="104"/>
    <x v="1"/>
    <x v="1"/>
  </r>
  <r>
    <n v="75185"/>
    <x v="14"/>
    <x v="4"/>
    <n v="278"/>
    <n v="100"/>
    <n v="102.8"/>
    <x v="0"/>
    <d v="2024-04-19T00:00:00"/>
    <d v="2024-05-14T00:00:00"/>
    <x v="0"/>
    <x v="0"/>
    <n v="28578.399999999998"/>
    <x v="0"/>
    <x v="1"/>
    <x v="0"/>
  </r>
  <r>
    <n v="70047"/>
    <x v="14"/>
    <x v="4"/>
    <n v="483"/>
    <n v="50"/>
    <n v="55.5"/>
    <x v="4"/>
    <d v="2024-03-08T00:00:00"/>
    <d v="2024-03-14T00:00:00"/>
    <x v="2"/>
    <x v="0"/>
    <n v="26806.5"/>
    <x v="0"/>
    <x v="0"/>
    <x v="0"/>
  </r>
  <r>
    <n v="81494"/>
    <x v="10"/>
    <x v="2"/>
    <n v="206"/>
    <n v="50"/>
    <n v="160.80000000000001"/>
    <x v="1"/>
    <d v="2024-07-28T00:00:00"/>
    <d v="2024-08-18T00:00:00"/>
    <x v="0"/>
    <x v="0"/>
    <n v="33124.800000000003"/>
    <x v="0"/>
    <x v="0"/>
    <x v="0"/>
  </r>
  <r>
    <n v="39663"/>
    <x v="1"/>
    <x v="0"/>
    <n v="380"/>
    <n v="30"/>
    <n v="66.260000000000005"/>
    <x v="4"/>
    <d v="2024-05-09T00:00:00"/>
    <d v="2024-06-04T00:00:00"/>
    <x v="1"/>
    <x v="0"/>
    <n v="25178.800000000003"/>
    <x v="0"/>
    <x v="0"/>
    <x v="0"/>
  </r>
  <r>
    <n v="88267"/>
    <x v="2"/>
    <x v="1"/>
    <n v="235"/>
    <n v="100"/>
    <n v="33.71"/>
    <x v="3"/>
    <d v="2024-11-22T00:00:00"/>
    <d v="2024-12-03T00:00:00"/>
    <x v="2"/>
    <x v="0"/>
    <n v="7921.85"/>
    <x v="0"/>
    <x v="1"/>
    <x v="0"/>
  </r>
  <r>
    <n v="68570"/>
    <x v="0"/>
    <x v="0"/>
    <n v="478"/>
    <n v="30"/>
    <n v="13.33"/>
    <x v="1"/>
    <d v="2024-05-09T00:00:00"/>
    <d v="2024-06-15T00:00:00"/>
    <x v="2"/>
    <x v="0"/>
    <n v="6371.74"/>
    <x v="0"/>
    <x v="0"/>
    <x v="0"/>
  </r>
  <r>
    <n v="33997"/>
    <x v="10"/>
    <x v="2"/>
    <n v="468"/>
    <n v="50"/>
    <n v="379.37"/>
    <x v="4"/>
    <d v="2024-01-26T00:00:00"/>
    <d v="2024-03-03T00:00:00"/>
    <x v="2"/>
    <x v="0"/>
    <n v="177545.16"/>
    <x v="0"/>
    <x v="0"/>
    <x v="0"/>
  </r>
  <r>
    <n v="50894"/>
    <x v="13"/>
    <x v="3"/>
    <n v="94"/>
    <n v="20"/>
    <n v="382.95"/>
    <x v="1"/>
    <d v="2024-02-10T00:00:00"/>
    <d v="2024-02-19T00:00:00"/>
    <x v="2"/>
    <x v="0"/>
    <n v="35997.299999999996"/>
    <x v="0"/>
    <x v="0"/>
    <x v="0"/>
  </r>
  <r>
    <n v="17691"/>
    <x v="2"/>
    <x v="1"/>
    <n v="324"/>
    <n v="40"/>
    <n v="264.06"/>
    <x v="0"/>
    <d v="2024-06-28T00:00:00"/>
    <d v="2024-07-04T00:00:00"/>
    <x v="1"/>
    <x v="0"/>
    <n v="85555.44"/>
    <x v="0"/>
    <x v="0"/>
    <x v="0"/>
  </r>
  <r>
    <n v="83396"/>
    <x v="2"/>
    <x v="1"/>
    <n v="474"/>
    <n v="100"/>
    <n v="129.43"/>
    <x v="3"/>
    <d v="2024-01-31T00:00:00"/>
    <d v="2024-02-26T00:00:00"/>
    <x v="0"/>
    <x v="0"/>
    <n v="61349.82"/>
    <x v="0"/>
    <x v="0"/>
    <x v="0"/>
  </r>
  <r>
    <n v="15293"/>
    <x v="7"/>
    <x v="3"/>
    <n v="181"/>
    <n v="50"/>
    <n v="144.36000000000001"/>
    <x v="2"/>
    <d v="2024-09-12T00:00:00"/>
    <d v="2024-10-08T00:00:00"/>
    <x v="2"/>
    <x v="0"/>
    <n v="26129.160000000003"/>
    <x v="0"/>
    <x v="0"/>
    <x v="0"/>
  </r>
  <r>
    <n v="93127"/>
    <x v="7"/>
    <x v="3"/>
    <n v="59"/>
    <n v="40"/>
    <n v="434.71"/>
    <x v="3"/>
    <d v="2024-08-19T00:00:00"/>
    <d v="2024-09-05T00:00:00"/>
    <x v="2"/>
    <x v="0"/>
    <n v="25647.89"/>
    <x v="0"/>
    <x v="1"/>
    <x v="0"/>
  </r>
  <r>
    <n v="98672"/>
    <x v="9"/>
    <x v="1"/>
    <n v="12"/>
    <n v="30"/>
    <n v="355.54"/>
    <x v="1"/>
    <d v="2024-09-23T00:00:00"/>
    <d v="2024-10-10T00:00:00"/>
    <x v="0"/>
    <x v="1"/>
    <n v="4266.4800000000005"/>
    <x v="12"/>
    <x v="1"/>
    <x v="1"/>
  </r>
  <r>
    <n v="54016"/>
    <x v="9"/>
    <x v="1"/>
    <n v="26"/>
    <n v="50"/>
    <n v="365.64"/>
    <x v="2"/>
    <d v="2024-01-31T00:00:00"/>
    <d v="2024-02-10T00:00:00"/>
    <x v="2"/>
    <x v="1"/>
    <n v="9506.64"/>
    <x v="69"/>
    <x v="1"/>
    <x v="1"/>
  </r>
  <r>
    <n v="35515"/>
    <x v="0"/>
    <x v="0"/>
    <n v="301"/>
    <n v="40"/>
    <n v="36.659999999999997"/>
    <x v="3"/>
    <d v="2024-09-09T00:00:00"/>
    <d v="2024-09-14T00:00:00"/>
    <x v="0"/>
    <x v="0"/>
    <n v="11034.66"/>
    <x v="0"/>
    <x v="0"/>
    <x v="0"/>
  </r>
  <r>
    <n v="41212"/>
    <x v="6"/>
    <x v="3"/>
    <n v="113"/>
    <n v="20"/>
    <n v="229.93"/>
    <x v="0"/>
    <d v="2024-07-23T00:00:00"/>
    <d v="2024-08-20T00:00:00"/>
    <x v="2"/>
    <x v="0"/>
    <n v="25982.09"/>
    <x v="0"/>
    <x v="0"/>
    <x v="0"/>
  </r>
  <r>
    <n v="26585"/>
    <x v="11"/>
    <x v="4"/>
    <n v="102"/>
    <n v="50"/>
    <n v="342.94"/>
    <x v="1"/>
    <d v="2024-06-13T00:00:00"/>
    <d v="2024-07-07T00:00:00"/>
    <x v="0"/>
    <x v="0"/>
    <n v="34979.879999999997"/>
    <x v="0"/>
    <x v="1"/>
    <x v="0"/>
  </r>
  <r>
    <n v="97091"/>
    <x v="7"/>
    <x v="3"/>
    <n v="155"/>
    <n v="80"/>
    <n v="38.880000000000003"/>
    <x v="2"/>
    <d v="2024-07-06T00:00:00"/>
    <d v="2024-07-16T00:00:00"/>
    <x v="1"/>
    <x v="0"/>
    <n v="6026.4000000000005"/>
    <x v="0"/>
    <x v="1"/>
    <x v="0"/>
  </r>
  <r>
    <n v="37946"/>
    <x v="5"/>
    <x v="2"/>
    <n v="480"/>
    <n v="30"/>
    <n v="306.89"/>
    <x v="1"/>
    <d v="2024-04-09T00:00:00"/>
    <d v="2024-04-18T00:00:00"/>
    <x v="0"/>
    <x v="0"/>
    <n v="147307.19999999998"/>
    <x v="0"/>
    <x v="0"/>
    <x v="0"/>
  </r>
  <r>
    <n v="34935"/>
    <x v="11"/>
    <x v="4"/>
    <n v="115"/>
    <n v="100"/>
    <n v="338.56"/>
    <x v="4"/>
    <d v="2024-02-29T00:00:00"/>
    <d v="2024-03-07T00:00:00"/>
    <x v="2"/>
    <x v="0"/>
    <n v="38934.400000000001"/>
    <x v="0"/>
    <x v="1"/>
    <x v="0"/>
  </r>
  <r>
    <n v="44062"/>
    <x v="4"/>
    <x v="0"/>
    <n v="230"/>
    <n v="40"/>
    <n v="438.01"/>
    <x v="0"/>
    <d v="2024-07-18T00:00:00"/>
    <d v="2024-08-03T00:00:00"/>
    <x v="1"/>
    <x v="0"/>
    <n v="100742.3"/>
    <x v="0"/>
    <x v="0"/>
    <x v="0"/>
  </r>
  <r>
    <n v="48585"/>
    <x v="12"/>
    <x v="0"/>
    <n v="231"/>
    <n v="150"/>
    <n v="146.06"/>
    <x v="0"/>
    <d v="2024-03-28T00:00:00"/>
    <d v="2024-04-07T00:00:00"/>
    <x v="1"/>
    <x v="0"/>
    <n v="33739.86"/>
    <x v="0"/>
    <x v="1"/>
    <x v="0"/>
  </r>
  <r>
    <n v="30828"/>
    <x v="10"/>
    <x v="2"/>
    <n v="373"/>
    <n v="40"/>
    <n v="215.07"/>
    <x v="2"/>
    <d v="2024-08-05T00:00:00"/>
    <d v="2024-08-20T00:00:00"/>
    <x v="2"/>
    <x v="0"/>
    <n v="80221.11"/>
    <x v="0"/>
    <x v="0"/>
    <x v="0"/>
  </r>
  <r>
    <n v="73828"/>
    <x v="15"/>
    <x v="4"/>
    <n v="369"/>
    <n v="100"/>
    <n v="257.64"/>
    <x v="1"/>
    <d v="2024-01-12T00:00:00"/>
    <d v="2024-02-08T00:00:00"/>
    <x v="0"/>
    <x v="0"/>
    <n v="95069.159999999989"/>
    <x v="0"/>
    <x v="0"/>
    <x v="0"/>
  </r>
  <r>
    <n v="31773"/>
    <x v="8"/>
    <x v="1"/>
    <n v="425"/>
    <n v="80"/>
    <n v="326.99"/>
    <x v="1"/>
    <d v="2024-12-06T00:00:00"/>
    <d v="2024-12-18T00:00:00"/>
    <x v="1"/>
    <x v="0"/>
    <n v="138970.75"/>
    <x v="0"/>
    <x v="0"/>
    <x v="0"/>
  </r>
  <r>
    <n v="79086"/>
    <x v="15"/>
    <x v="4"/>
    <n v="74"/>
    <n v="100"/>
    <n v="307.95999999999998"/>
    <x v="2"/>
    <d v="2024-06-22T00:00:00"/>
    <d v="2024-06-30T00:00:00"/>
    <x v="1"/>
    <x v="1"/>
    <n v="22789.039999999997"/>
    <x v="61"/>
    <x v="1"/>
    <x v="1"/>
  </r>
  <r>
    <n v="99262"/>
    <x v="14"/>
    <x v="4"/>
    <n v="491"/>
    <n v="30"/>
    <n v="62.65"/>
    <x v="0"/>
    <d v="2024-04-27T00:00:00"/>
    <d v="2024-05-19T00:00:00"/>
    <x v="1"/>
    <x v="0"/>
    <n v="30761.149999999998"/>
    <x v="0"/>
    <x v="0"/>
    <x v="0"/>
  </r>
  <r>
    <n v="72395"/>
    <x v="2"/>
    <x v="1"/>
    <n v="12"/>
    <n v="150"/>
    <n v="23.46"/>
    <x v="2"/>
    <d v="2024-04-18T00:00:00"/>
    <d v="2024-04-26T00:00:00"/>
    <x v="1"/>
    <x v="1"/>
    <n v="281.52"/>
    <x v="120"/>
    <x v="1"/>
    <x v="1"/>
  </r>
  <r>
    <n v="22003"/>
    <x v="13"/>
    <x v="3"/>
    <n v="43"/>
    <n v="100"/>
    <n v="471.09"/>
    <x v="4"/>
    <d v="2024-04-21T00:00:00"/>
    <d v="2024-05-26T00:00:00"/>
    <x v="0"/>
    <x v="1"/>
    <n v="20256.87"/>
    <x v="110"/>
    <x v="1"/>
    <x v="1"/>
  </r>
  <r>
    <n v="32098"/>
    <x v="5"/>
    <x v="2"/>
    <n v="265"/>
    <n v="20"/>
    <n v="291.06"/>
    <x v="2"/>
    <d v="2024-06-06T00:00:00"/>
    <d v="2024-06-17T00:00:00"/>
    <x v="2"/>
    <x v="0"/>
    <n v="77130.899999999994"/>
    <x v="0"/>
    <x v="0"/>
    <x v="0"/>
  </r>
  <r>
    <n v="69261"/>
    <x v="6"/>
    <x v="3"/>
    <n v="41"/>
    <n v="20"/>
    <n v="167.03"/>
    <x v="4"/>
    <d v="2024-10-12T00:00:00"/>
    <d v="2024-11-05T00:00:00"/>
    <x v="2"/>
    <x v="0"/>
    <n v="6848.2300000000005"/>
    <x v="0"/>
    <x v="1"/>
    <x v="0"/>
  </r>
  <r>
    <n v="77561"/>
    <x v="9"/>
    <x v="1"/>
    <n v="260"/>
    <n v="30"/>
    <n v="50.25"/>
    <x v="4"/>
    <d v="2024-08-27T00:00:00"/>
    <d v="2024-09-27T00:00:00"/>
    <x v="1"/>
    <x v="0"/>
    <n v="13065"/>
    <x v="0"/>
    <x v="0"/>
    <x v="0"/>
  </r>
  <r>
    <n v="30221"/>
    <x v="6"/>
    <x v="3"/>
    <n v="50"/>
    <n v="30"/>
    <n v="321.68"/>
    <x v="2"/>
    <d v="2024-07-19T00:00:00"/>
    <d v="2024-08-03T00:00:00"/>
    <x v="2"/>
    <x v="0"/>
    <n v="16084"/>
    <x v="0"/>
    <x v="1"/>
    <x v="0"/>
  </r>
  <r>
    <n v="41232"/>
    <x v="15"/>
    <x v="4"/>
    <n v="460"/>
    <n v="40"/>
    <n v="56.65"/>
    <x v="1"/>
    <d v="2024-04-15T00:00:00"/>
    <d v="2024-05-04T00:00:00"/>
    <x v="1"/>
    <x v="0"/>
    <n v="26059"/>
    <x v="0"/>
    <x v="0"/>
    <x v="0"/>
  </r>
  <r>
    <n v="99257"/>
    <x v="5"/>
    <x v="2"/>
    <n v="385"/>
    <n v="80"/>
    <n v="165.69"/>
    <x v="3"/>
    <d v="2024-10-20T00:00:00"/>
    <d v="2024-11-26T00:00:00"/>
    <x v="1"/>
    <x v="0"/>
    <n v="63790.65"/>
    <x v="0"/>
    <x v="0"/>
    <x v="0"/>
  </r>
  <r>
    <n v="21439"/>
    <x v="2"/>
    <x v="1"/>
    <n v="138"/>
    <n v="100"/>
    <n v="363.57"/>
    <x v="1"/>
    <d v="2024-02-26T00:00:00"/>
    <d v="2024-03-23T00:00:00"/>
    <x v="0"/>
    <x v="0"/>
    <n v="50172.659999999996"/>
    <x v="0"/>
    <x v="1"/>
    <x v="0"/>
  </r>
  <r>
    <n v="72134"/>
    <x v="8"/>
    <x v="1"/>
    <n v="225"/>
    <n v="40"/>
    <n v="235.82"/>
    <x v="3"/>
    <d v="2024-01-27T00:00:00"/>
    <d v="2024-02-09T00:00:00"/>
    <x v="0"/>
    <x v="0"/>
    <n v="53059.5"/>
    <x v="0"/>
    <x v="0"/>
    <x v="0"/>
  </r>
  <r>
    <n v="52530"/>
    <x v="10"/>
    <x v="2"/>
    <n v="35"/>
    <n v="80"/>
    <n v="328.43"/>
    <x v="2"/>
    <d v="2024-10-10T00:00:00"/>
    <d v="2024-10-30T00:00:00"/>
    <x v="1"/>
    <x v="1"/>
    <n v="11495.050000000001"/>
    <x v="15"/>
    <x v="1"/>
    <x v="1"/>
  </r>
  <r>
    <n v="97519"/>
    <x v="6"/>
    <x v="3"/>
    <n v="440"/>
    <n v="80"/>
    <n v="388.2"/>
    <x v="0"/>
    <d v="2024-01-23T00:00:00"/>
    <d v="2024-02-02T00:00:00"/>
    <x v="1"/>
    <x v="0"/>
    <n v="170808"/>
    <x v="0"/>
    <x v="0"/>
    <x v="0"/>
  </r>
  <r>
    <n v="74713"/>
    <x v="15"/>
    <x v="4"/>
    <n v="152"/>
    <n v="20"/>
    <n v="109.57"/>
    <x v="3"/>
    <d v="2024-12-13T00:00:00"/>
    <d v="2024-12-28T00:00:00"/>
    <x v="0"/>
    <x v="0"/>
    <n v="16654.64"/>
    <x v="0"/>
    <x v="0"/>
    <x v="0"/>
  </r>
  <r>
    <n v="21955"/>
    <x v="9"/>
    <x v="1"/>
    <n v="69"/>
    <n v="30"/>
    <n v="171.25"/>
    <x v="3"/>
    <d v="2024-02-14T00:00:00"/>
    <d v="2024-03-17T00:00:00"/>
    <x v="1"/>
    <x v="0"/>
    <n v="11816.25"/>
    <x v="0"/>
    <x v="1"/>
    <x v="0"/>
  </r>
  <r>
    <n v="77959"/>
    <x v="16"/>
    <x v="3"/>
    <n v="370"/>
    <n v="40"/>
    <n v="452.14"/>
    <x v="3"/>
    <d v="2024-02-09T00:00:00"/>
    <d v="2024-03-09T00:00:00"/>
    <x v="2"/>
    <x v="0"/>
    <n v="167291.79999999999"/>
    <x v="0"/>
    <x v="0"/>
    <x v="0"/>
  </r>
  <r>
    <n v="25164"/>
    <x v="1"/>
    <x v="0"/>
    <n v="466"/>
    <n v="50"/>
    <n v="77.040000000000006"/>
    <x v="2"/>
    <d v="2024-01-30T00:00:00"/>
    <d v="2024-02-13T00:00:00"/>
    <x v="2"/>
    <x v="0"/>
    <n v="35900.639999999999"/>
    <x v="0"/>
    <x v="0"/>
    <x v="0"/>
  </r>
  <r>
    <n v="53327"/>
    <x v="8"/>
    <x v="1"/>
    <n v="465"/>
    <n v="50"/>
    <n v="177.51"/>
    <x v="2"/>
    <d v="2024-03-31T00:00:00"/>
    <d v="2024-04-29T00:00:00"/>
    <x v="0"/>
    <x v="0"/>
    <n v="82542.149999999994"/>
    <x v="0"/>
    <x v="0"/>
    <x v="0"/>
  </r>
  <r>
    <n v="75167"/>
    <x v="14"/>
    <x v="4"/>
    <n v="336"/>
    <n v="40"/>
    <n v="488.41"/>
    <x v="4"/>
    <d v="2024-02-13T00:00:00"/>
    <d v="2024-02-29T00:00:00"/>
    <x v="0"/>
    <x v="0"/>
    <n v="164105.76"/>
    <x v="0"/>
    <x v="0"/>
    <x v="0"/>
  </r>
  <r>
    <n v="46116"/>
    <x v="9"/>
    <x v="1"/>
    <n v="188"/>
    <n v="150"/>
    <n v="286.97000000000003"/>
    <x v="1"/>
    <d v="2024-10-22T00:00:00"/>
    <d v="2024-11-22T00:00:00"/>
    <x v="2"/>
    <x v="0"/>
    <n v="53950.360000000008"/>
    <x v="0"/>
    <x v="1"/>
    <x v="0"/>
  </r>
  <r>
    <n v="78345"/>
    <x v="14"/>
    <x v="4"/>
    <n v="387"/>
    <n v="40"/>
    <n v="111.67"/>
    <x v="1"/>
    <d v="2024-08-14T00:00:00"/>
    <d v="2024-08-21T00:00:00"/>
    <x v="2"/>
    <x v="0"/>
    <n v="43216.29"/>
    <x v="0"/>
    <x v="0"/>
    <x v="0"/>
  </r>
  <r>
    <n v="92049"/>
    <x v="5"/>
    <x v="2"/>
    <n v="55"/>
    <n v="40"/>
    <n v="263.74"/>
    <x v="1"/>
    <d v="2024-02-03T00:00:00"/>
    <d v="2024-02-09T00:00:00"/>
    <x v="1"/>
    <x v="0"/>
    <n v="14505.7"/>
    <x v="0"/>
    <x v="1"/>
    <x v="0"/>
  </r>
  <r>
    <n v="88027"/>
    <x v="1"/>
    <x v="0"/>
    <n v="234"/>
    <n v="20"/>
    <n v="352.65"/>
    <x v="0"/>
    <d v="2024-03-21T00:00:00"/>
    <d v="2024-04-09T00:00:00"/>
    <x v="1"/>
    <x v="0"/>
    <n v="82520.099999999991"/>
    <x v="0"/>
    <x v="0"/>
    <x v="0"/>
  </r>
  <r>
    <n v="71713"/>
    <x v="11"/>
    <x v="4"/>
    <n v="143"/>
    <n v="30"/>
    <n v="89.72"/>
    <x v="2"/>
    <d v="2024-11-19T00:00:00"/>
    <d v="2024-11-30T00:00:00"/>
    <x v="0"/>
    <x v="0"/>
    <n v="12829.96"/>
    <x v="0"/>
    <x v="0"/>
    <x v="0"/>
  </r>
  <r>
    <n v="42481"/>
    <x v="6"/>
    <x v="3"/>
    <n v="316"/>
    <n v="40"/>
    <n v="420.31"/>
    <x v="1"/>
    <d v="2024-07-10T00:00:00"/>
    <d v="2024-07-31T00:00:00"/>
    <x v="2"/>
    <x v="0"/>
    <n v="132817.96"/>
    <x v="0"/>
    <x v="0"/>
    <x v="0"/>
  </r>
  <r>
    <n v="50149"/>
    <x v="1"/>
    <x v="0"/>
    <n v="162"/>
    <n v="40"/>
    <n v="333.59"/>
    <x v="3"/>
    <d v="2024-05-31T00:00:00"/>
    <d v="2024-06-06T00:00:00"/>
    <x v="0"/>
    <x v="0"/>
    <n v="54041.579999999994"/>
    <x v="0"/>
    <x v="0"/>
    <x v="0"/>
  </r>
  <r>
    <n v="44409"/>
    <x v="8"/>
    <x v="1"/>
    <n v="130"/>
    <n v="80"/>
    <n v="108.1"/>
    <x v="2"/>
    <d v="2024-01-19T00:00:00"/>
    <d v="2024-02-25T00:00:00"/>
    <x v="2"/>
    <x v="0"/>
    <n v="14053"/>
    <x v="0"/>
    <x v="1"/>
    <x v="0"/>
  </r>
  <r>
    <n v="27864"/>
    <x v="11"/>
    <x v="4"/>
    <n v="412"/>
    <n v="150"/>
    <n v="167.54"/>
    <x v="1"/>
    <d v="2024-02-03T00:00:00"/>
    <d v="2024-03-08T00:00:00"/>
    <x v="1"/>
    <x v="0"/>
    <n v="69026.48"/>
    <x v="0"/>
    <x v="1"/>
    <x v="0"/>
  </r>
  <r>
    <n v="44851"/>
    <x v="4"/>
    <x v="0"/>
    <n v="114"/>
    <n v="20"/>
    <n v="347.58"/>
    <x v="1"/>
    <d v="2024-03-15T00:00:00"/>
    <d v="2024-04-10T00:00:00"/>
    <x v="1"/>
    <x v="0"/>
    <n v="39624.119999999995"/>
    <x v="0"/>
    <x v="0"/>
    <x v="0"/>
  </r>
  <r>
    <n v="65803"/>
    <x v="14"/>
    <x v="4"/>
    <n v="187"/>
    <n v="150"/>
    <n v="95.73"/>
    <x v="1"/>
    <d v="2024-06-14T00:00:00"/>
    <d v="2024-07-13T00:00:00"/>
    <x v="2"/>
    <x v="0"/>
    <n v="17901.510000000002"/>
    <x v="0"/>
    <x v="1"/>
    <x v="0"/>
  </r>
  <r>
    <n v="23068"/>
    <x v="8"/>
    <x v="1"/>
    <n v="171"/>
    <n v="80"/>
    <n v="163.52000000000001"/>
    <x v="1"/>
    <d v="2024-09-02T00:00:00"/>
    <d v="2024-09-23T00:00:00"/>
    <x v="1"/>
    <x v="0"/>
    <n v="27961.920000000002"/>
    <x v="0"/>
    <x v="1"/>
    <x v="0"/>
  </r>
  <r>
    <n v="17089"/>
    <x v="11"/>
    <x v="4"/>
    <n v="257"/>
    <n v="150"/>
    <n v="453.02"/>
    <x v="1"/>
    <d v="2024-02-16T00:00:00"/>
    <d v="2024-03-16T00:00:00"/>
    <x v="0"/>
    <x v="0"/>
    <n v="116426.14"/>
    <x v="0"/>
    <x v="1"/>
    <x v="0"/>
  </r>
  <r>
    <n v="26150"/>
    <x v="9"/>
    <x v="1"/>
    <n v="172"/>
    <n v="100"/>
    <n v="127.92"/>
    <x v="4"/>
    <d v="2024-08-30T00:00:00"/>
    <d v="2024-09-13T00:00:00"/>
    <x v="1"/>
    <x v="0"/>
    <n v="22002.240000000002"/>
    <x v="0"/>
    <x v="1"/>
    <x v="0"/>
  </r>
  <r>
    <n v="33461"/>
    <x v="13"/>
    <x v="3"/>
    <n v="143"/>
    <n v="150"/>
    <n v="262.04000000000002"/>
    <x v="4"/>
    <d v="2024-08-20T00:00:00"/>
    <d v="2024-09-25T00:00:00"/>
    <x v="0"/>
    <x v="1"/>
    <n v="37471.72"/>
    <x v="43"/>
    <x v="1"/>
    <x v="1"/>
  </r>
  <r>
    <n v="90865"/>
    <x v="2"/>
    <x v="1"/>
    <n v="411"/>
    <n v="80"/>
    <n v="124.14"/>
    <x v="0"/>
    <d v="2024-09-13T00:00:00"/>
    <d v="2024-10-06T00:00:00"/>
    <x v="1"/>
    <x v="0"/>
    <n v="51021.54"/>
    <x v="0"/>
    <x v="0"/>
    <x v="0"/>
  </r>
  <r>
    <n v="87027"/>
    <x v="10"/>
    <x v="2"/>
    <n v="393"/>
    <n v="50"/>
    <n v="276.86"/>
    <x v="3"/>
    <d v="2024-09-07T00:00:00"/>
    <d v="2024-09-30T00:00:00"/>
    <x v="1"/>
    <x v="0"/>
    <n v="108805.98000000001"/>
    <x v="0"/>
    <x v="0"/>
    <x v="0"/>
  </r>
  <r>
    <n v="21356"/>
    <x v="3"/>
    <x v="2"/>
    <n v="144"/>
    <n v="150"/>
    <n v="93.47"/>
    <x v="3"/>
    <d v="2024-05-25T00:00:00"/>
    <d v="2024-06-04T00:00:00"/>
    <x v="2"/>
    <x v="1"/>
    <n v="13459.68"/>
    <x v="48"/>
    <x v="1"/>
    <x v="1"/>
  </r>
  <r>
    <n v="70217"/>
    <x v="10"/>
    <x v="2"/>
    <n v="315"/>
    <n v="50"/>
    <n v="293.89"/>
    <x v="4"/>
    <d v="2024-02-17T00:00:00"/>
    <d v="2024-03-16T00:00:00"/>
    <x v="1"/>
    <x v="0"/>
    <n v="92575.349999999991"/>
    <x v="0"/>
    <x v="0"/>
    <x v="0"/>
  </r>
  <r>
    <n v="45402"/>
    <x v="15"/>
    <x v="4"/>
    <n v="54"/>
    <n v="50"/>
    <n v="158.57"/>
    <x v="3"/>
    <d v="2024-04-27T00:00:00"/>
    <d v="2024-05-18T00:00:00"/>
    <x v="0"/>
    <x v="0"/>
    <n v="8562.7799999999988"/>
    <x v="0"/>
    <x v="1"/>
    <x v="0"/>
  </r>
  <r>
    <n v="50194"/>
    <x v="1"/>
    <x v="0"/>
    <n v="45"/>
    <n v="50"/>
    <n v="270.77"/>
    <x v="0"/>
    <d v="2024-06-04T00:00:00"/>
    <d v="2024-07-11T00:00:00"/>
    <x v="2"/>
    <x v="1"/>
    <n v="12184.65"/>
    <x v="18"/>
    <x v="1"/>
    <x v="1"/>
  </r>
  <r>
    <n v="67872"/>
    <x v="10"/>
    <x v="2"/>
    <n v="57"/>
    <n v="100"/>
    <n v="379.73"/>
    <x v="2"/>
    <d v="2024-05-16T00:00:00"/>
    <d v="2024-06-08T00:00:00"/>
    <x v="1"/>
    <x v="1"/>
    <n v="21644.61"/>
    <x v="94"/>
    <x v="1"/>
    <x v="1"/>
  </r>
  <r>
    <n v="54935"/>
    <x v="2"/>
    <x v="1"/>
    <n v="143"/>
    <n v="80"/>
    <n v="395.41"/>
    <x v="2"/>
    <d v="2024-08-03T00:00:00"/>
    <d v="2024-09-10T00:00:00"/>
    <x v="0"/>
    <x v="0"/>
    <n v="56543.630000000005"/>
    <x v="0"/>
    <x v="1"/>
    <x v="0"/>
  </r>
  <r>
    <n v="71407"/>
    <x v="1"/>
    <x v="0"/>
    <n v="265"/>
    <n v="50"/>
    <n v="38.54"/>
    <x v="0"/>
    <d v="2024-12-11T00:00:00"/>
    <d v="2024-12-30T00:00:00"/>
    <x v="1"/>
    <x v="0"/>
    <n v="10213.1"/>
    <x v="0"/>
    <x v="0"/>
    <x v="0"/>
  </r>
  <r>
    <n v="14225"/>
    <x v="0"/>
    <x v="0"/>
    <n v="200"/>
    <n v="40"/>
    <n v="298.27"/>
    <x v="0"/>
    <d v="2024-12-22T00:00:00"/>
    <d v="2025-01-04T00:00:00"/>
    <x v="2"/>
    <x v="0"/>
    <n v="59654"/>
    <x v="0"/>
    <x v="0"/>
    <x v="0"/>
  </r>
  <r>
    <n v="28989"/>
    <x v="7"/>
    <x v="3"/>
    <n v="431"/>
    <n v="80"/>
    <n v="40.049999999999997"/>
    <x v="4"/>
    <d v="2024-11-30T00:00:00"/>
    <d v="2024-12-18T00:00:00"/>
    <x v="2"/>
    <x v="0"/>
    <n v="17261.55"/>
    <x v="0"/>
    <x v="0"/>
    <x v="0"/>
  </r>
  <r>
    <n v="21055"/>
    <x v="2"/>
    <x v="1"/>
    <n v="336"/>
    <n v="40"/>
    <n v="148.72999999999999"/>
    <x v="3"/>
    <d v="2024-02-27T00:00:00"/>
    <d v="2024-03-26T00:00:00"/>
    <x v="0"/>
    <x v="0"/>
    <n v="49973.279999999999"/>
    <x v="0"/>
    <x v="0"/>
    <x v="0"/>
  </r>
  <r>
    <n v="83541"/>
    <x v="14"/>
    <x v="4"/>
    <n v="13"/>
    <n v="150"/>
    <n v="345.33"/>
    <x v="3"/>
    <d v="2024-05-24T00:00:00"/>
    <d v="2024-06-28T00:00:00"/>
    <x v="2"/>
    <x v="1"/>
    <n v="4489.29"/>
    <x v="121"/>
    <x v="1"/>
    <x v="1"/>
  </r>
  <r>
    <n v="29513"/>
    <x v="7"/>
    <x v="3"/>
    <n v="157"/>
    <n v="30"/>
    <n v="199.44"/>
    <x v="0"/>
    <d v="2024-11-14T00:00:00"/>
    <d v="2024-12-15T00:00:00"/>
    <x v="1"/>
    <x v="0"/>
    <n v="31312.079999999998"/>
    <x v="0"/>
    <x v="0"/>
    <x v="0"/>
  </r>
  <r>
    <n v="67194"/>
    <x v="6"/>
    <x v="3"/>
    <n v="486"/>
    <n v="150"/>
    <n v="137.97"/>
    <x v="1"/>
    <d v="2024-04-17T00:00:00"/>
    <d v="2024-05-06T00:00:00"/>
    <x v="1"/>
    <x v="0"/>
    <n v="67053.42"/>
    <x v="0"/>
    <x v="0"/>
    <x v="0"/>
  </r>
  <r>
    <n v="72054"/>
    <x v="10"/>
    <x v="2"/>
    <n v="57"/>
    <n v="150"/>
    <n v="117.51"/>
    <x v="0"/>
    <d v="2024-02-16T00:00:00"/>
    <d v="2024-03-03T00:00:00"/>
    <x v="0"/>
    <x v="1"/>
    <n v="6698.0700000000006"/>
    <x v="41"/>
    <x v="1"/>
    <x v="1"/>
  </r>
  <r>
    <n v="90635"/>
    <x v="10"/>
    <x v="2"/>
    <n v="386"/>
    <n v="80"/>
    <n v="145.38"/>
    <x v="1"/>
    <d v="2024-03-27T00:00:00"/>
    <d v="2024-04-26T00:00:00"/>
    <x v="0"/>
    <x v="0"/>
    <n v="56116.68"/>
    <x v="0"/>
    <x v="0"/>
    <x v="0"/>
  </r>
  <r>
    <n v="39063"/>
    <x v="1"/>
    <x v="0"/>
    <n v="425"/>
    <n v="150"/>
    <n v="415.88"/>
    <x v="1"/>
    <d v="2024-07-30T00:00:00"/>
    <d v="2024-08-23T00:00:00"/>
    <x v="0"/>
    <x v="0"/>
    <n v="176749"/>
    <x v="0"/>
    <x v="1"/>
    <x v="0"/>
  </r>
  <r>
    <n v="25921"/>
    <x v="7"/>
    <x v="3"/>
    <n v="76"/>
    <n v="80"/>
    <n v="186.81"/>
    <x v="3"/>
    <d v="2024-06-21T00:00:00"/>
    <d v="2024-07-13T00:00:00"/>
    <x v="0"/>
    <x v="1"/>
    <n v="14197.56"/>
    <x v="64"/>
    <x v="1"/>
    <x v="1"/>
  </r>
  <r>
    <n v="21683"/>
    <x v="16"/>
    <x v="3"/>
    <n v="226"/>
    <n v="150"/>
    <n v="44.63"/>
    <x v="0"/>
    <d v="2024-07-17T00:00:00"/>
    <d v="2024-08-02T00:00:00"/>
    <x v="1"/>
    <x v="0"/>
    <n v="10086.380000000001"/>
    <x v="0"/>
    <x v="1"/>
    <x v="0"/>
  </r>
  <r>
    <n v="58266"/>
    <x v="15"/>
    <x v="4"/>
    <n v="365"/>
    <n v="30"/>
    <n v="444.17"/>
    <x v="0"/>
    <d v="2024-05-12T00:00:00"/>
    <d v="2024-06-01T00:00:00"/>
    <x v="1"/>
    <x v="0"/>
    <n v="162122.05000000002"/>
    <x v="0"/>
    <x v="0"/>
    <x v="0"/>
  </r>
  <r>
    <n v="60411"/>
    <x v="15"/>
    <x v="4"/>
    <n v="118"/>
    <n v="30"/>
    <n v="364.87"/>
    <x v="0"/>
    <d v="2024-05-17T00:00:00"/>
    <d v="2024-06-08T00:00:00"/>
    <x v="2"/>
    <x v="0"/>
    <n v="43054.66"/>
    <x v="0"/>
    <x v="0"/>
    <x v="0"/>
  </r>
  <r>
    <n v="83694"/>
    <x v="3"/>
    <x v="2"/>
    <n v="115"/>
    <n v="40"/>
    <n v="174.3"/>
    <x v="1"/>
    <d v="2024-07-19T00:00:00"/>
    <d v="2024-08-14T00:00:00"/>
    <x v="0"/>
    <x v="0"/>
    <n v="20044.5"/>
    <x v="0"/>
    <x v="1"/>
    <x v="0"/>
  </r>
  <r>
    <n v="27301"/>
    <x v="15"/>
    <x v="4"/>
    <n v="129"/>
    <n v="80"/>
    <n v="314.19"/>
    <x v="2"/>
    <d v="2024-06-13T00:00:00"/>
    <d v="2024-06-24T00:00:00"/>
    <x v="2"/>
    <x v="0"/>
    <n v="40530.51"/>
    <x v="0"/>
    <x v="1"/>
    <x v="0"/>
  </r>
  <r>
    <n v="48751"/>
    <x v="15"/>
    <x v="4"/>
    <n v="427"/>
    <n v="30"/>
    <n v="97.28"/>
    <x v="3"/>
    <d v="2024-09-03T00:00:00"/>
    <d v="2024-09-22T00:00:00"/>
    <x v="0"/>
    <x v="0"/>
    <n v="41538.559999999998"/>
    <x v="0"/>
    <x v="0"/>
    <x v="0"/>
  </r>
  <r>
    <n v="66782"/>
    <x v="6"/>
    <x v="3"/>
    <n v="238"/>
    <n v="30"/>
    <n v="46.17"/>
    <x v="3"/>
    <d v="2024-03-25T00:00:00"/>
    <d v="2024-04-10T00:00:00"/>
    <x v="2"/>
    <x v="0"/>
    <n v="10988.460000000001"/>
    <x v="0"/>
    <x v="0"/>
    <x v="0"/>
  </r>
  <r>
    <n v="10029"/>
    <x v="12"/>
    <x v="0"/>
    <n v="38"/>
    <n v="100"/>
    <n v="445.35"/>
    <x v="2"/>
    <d v="2024-07-05T00:00:00"/>
    <d v="2024-07-14T00:00:00"/>
    <x v="1"/>
    <x v="1"/>
    <n v="16923.3"/>
    <x v="57"/>
    <x v="1"/>
    <x v="1"/>
  </r>
  <r>
    <n v="46827"/>
    <x v="10"/>
    <x v="2"/>
    <n v="73"/>
    <n v="150"/>
    <n v="158.29"/>
    <x v="2"/>
    <d v="2024-02-29T00:00:00"/>
    <d v="2024-03-28T00:00:00"/>
    <x v="1"/>
    <x v="1"/>
    <n v="11555.17"/>
    <x v="87"/>
    <x v="1"/>
    <x v="1"/>
  </r>
  <r>
    <n v="53884"/>
    <x v="3"/>
    <x v="2"/>
    <n v="468"/>
    <n v="40"/>
    <n v="401.96"/>
    <x v="0"/>
    <d v="2024-06-08T00:00:00"/>
    <d v="2024-06-14T00:00:00"/>
    <x v="1"/>
    <x v="0"/>
    <n v="188117.28"/>
    <x v="0"/>
    <x v="0"/>
    <x v="0"/>
  </r>
  <r>
    <n v="87391"/>
    <x v="8"/>
    <x v="1"/>
    <n v="254"/>
    <n v="150"/>
    <n v="176.59"/>
    <x v="1"/>
    <d v="2024-05-18T00:00:00"/>
    <d v="2024-06-05T00:00:00"/>
    <x v="2"/>
    <x v="0"/>
    <n v="44853.86"/>
    <x v="0"/>
    <x v="1"/>
    <x v="0"/>
  </r>
  <r>
    <n v="10357"/>
    <x v="14"/>
    <x v="4"/>
    <n v="79"/>
    <n v="100"/>
    <n v="406.41"/>
    <x v="4"/>
    <d v="2024-09-30T00:00:00"/>
    <d v="2024-10-30T00:00:00"/>
    <x v="2"/>
    <x v="1"/>
    <n v="32106.390000000003"/>
    <x v="28"/>
    <x v="1"/>
    <x v="1"/>
  </r>
  <r>
    <n v="14447"/>
    <x v="8"/>
    <x v="1"/>
    <n v="198"/>
    <n v="20"/>
    <n v="238.29"/>
    <x v="2"/>
    <d v="2024-04-23T00:00:00"/>
    <d v="2024-05-18T00:00:00"/>
    <x v="2"/>
    <x v="0"/>
    <n v="47181.42"/>
    <x v="0"/>
    <x v="0"/>
    <x v="0"/>
  </r>
  <r>
    <n v="40262"/>
    <x v="4"/>
    <x v="0"/>
    <n v="142"/>
    <n v="150"/>
    <n v="271.22000000000003"/>
    <x v="2"/>
    <d v="2024-09-18T00:00:00"/>
    <d v="2024-10-25T00:00:00"/>
    <x v="1"/>
    <x v="1"/>
    <n v="38513.240000000005"/>
    <x v="44"/>
    <x v="1"/>
    <x v="1"/>
  </r>
  <r>
    <n v="45330"/>
    <x v="14"/>
    <x v="4"/>
    <n v="289"/>
    <n v="20"/>
    <n v="153.69999999999999"/>
    <x v="3"/>
    <d v="2024-07-03T00:00:00"/>
    <d v="2024-07-21T00:00:00"/>
    <x v="0"/>
    <x v="0"/>
    <n v="44419.299999999996"/>
    <x v="0"/>
    <x v="0"/>
    <x v="0"/>
  </r>
  <r>
    <n v="11027"/>
    <x v="12"/>
    <x v="0"/>
    <n v="47"/>
    <n v="100"/>
    <n v="484.58"/>
    <x v="2"/>
    <d v="2024-06-14T00:00:00"/>
    <d v="2024-06-22T00:00:00"/>
    <x v="1"/>
    <x v="1"/>
    <n v="22775.26"/>
    <x v="97"/>
    <x v="1"/>
    <x v="1"/>
  </r>
  <r>
    <n v="31873"/>
    <x v="8"/>
    <x v="1"/>
    <n v="225"/>
    <n v="50"/>
    <n v="169.64"/>
    <x v="4"/>
    <d v="2024-12-18T00:00:00"/>
    <d v="2024-12-30T00:00:00"/>
    <x v="0"/>
    <x v="0"/>
    <n v="38169"/>
    <x v="0"/>
    <x v="0"/>
    <x v="0"/>
  </r>
  <r>
    <n v="31643"/>
    <x v="0"/>
    <x v="0"/>
    <n v="196"/>
    <n v="150"/>
    <n v="165.81"/>
    <x v="3"/>
    <d v="2024-05-01T00:00:00"/>
    <d v="2024-05-12T00:00:00"/>
    <x v="1"/>
    <x v="0"/>
    <n v="32498.760000000002"/>
    <x v="0"/>
    <x v="1"/>
    <x v="0"/>
  </r>
  <r>
    <n v="39404"/>
    <x v="6"/>
    <x v="3"/>
    <n v="48"/>
    <n v="100"/>
    <n v="123.53"/>
    <x v="1"/>
    <d v="2024-01-27T00:00:00"/>
    <d v="2024-02-08T00:00:00"/>
    <x v="0"/>
    <x v="1"/>
    <n v="5929.4400000000005"/>
    <x v="30"/>
    <x v="1"/>
    <x v="1"/>
  </r>
  <r>
    <n v="98018"/>
    <x v="14"/>
    <x v="4"/>
    <n v="70"/>
    <n v="100"/>
    <n v="111.56"/>
    <x v="4"/>
    <d v="2024-09-02T00:00:00"/>
    <d v="2024-09-10T00:00:00"/>
    <x v="0"/>
    <x v="1"/>
    <n v="7809.2"/>
    <x v="68"/>
    <x v="1"/>
    <x v="1"/>
  </r>
  <r>
    <n v="91823"/>
    <x v="2"/>
    <x v="1"/>
    <n v="173"/>
    <n v="20"/>
    <n v="146.04"/>
    <x v="2"/>
    <d v="2024-10-23T00:00:00"/>
    <d v="2024-11-04T00:00:00"/>
    <x v="0"/>
    <x v="0"/>
    <n v="25264.92"/>
    <x v="0"/>
    <x v="0"/>
    <x v="0"/>
  </r>
  <r>
    <n v="62282"/>
    <x v="1"/>
    <x v="0"/>
    <n v="472"/>
    <n v="30"/>
    <n v="285.47000000000003"/>
    <x v="3"/>
    <d v="2024-03-29T00:00:00"/>
    <d v="2024-04-12T00:00:00"/>
    <x v="1"/>
    <x v="0"/>
    <n v="134741.84000000003"/>
    <x v="0"/>
    <x v="0"/>
    <x v="0"/>
  </r>
  <r>
    <n v="35594"/>
    <x v="12"/>
    <x v="0"/>
    <n v="280"/>
    <n v="80"/>
    <n v="122.61"/>
    <x v="2"/>
    <d v="2024-11-05T00:00:00"/>
    <d v="2024-12-13T00:00:00"/>
    <x v="1"/>
    <x v="0"/>
    <n v="34330.800000000003"/>
    <x v="0"/>
    <x v="0"/>
    <x v="0"/>
  </r>
  <r>
    <n v="27540"/>
    <x v="2"/>
    <x v="1"/>
    <n v="312"/>
    <n v="40"/>
    <n v="287.27"/>
    <x v="2"/>
    <d v="2024-04-25T00:00:00"/>
    <d v="2024-05-11T00:00:00"/>
    <x v="0"/>
    <x v="0"/>
    <n v="89628.239999999991"/>
    <x v="0"/>
    <x v="0"/>
    <x v="0"/>
  </r>
  <r>
    <n v="71388"/>
    <x v="10"/>
    <x v="2"/>
    <n v="443"/>
    <n v="20"/>
    <n v="231.57"/>
    <x v="2"/>
    <d v="2024-10-24T00:00:00"/>
    <d v="2024-11-07T00:00:00"/>
    <x v="0"/>
    <x v="0"/>
    <n v="102585.51"/>
    <x v="0"/>
    <x v="0"/>
    <x v="0"/>
  </r>
  <r>
    <n v="93492"/>
    <x v="2"/>
    <x v="1"/>
    <n v="368"/>
    <n v="50"/>
    <n v="411.75"/>
    <x v="0"/>
    <d v="2024-04-30T00:00:00"/>
    <d v="2024-05-07T00:00:00"/>
    <x v="1"/>
    <x v="0"/>
    <n v="151524"/>
    <x v="0"/>
    <x v="0"/>
    <x v="0"/>
  </r>
  <r>
    <n v="31788"/>
    <x v="2"/>
    <x v="1"/>
    <n v="465"/>
    <n v="20"/>
    <n v="467.16"/>
    <x v="0"/>
    <d v="2024-06-26T00:00:00"/>
    <d v="2024-07-09T00:00:00"/>
    <x v="2"/>
    <x v="0"/>
    <n v="217229.40000000002"/>
    <x v="0"/>
    <x v="0"/>
    <x v="0"/>
  </r>
  <r>
    <n v="55147"/>
    <x v="13"/>
    <x v="3"/>
    <n v="123"/>
    <n v="20"/>
    <n v="24.14"/>
    <x v="0"/>
    <d v="2024-04-18T00:00:00"/>
    <d v="2024-05-23T00:00:00"/>
    <x v="1"/>
    <x v="0"/>
    <n v="2969.2200000000003"/>
    <x v="0"/>
    <x v="0"/>
    <x v="0"/>
  </r>
  <r>
    <n v="67811"/>
    <x v="4"/>
    <x v="0"/>
    <n v="226"/>
    <n v="40"/>
    <n v="22.26"/>
    <x v="1"/>
    <d v="2024-04-07T00:00:00"/>
    <d v="2024-04-25T00:00:00"/>
    <x v="1"/>
    <x v="0"/>
    <n v="5030.76"/>
    <x v="0"/>
    <x v="0"/>
    <x v="0"/>
  </r>
  <r>
    <n v="43945"/>
    <x v="5"/>
    <x v="2"/>
    <n v="255"/>
    <n v="40"/>
    <n v="327.23"/>
    <x v="0"/>
    <d v="2024-12-05T00:00:00"/>
    <d v="2025-01-08T00:00:00"/>
    <x v="1"/>
    <x v="0"/>
    <n v="83443.650000000009"/>
    <x v="0"/>
    <x v="0"/>
    <x v="0"/>
  </r>
  <r>
    <n v="69643"/>
    <x v="16"/>
    <x v="3"/>
    <n v="133"/>
    <n v="50"/>
    <n v="401.2"/>
    <x v="0"/>
    <d v="2024-10-06T00:00:00"/>
    <d v="2024-11-13T00:00:00"/>
    <x v="1"/>
    <x v="0"/>
    <n v="53359.6"/>
    <x v="0"/>
    <x v="1"/>
    <x v="0"/>
  </r>
  <r>
    <n v="85768"/>
    <x v="1"/>
    <x v="0"/>
    <n v="318"/>
    <n v="150"/>
    <n v="196.16"/>
    <x v="4"/>
    <d v="2024-01-30T00:00:00"/>
    <d v="2024-03-04T00:00:00"/>
    <x v="0"/>
    <x v="0"/>
    <n v="62378.879999999997"/>
    <x v="0"/>
    <x v="1"/>
    <x v="0"/>
  </r>
  <r>
    <n v="78197"/>
    <x v="4"/>
    <x v="0"/>
    <n v="149"/>
    <n v="20"/>
    <n v="150.03"/>
    <x v="0"/>
    <d v="2024-01-21T00:00:00"/>
    <d v="2024-02-21T00:00:00"/>
    <x v="2"/>
    <x v="0"/>
    <n v="22354.47"/>
    <x v="0"/>
    <x v="0"/>
    <x v="0"/>
  </r>
  <r>
    <n v="41408"/>
    <x v="4"/>
    <x v="0"/>
    <n v="287"/>
    <n v="50"/>
    <n v="336.6"/>
    <x v="4"/>
    <d v="2024-09-01T00:00:00"/>
    <d v="2024-09-08T00:00:00"/>
    <x v="2"/>
    <x v="0"/>
    <n v="96604.200000000012"/>
    <x v="0"/>
    <x v="0"/>
    <x v="0"/>
  </r>
  <r>
    <n v="43132"/>
    <x v="3"/>
    <x v="2"/>
    <n v="275"/>
    <n v="150"/>
    <n v="192.44"/>
    <x v="0"/>
    <d v="2024-02-09T00:00:00"/>
    <d v="2024-03-11T00:00:00"/>
    <x v="1"/>
    <x v="0"/>
    <n v="52921"/>
    <x v="0"/>
    <x v="1"/>
    <x v="0"/>
  </r>
  <r>
    <n v="96665"/>
    <x v="12"/>
    <x v="0"/>
    <n v="77"/>
    <n v="150"/>
    <n v="39.479999999999997"/>
    <x v="0"/>
    <d v="2024-08-16T00:00:00"/>
    <d v="2024-09-09T00:00:00"/>
    <x v="2"/>
    <x v="1"/>
    <n v="3039.9599999999996"/>
    <x v="92"/>
    <x v="1"/>
    <x v="1"/>
  </r>
  <r>
    <n v="37802"/>
    <x v="2"/>
    <x v="1"/>
    <n v="382"/>
    <n v="30"/>
    <n v="287.07"/>
    <x v="1"/>
    <d v="2024-06-11T00:00:00"/>
    <d v="2024-06-22T00:00:00"/>
    <x v="0"/>
    <x v="0"/>
    <n v="109660.73999999999"/>
    <x v="0"/>
    <x v="0"/>
    <x v="0"/>
  </r>
  <r>
    <n v="68812"/>
    <x v="3"/>
    <x v="2"/>
    <n v="454"/>
    <n v="100"/>
    <n v="203.3"/>
    <x v="0"/>
    <d v="2024-11-28T00:00:00"/>
    <d v="2024-12-04T00:00:00"/>
    <x v="2"/>
    <x v="0"/>
    <n v="92298.200000000012"/>
    <x v="0"/>
    <x v="0"/>
    <x v="0"/>
  </r>
  <r>
    <n v="33950"/>
    <x v="2"/>
    <x v="1"/>
    <n v="257"/>
    <n v="40"/>
    <n v="322.8"/>
    <x v="2"/>
    <d v="2024-10-02T00:00:00"/>
    <d v="2024-10-29T00:00:00"/>
    <x v="1"/>
    <x v="0"/>
    <n v="82959.600000000006"/>
    <x v="0"/>
    <x v="0"/>
    <x v="0"/>
  </r>
  <r>
    <n v="97108"/>
    <x v="10"/>
    <x v="2"/>
    <n v="433"/>
    <n v="20"/>
    <n v="168.57"/>
    <x v="1"/>
    <d v="2024-05-28T00:00:00"/>
    <d v="2024-06-08T00:00:00"/>
    <x v="1"/>
    <x v="0"/>
    <n v="72990.81"/>
    <x v="0"/>
    <x v="0"/>
    <x v="0"/>
  </r>
  <r>
    <n v="59630"/>
    <x v="7"/>
    <x v="3"/>
    <n v="389"/>
    <n v="100"/>
    <n v="268.86"/>
    <x v="1"/>
    <d v="2024-09-14T00:00:00"/>
    <d v="2024-10-13T00:00:00"/>
    <x v="2"/>
    <x v="0"/>
    <n v="104586.54000000001"/>
    <x v="0"/>
    <x v="0"/>
    <x v="0"/>
  </r>
  <r>
    <n v="37133"/>
    <x v="7"/>
    <x v="3"/>
    <n v="145"/>
    <n v="20"/>
    <n v="275.91000000000003"/>
    <x v="4"/>
    <d v="2024-03-26T00:00:00"/>
    <d v="2024-03-31T00:00:00"/>
    <x v="0"/>
    <x v="0"/>
    <n v="40006.950000000004"/>
    <x v="0"/>
    <x v="0"/>
    <x v="0"/>
  </r>
  <r>
    <n v="41742"/>
    <x v="2"/>
    <x v="1"/>
    <n v="256"/>
    <n v="80"/>
    <n v="191.84"/>
    <x v="0"/>
    <d v="2024-07-27T00:00:00"/>
    <d v="2024-08-12T00:00:00"/>
    <x v="1"/>
    <x v="0"/>
    <n v="49111.040000000001"/>
    <x v="0"/>
    <x v="0"/>
    <x v="0"/>
  </r>
  <r>
    <n v="92283"/>
    <x v="5"/>
    <x v="2"/>
    <n v="409"/>
    <n v="150"/>
    <n v="431.72"/>
    <x v="2"/>
    <d v="2024-06-02T00:00:00"/>
    <d v="2024-06-09T00:00:00"/>
    <x v="0"/>
    <x v="0"/>
    <n v="176573.48"/>
    <x v="0"/>
    <x v="1"/>
    <x v="0"/>
  </r>
  <r>
    <n v="61134"/>
    <x v="11"/>
    <x v="4"/>
    <n v="356"/>
    <n v="40"/>
    <n v="43.27"/>
    <x v="1"/>
    <d v="2024-11-13T00:00:00"/>
    <d v="2024-11-28T00:00:00"/>
    <x v="0"/>
    <x v="0"/>
    <n v="15404.12"/>
    <x v="0"/>
    <x v="0"/>
    <x v="0"/>
  </r>
  <r>
    <n v="50739"/>
    <x v="10"/>
    <x v="2"/>
    <n v="106"/>
    <n v="20"/>
    <n v="381.8"/>
    <x v="0"/>
    <d v="2024-09-28T00:00:00"/>
    <d v="2024-10-15T00:00:00"/>
    <x v="2"/>
    <x v="0"/>
    <n v="40470.800000000003"/>
    <x v="0"/>
    <x v="0"/>
    <x v="0"/>
  </r>
  <r>
    <n v="63001"/>
    <x v="11"/>
    <x v="4"/>
    <n v="80"/>
    <n v="100"/>
    <n v="270.08999999999997"/>
    <x v="0"/>
    <d v="2024-01-30T00:00:00"/>
    <d v="2024-02-10T00:00:00"/>
    <x v="2"/>
    <x v="1"/>
    <n v="21607.199999999997"/>
    <x v="53"/>
    <x v="1"/>
    <x v="1"/>
  </r>
  <r>
    <n v="76981"/>
    <x v="3"/>
    <x v="2"/>
    <n v="36"/>
    <n v="50"/>
    <n v="410.84"/>
    <x v="1"/>
    <d v="2024-09-11T00:00:00"/>
    <d v="2024-10-07T00:00:00"/>
    <x v="1"/>
    <x v="1"/>
    <n v="14790.24"/>
    <x v="46"/>
    <x v="1"/>
    <x v="1"/>
  </r>
  <r>
    <n v="23403"/>
    <x v="6"/>
    <x v="3"/>
    <n v="168"/>
    <n v="30"/>
    <n v="405.89"/>
    <x v="1"/>
    <d v="2024-11-16T00:00:00"/>
    <d v="2024-12-05T00:00:00"/>
    <x v="1"/>
    <x v="0"/>
    <n v="68189.52"/>
    <x v="0"/>
    <x v="0"/>
    <x v="0"/>
  </r>
  <r>
    <n v="52517"/>
    <x v="15"/>
    <x v="4"/>
    <n v="316"/>
    <n v="150"/>
    <n v="320.88"/>
    <x v="2"/>
    <d v="2024-04-12T00:00:00"/>
    <d v="2024-05-03T00:00:00"/>
    <x v="1"/>
    <x v="0"/>
    <n v="101398.08"/>
    <x v="0"/>
    <x v="1"/>
    <x v="0"/>
  </r>
  <r>
    <n v="82454"/>
    <x v="3"/>
    <x v="2"/>
    <n v="416"/>
    <n v="30"/>
    <n v="189.27"/>
    <x v="4"/>
    <d v="2024-10-28T00:00:00"/>
    <d v="2024-11-28T00:00:00"/>
    <x v="0"/>
    <x v="0"/>
    <n v="78736.320000000007"/>
    <x v="0"/>
    <x v="0"/>
    <x v="0"/>
  </r>
  <r>
    <n v="23750"/>
    <x v="14"/>
    <x v="4"/>
    <n v="360"/>
    <n v="100"/>
    <n v="183.4"/>
    <x v="2"/>
    <d v="2024-03-16T00:00:00"/>
    <d v="2024-04-19T00:00:00"/>
    <x v="2"/>
    <x v="0"/>
    <n v="66024"/>
    <x v="0"/>
    <x v="0"/>
    <x v="0"/>
  </r>
  <r>
    <n v="69207"/>
    <x v="4"/>
    <x v="0"/>
    <n v="365"/>
    <n v="40"/>
    <n v="219.54"/>
    <x v="1"/>
    <d v="2024-09-19T00:00:00"/>
    <d v="2024-10-23T00:00:00"/>
    <x v="2"/>
    <x v="0"/>
    <n v="80132.099999999991"/>
    <x v="0"/>
    <x v="0"/>
    <x v="0"/>
  </r>
  <r>
    <n v="75430"/>
    <x v="11"/>
    <x v="4"/>
    <n v="145"/>
    <n v="30"/>
    <n v="442.17"/>
    <x v="1"/>
    <d v="2024-06-07T00:00:00"/>
    <d v="2024-07-01T00:00:00"/>
    <x v="0"/>
    <x v="0"/>
    <n v="64114.65"/>
    <x v="0"/>
    <x v="0"/>
    <x v="0"/>
  </r>
  <r>
    <n v="70843"/>
    <x v="16"/>
    <x v="3"/>
    <n v="177"/>
    <n v="80"/>
    <n v="275.95"/>
    <x v="2"/>
    <d v="2024-01-15T00:00:00"/>
    <d v="2024-02-14T00:00:00"/>
    <x v="2"/>
    <x v="0"/>
    <n v="48843.15"/>
    <x v="0"/>
    <x v="1"/>
    <x v="0"/>
  </r>
  <r>
    <n v="38869"/>
    <x v="13"/>
    <x v="3"/>
    <n v="106"/>
    <n v="40"/>
    <n v="384.96"/>
    <x v="4"/>
    <d v="2024-02-07T00:00:00"/>
    <d v="2024-03-15T00:00:00"/>
    <x v="1"/>
    <x v="0"/>
    <n v="40805.759999999995"/>
    <x v="0"/>
    <x v="1"/>
    <x v="0"/>
  </r>
  <r>
    <n v="60193"/>
    <x v="1"/>
    <x v="0"/>
    <n v="6"/>
    <n v="30"/>
    <n v="257.14999999999998"/>
    <x v="2"/>
    <d v="2024-03-02T00:00:00"/>
    <d v="2024-03-29T00:00:00"/>
    <x v="1"/>
    <x v="1"/>
    <n v="1542.8999999999999"/>
    <x v="69"/>
    <x v="1"/>
    <x v="1"/>
  </r>
  <r>
    <n v="84174"/>
    <x v="5"/>
    <x v="2"/>
    <n v="66"/>
    <n v="80"/>
    <n v="195.64"/>
    <x v="1"/>
    <d v="2024-02-28T00:00:00"/>
    <d v="2024-03-08T00:00:00"/>
    <x v="2"/>
    <x v="1"/>
    <n v="12912.24"/>
    <x v="46"/>
    <x v="1"/>
    <x v="1"/>
  </r>
  <r>
    <n v="67487"/>
    <x v="8"/>
    <x v="1"/>
    <n v="359"/>
    <n v="40"/>
    <n v="138.51"/>
    <x v="4"/>
    <d v="2024-05-17T00:00:00"/>
    <d v="2024-06-13T00:00:00"/>
    <x v="1"/>
    <x v="0"/>
    <n v="49725.09"/>
    <x v="0"/>
    <x v="0"/>
    <x v="0"/>
  </r>
  <r>
    <n v="33138"/>
    <x v="16"/>
    <x v="3"/>
    <n v="306"/>
    <n v="30"/>
    <n v="13.69"/>
    <x v="4"/>
    <d v="2024-10-28T00:00:00"/>
    <d v="2024-11-22T00:00:00"/>
    <x v="1"/>
    <x v="0"/>
    <n v="4189.1399999999994"/>
    <x v="0"/>
    <x v="0"/>
    <x v="0"/>
  </r>
  <r>
    <n v="91122"/>
    <x v="2"/>
    <x v="1"/>
    <n v="267"/>
    <n v="80"/>
    <n v="331.26"/>
    <x v="3"/>
    <d v="2024-10-26T00:00:00"/>
    <d v="2024-11-08T00:00:00"/>
    <x v="2"/>
    <x v="0"/>
    <n v="88446.42"/>
    <x v="0"/>
    <x v="0"/>
    <x v="0"/>
  </r>
  <r>
    <n v="91919"/>
    <x v="11"/>
    <x v="4"/>
    <n v="358"/>
    <n v="50"/>
    <n v="272.64999999999998"/>
    <x v="1"/>
    <d v="2024-02-21T00:00:00"/>
    <d v="2024-03-31T00:00:00"/>
    <x v="0"/>
    <x v="0"/>
    <n v="97608.7"/>
    <x v="0"/>
    <x v="0"/>
    <x v="0"/>
  </r>
  <r>
    <n v="99897"/>
    <x v="10"/>
    <x v="2"/>
    <n v="260"/>
    <n v="100"/>
    <n v="373.28"/>
    <x v="3"/>
    <d v="2024-08-09T00:00:00"/>
    <d v="2024-09-03T00:00:00"/>
    <x v="1"/>
    <x v="0"/>
    <n v="97052.799999999988"/>
    <x v="0"/>
    <x v="1"/>
    <x v="0"/>
  </r>
  <r>
    <n v="52240"/>
    <x v="10"/>
    <x v="2"/>
    <n v="449"/>
    <n v="80"/>
    <n v="496.47"/>
    <x v="0"/>
    <d v="2024-10-16T00:00:00"/>
    <d v="2024-10-21T00:00:00"/>
    <x v="2"/>
    <x v="0"/>
    <n v="222915.03"/>
    <x v="0"/>
    <x v="0"/>
    <x v="0"/>
  </r>
  <r>
    <n v="38111"/>
    <x v="12"/>
    <x v="0"/>
    <n v="397"/>
    <n v="100"/>
    <n v="321.57"/>
    <x v="4"/>
    <d v="2024-09-13T00:00:00"/>
    <d v="2024-10-09T00:00:00"/>
    <x v="2"/>
    <x v="0"/>
    <n v="127663.29"/>
    <x v="0"/>
    <x v="0"/>
    <x v="0"/>
  </r>
  <r>
    <n v="89220"/>
    <x v="15"/>
    <x v="4"/>
    <n v="85"/>
    <n v="100"/>
    <n v="299.52999999999997"/>
    <x v="3"/>
    <d v="2024-07-12T00:00:00"/>
    <d v="2024-07-23T00:00:00"/>
    <x v="1"/>
    <x v="1"/>
    <n v="25460.05"/>
    <x v="119"/>
    <x v="1"/>
    <x v="1"/>
  </r>
  <r>
    <n v="86749"/>
    <x v="1"/>
    <x v="0"/>
    <n v="129"/>
    <n v="150"/>
    <n v="390.78"/>
    <x v="1"/>
    <d v="2024-09-21T00:00:00"/>
    <d v="2024-10-22T00:00:00"/>
    <x v="0"/>
    <x v="1"/>
    <n v="50410.619999999995"/>
    <x v="28"/>
    <x v="1"/>
    <x v="1"/>
  </r>
  <r>
    <n v="80288"/>
    <x v="1"/>
    <x v="0"/>
    <n v="242"/>
    <n v="80"/>
    <n v="245.73"/>
    <x v="0"/>
    <d v="2024-06-25T00:00:00"/>
    <d v="2024-07-01T00:00:00"/>
    <x v="2"/>
    <x v="0"/>
    <n v="59466.659999999996"/>
    <x v="0"/>
    <x v="0"/>
    <x v="0"/>
  </r>
  <r>
    <n v="28007"/>
    <x v="0"/>
    <x v="0"/>
    <n v="125"/>
    <n v="150"/>
    <n v="227.35"/>
    <x v="1"/>
    <d v="2024-12-19T00:00:00"/>
    <d v="2025-01-24T00:00:00"/>
    <x v="1"/>
    <x v="1"/>
    <n v="28418.75"/>
    <x v="11"/>
    <x v="1"/>
    <x v="1"/>
  </r>
  <r>
    <n v="68543"/>
    <x v="8"/>
    <x v="1"/>
    <n v="189"/>
    <n v="40"/>
    <n v="442.11"/>
    <x v="2"/>
    <d v="2024-11-27T00:00:00"/>
    <d v="2024-12-27T00:00:00"/>
    <x v="0"/>
    <x v="0"/>
    <n v="83558.790000000008"/>
    <x v="0"/>
    <x v="0"/>
    <x v="0"/>
  </r>
  <r>
    <n v="75199"/>
    <x v="5"/>
    <x v="2"/>
    <n v="482"/>
    <n v="40"/>
    <n v="279.95999999999998"/>
    <x v="4"/>
    <d v="2024-04-17T00:00:00"/>
    <d v="2024-05-10T00:00:00"/>
    <x v="1"/>
    <x v="0"/>
    <n v="134940.72"/>
    <x v="0"/>
    <x v="0"/>
    <x v="0"/>
  </r>
  <r>
    <n v="97057"/>
    <x v="7"/>
    <x v="3"/>
    <n v="301"/>
    <n v="50"/>
    <n v="461.33"/>
    <x v="2"/>
    <d v="2024-03-14T00:00:00"/>
    <d v="2024-04-19T00:00:00"/>
    <x v="1"/>
    <x v="0"/>
    <n v="138860.32999999999"/>
    <x v="0"/>
    <x v="0"/>
    <x v="0"/>
  </r>
  <r>
    <n v="15217"/>
    <x v="2"/>
    <x v="1"/>
    <n v="438"/>
    <n v="100"/>
    <n v="78.08"/>
    <x v="0"/>
    <d v="2024-01-09T00:00:00"/>
    <d v="2024-01-18T00:00:00"/>
    <x v="1"/>
    <x v="0"/>
    <n v="34199.040000000001"/>
    <x v="0"/>
    <x v="0"/>
    <x v="0"/>
  </r>
  <r>
    <n v="19669"/>
    <x v="14"/>
    <x v="4"/>
    <n v="446"/>
    <n v="30"/>
    <n v="21.43"/>
    <x v="0"/>
    <d v="2024-04-16T00:00:00"/>
    <d v="2024-05-18T00:00:00"/>
    <x v="2"/>
    <x v="0"/>
    <n v="9557.7800000000007"/>
    <x v="0"/>
    <x v="0"/>
    <x v="0"/>
  </r>
  <r>
    <n v="22735"/>
    <x v="10"/>
    <x v="2"/>
    <n v="119"/>
    <n v="30"/>
    <n v="242.37"/>
    <x v="2"/>
    <d v="2024-12-08T00:00:00"/>
    <d v="2024-12-30T00:00:00"/>
    <x v="1"/>
    <x v="0"/>
    <n v="28842.03"/>
    <x v="0"/>
    <x v="0"/>
    <x v="0"/>
  </r>
  <r>
    <n v="40036"/>
    <x v="8"/>
    <x v="1"/>
    <n v="310"/>
    <n v="80"/>
    <n v="266.8"/>
    <x v="3"/>
    <d v="2024-06-16T00:00:00"/>
    <d v="2024-06-28T00:00:00"/>
    <x v="0"/>
    <x v="0"/>
    <n v="82708"/>
    <x v="0"/>
    <x v="0"/>
    <x v="0"/>
  </r>
  <r>
    <n v="55267"/>
    <x v="13"/>
    <x v="3"/>
    <n v="109"/>
    <n v="30"/>
    <n v="77.14"/>
    <x v="2"/>
    <d v="2024-09-09T00:00:00"/>
    <d v="2024-09-22T00:00:00"/>
    <x v="1"/>
    <x v="0"/>
    <n v="8408.26"/>
    <x v="0"/>
    <x v="0"/>
    <x v="0"/>
  </r>
  <r>
    <n v="64716"/>
    <x v="10"/>
    <x v="2"/>
    <n v="229"/>
    <n v="150"/>
    <n v="492.83"/>
    <x v="1"/>
    <d v="2024-05-22T00:00:00"/>
    <d v="2024-06-01T00:00:00"/>
    <x v="2"/>
    <x v="0"/>
    <n v="112858.06999999999"/>
    <x v="0"/>
    <x v="1"/>
    <x v="0"/>
  </r>
  <r>
    <n v="86493"/>
    <x v="6"/>
    <x v="3"/>
    <n v="184"/>
    <n v="40"/>
    <n v="15.82"/>
    <x v="2"/>
    <d v="2024-09-15T00:00:00"/>
    <d v="2024-09-21T00:00:00"/>
    <x v="0"/>
    <x v="0"/>
    <n v="2910.88"/>
    <x v="0"/>
    <x v="0"/>
    <x v="0"/>
  </r>
  <r>
    <n v="21809"/>
    <x v="13"/>
    <x v="3"/>
    <n v="302"/>
    <n v="40"/>
    <n v="446.65"/>
    <x v="1"/>
    <d v="2024-03-24T00:00:00"/>
    <d v="2024-04-19T00:00:00"/>
    <x v="0"/>
    <x v="0"/>
    <n v="134888.29999999999"/>
    <x v="0"/>
    <x v="0"/>
    <x v="0"/>
  </r>
  <r>
    <n v="66632"/>
    <x v="9"/>
    <x v="1"/>
    <n v="257"/>
    <n v="50"/>
    <n v="217.16"/>
    <x v="2"/>
    <d v="2024-02-02T00:00:00"/>
    <d v="2024-02-15T00:00:00"/>
    <x v="2"/>
    <x v="0"/>
    <n v="55810.12"/>
    <x v="0"/>
    <x v="0"/>
    <x v="0"/>
  </r>
  <r>
    <n v="27105"/>
    <x v="4"/>
    <x v="0"/>
    <n v="163"/>
    <n v="40"/>
    <n v="193.24"/>
    <x v="0"/>
    <d v="2024-09-11T00:00:00"/>
    <d v="2024-10-18T00:00:00"/>
    <x v="1"/>
    <x v="0"/>
    <n v="31498.120000000003"/>
    <x v="0"/>
    <x v="0"/>
    <x v="0"/>
  </r>
  <r>
    <n v="27830"/>
    <x v="7"/>
    <x v="3"/>
    <n v="16"/>
    <n v="30"/>
    <n v="425.62"/>
    <x v="1"/>
    <d v="2024-07-03T00:00:00"/>
    <d v="2024-07-14T00:00:00"/>
    <x v="1"/>
    <x v="1"/>
    <n v="6809.92"/>
    <x v="46"/>
    <x v="1"/>
    <x v="1"/>
  </r>
  <r>
    <n v="15391"/>
    <x v="1"/>
    <x v="0"/>
    <n v="7"/>
    <n v="20"/>
    <n v="55.57"/>
    <x v="4"/>
    <d v="2024-08-03T00:00:00"/>
    <d v="2024-09-05T00:00:00"/>
    <x v="0"/>
    <x v="1"/>
    <n v="388.99"/>
    <x v="37"/>
    <x v="1"/>
    <x v="1"/>
  </r>
  <r>
    <n v="59634"/>
    <x v="4"/>
    <x v="0"/>
    <n v="116"/>
    <n v="30"/>
    <n v="206.43"/>
    <x v="3"/>
    <d v="2024-08-22T00:00:00"/>
    <d v="2024-09-08T00:00:00"/>
    <x v="0"/>
    <x v="0"/>
    <n v="23945.88"/>
    <x v="0"/>
    <x v="0"/>
    <x v="0"/>
  </r>
  <r>
    <n v="62513"/>
    <x v="11"/>
    <x v="4"/>
    <n v="107"/>
    <n v="100"/>
    <n v="300.07"/>
    <x v="2"/>
    <d v="2024-05-05T00:00:00"/>
    <d v="2024-05-29T00:00:00"/>
    <x v="2"/>
    <x v="0"/>
    <n v="32107.489999999998"/>
    <x v="0"/>
    <x v="1"/>
    <x v="0"/>
  </r>
  <r>
    <n v="78264"/>
    <x v="9"/>
    <x v="1"/>
    <n v="353"/>
    <n v="40"/>
    <n v="442.54"/>
    <x v="0"/>
    <d v="2024-09-05T00:00:00"/>
    <d v="2024-09-13T00:00:00"/>
    <x v="0"/>
    <x v="0"/>
    <n v="156216.62"/>
    <x v="0"/>
    <x v="0"/>
    <x v="0"/>
  </r>
  <r>
    <n v="87838"/>
    <x v="8"/>
    <x v="1"/>
    <n v="189"/>
    <n v="50"/>
    <n v="448.23"/>
    <x v="3"/>
    <d v="2024-10-15T00:00:00"/>
    <d v="2024-11-07T00:00:00"/>
    <x v="0"/>
    <x v="0"/>
    <n v="84715.47"/>
    <x v="0"/>
    <x v="0"/>
    <x v="0"/>
  </r>
  <r>
    <n v="56212"/>
    <x v="0"/>
    <x v="0"/>
    <n v="239"/>
    <n v="100"/>
    <n v="496.77"/>
    <x v="4"/>
    <d v="2024-10-08T00:00:00"/>
    <d v="2024-10-29T00:00:00"/>
    <x v="0"/>
    <x v="0"/>
    <n v="118728.03"/>
    <x v="0"/>
    <x v="1"/>
    <x v="0"/>
  </r>
  <r>
    <n v="59285"/>
    <x v="9"/>
    <x v="1"/>
    <n v="388"/>
    <n v="80"/>
    <n v="208.77"/>
    <x v="1"/>
    <d v="2024-09-30T00:00:00"/>
    <d v="2024-11-04T00:00:00"/>
    <x v="1"/>
    <x v="0"/>
    <n v="81002.760000000009"/>
    <x v="0"/>
    <x v="0"/>
    <x v="0"/>
  </r>
  <r>
    <n v="19895"/>
    <x v="13"/>
    <x v="3"/>
    <n v="116"/>
    <n v="50"/>
    <n v="386.41"/>
    <x v="0"/>
    <d v="2024-05-28T00:00:00"/>
    <d v="2024-06-03T00:00:00"/>
    <x v="0"/>
    <x v="0"/>
    <n v="44823.560000000005"/>
    <x v="0"/>
    <x v="1"/>
    <x v="0"/>
  </r>
  <r>
    <n v="45502"/>
    <x v="2"/>
    <x v="1"/>
    <n v="4"/>
    <n v="100"/>
    <n v="48.79"/>
    <x v="2"/>
    <d v="2024-11-19T00:00:00"/>
    <d v="2024-12-17T00:00:00"/>
    <x v="0"/>
    <x v="1"/>
    <n v="195.16"/>
    <x v="108"/>
    <x v="1"/>
    <x v="1"/>
  </r>
  <r>
    <n v="71920"/>
    <x v="3"/>
    <x v="2"/>
    <n v="136"/>
    <n v="30"/>
    <n v="452.84"/>
    <x v="3"/>
    <d v="2024-10-06T00:00:00"/>
    <d v="2024-10-14T00:00:00"/>
    <x v="1"/>
    <x v="0"/>
    <n v="61586.239999999998"/>
    <x v="0"/>
    <x v="0"/>
    <x v="0"/>
  </r>
  <r>
    <n v="92071"/>
    <x v="5"/>
    <x v="2"/>
    <n v="139"/>
    <n v="30"/>
    <n v="18.72"/>
    <x v="3"/>
    <d v="2024-07-20T00:00:00"/>
    <d v="2024-08-11T00:00:00"/>
    <x v="2"/>
    <x v="0"/>
    <n v="2602.08"/>
    <x v="0"/>
    <x v="0"/>
    <x v="0"/>
  </r>
  <r>
    <n v="28220"/>
    <x v="15"/>
    <x v="4"/>
    <n v="465"/>
    <n v="20"/>
    <n v="427.29"/>
    <x v="2"/>
    <d v="2024-05-22T00:00:00"/>
    <d v="2024-05-31T00:00:00"/>
    <x v="1"/>
    <x v="0"/>
    <n v="198689.85"/>
    <x v="0"/>
    <x v="0"/>
    <x v="0"/>
  </r>
  <r>
    <n v="89833"/>
    <x v="10"/>
    <x v="2"/>
    <n v="469"/>
    <n v="80"/>
    <n v="129.08000000000001"/>
    <x v="3"/>
    <d v="2024-02-13T00:00:00"/>
    <d v="2024-03-01T00:00:00"/>
    <x v="0"/>
    <x v="0"/>
    <n v="60538.520000000004"/>
    <x v="0"/>
    <x v="0"/>
    <x v="0"/>
  </r>
  <r>
    <n v="74583"/>
    <x v="2"/>
    <x v="1"/>
    <n v="67"/>
    <n v="80"/>
    <n v="420.01"/>
    <x v="3"/>
    <d v="2024-04-11T00:00:00"/>
    <d v="2024-05-20T00:00:00"/>
    <x v="0"/>
    <x v="1"/>
    <n v="28140.67"/>
    <x v="37"/>
    <x v="1"/>
    <x v="1"/>
  </r>
  <r>
    <n v="91622"/>
    <x v="11"/>
    <x v="4"/>
    <n v="57"/>
    <n v="20"/>
    <n v="198.84"/>
    <x v="2"/>
    <d v="2024-02-26T00:00:00"/>
    <d v="2024-04-03T00:00:00"/>
    <x v="1"/>
    <x v="0"/>
    <n v="11333.880000000001"/>
    <x v="0"/>
    <x v="1"/>
    <x v="0"/>
  </r>
  <r>
    <n v="86844"/>
    <x v="6"/>
    <x v="3"/>
    <n v="282"/>
    <n v="20"/>
    <n v="184"/>
    <x v="1"/>
    <d v="2024-08-28T00:00:00"/>
    <d v="2024-09-26T00:00:00"/>
    <x v="0"/>
    <x v="0"/>
    <n v="51888"/>
    <x v="0"/>
    <x v="0"/>
    <x v="0"/>
  </r>
  <r>
    <n v="28223"/>
    <x v="10"/>
    <x v="2"/>
    <n v="405"/>
    <n v="100"/>
    <n v="284.13"/>
    <x v="1"/>
    <d v="2024-02-11T00:00:00"/>
    <d v="2024-03-06T00:00:00"/>
    <x v="0"/>
    <x v="0"/>
    <n v="115072.65"/>
    <x v="0"/>
    <x v="0"/>
    <x v="0"/>
  </r>
  <r>
    <n v="22911"/>
    <x v="11"/>
    <x v="4"/>
    <n v="201"/>
    <n v="80"/>
    <n v="494.91"/>
    <x v="3"/>
    <d v="2024-02-08T00:00:00"/>
    <d v="2024-02-23T00:00:00"/>
    <x v="2"/>
    <x v="0"/>
    <n v="99476.91"/>
    <x v="0"/>
    <x v="1"/>
    <x v="0"/>
  </r>
  <r>
    <n v="92888"/>
    <x v="4"/>
    <x v="0"/>
    <n v="292"/>
    <n v="150"/>
    <n v="233.2"/>
    <x v="4"/>
    <d v="2024-04-02T00:00:00"/>
    <d v="2024-05-08T00:00:00"/>
    <x v="0"/>
    <x v="0"/>
    <n v="68094.399999999994"/>
    <x v="0"/>
    <x v="1"/>
    <x v="0"/>
  </r>
  <r>
    <n v="24866"/>
    <x v="15"/>
    <x v="4"/>
    <n v="427"/>
    <n v="30"/>
    <n v="91.16"/>
    <x v="4"/>
    <d v="2024-07-22T00:00:00"/>
    <d v="2024-08-13T00:00:00"/>
    <x v="1"/>
    <x v="0"/>
    <n v="38925.32"/>
    <x v="0"/>
    <x v="0"/>
    <x v="0"/>
  </r>
  <r>
    <n v="75327"/>
    <x v="16"/>
    <x v="3"/>
    <n v="161"/>
    <n v="30"/>
    <n v="428.06"/>
    <x v="0"/>
    <d v="2024-03-23T00:00:00"/>
    <d v="2024-04-23T00:00:00"/>
    <x v="0"/>
    <x v="0"/>
    <n v="68917.66"/>
    <x v="0"/>
    <x v="0"/>
    <x v="0"/>
  </r>
  <r>
    <n v="92341"/>
    <x v="2"/>
    <x v="1"/>
    <n v="17"/>
    <n v="20"/>
    <n v="100.3"/>
    <x v="2"/>
    <d v="2024-10-07T00:00:00"/>
    <d v="2024-10-25T00:00:00"/>
    <x v="2"/>
    <x v="1"/>
    <n v="1705.1"/>
    <x v="47"/>
    <x v="1"/>
    <x v="1"/>
  </r>
  <r>
    <n v="43617"/>
    <x v="11"/>
    <x v="4"/>
    <n v="290"/>
    <n v="40"/>
    <n v="226.81"/>
    <x v="3"/>
    <d v="2024-10-05T00:00:00"/>
    <d v="2024-11-03T00:00:00"/>
    <x v="0"/>
    <x v="0"/>
    <n v="65774.899999999994"/>
    <x v="0"/>
    <x v="0"/>
    <x v="0"/>
  </r>
  <r>
    <n v="19651"/>
    <x v="0"/>
    <x v="0"/>
    <n v="440"/>
    <n v="40"/>
    <n v="259.64999999999998"/>
    <x v="2"/>
    <d v="2024-06-01T00:00:00"/>
    <d v="2024-07-06T00:00:00"/>
    <x v="0"/>
    <x v="0"/>
    <n v="114245.99999999999"/>
    <x v="0"/>
    <x v="0"/>
    <x v="0"/>
  </r>
  <r>
    <n v="44890"/>
    <x v="3"/>
    <x v="2"/>
    <n v="481"/>
    <n v="100"/>
    <n v="245.44"/>
    <x v="4"/>
    <d v="2024-09-15T00:00:00"/>
    <d v="2024-10-22T00:00:00"/>
    <x v="0"/>
    <x v="0"/>
    <n v="118056.64"/>
    <x v="0"/>
    <x v="0"/>
    <x v="0"/>
  </r>
  <r>
    <n v="37609"/>
    <x v="15"/>
    <x v="4"/>
    <n v="209"/>
    <n v="150"/>
    <n v="484.71"/>
    <x v="3"/>
    <d v="2024-07-10T00:00:00"/>
    <d v="2024-08-11T00:00:00"/>
    <x v="2"/>
    <x v="0"/>
    <n v="101304.39"/>
    <x v="0"/>
    <x v="1"/>
    <x v="0"/>
  </r>
  <r>
    <n v="13302"/>
    <x v="13"/>
    <x v="3"/>
    <n v="446"/>
    <n v="100"/>
    <n v="36.19"/>
    <x v="0"/>
    <d v="2024-06-02T00:00:00"/>
    <d v="2024-07-08T00:00:00"/>
    <x v="0"/>
    <x v="0"/>
    <n v="16140.74"/>
    <x v="0"/>
    <x v="0"/>
    <x v="0"/>
  </r>
  <r>
    <n v="68398"/>
    <x v="7"/>
    <x v="3"/>
    <n v="414"/>
    <n v="50"/>
    <n v="260.22000000000003"/>
    <x v="0"/>
    <d v="2024-09-22T00:00:00"/>
    <d v="2024-10-02T00:00:00"/>
    <x v="1"/>
    <x v="0"/>
    <n v="107731.08000000002"/>
    <x v="0"/>
    <x v="0"/>
    <x v="0"/>
  </r>
  <r>
    <n v="47976"/>
    <x v="16"/>
    <x v="3"/>
    <n v="428"/>
    <n v="100"/>
    <n v="102.31"/>
    <x v="0"/>
    <d v="2024-05-14T00:00:00"/>
    <d v="2024-06-02T00:00:00"/>
    <x v="2"/>
    <x v="0"/>
    <n v="43788.68"/>
    <x v="0"/>
    <x v="0"/>
    <x v="0"/>
  </r>
  <r>
    <n v="74990"/>
    <x v="11"/>
    <x v="4"/>
    <n v="115"/>
    <n v="50"/>
    <n v="151.01"/>
    <x v="0"/>
    <d v="2024-05-12T00:00:00"/>
    <d v="2024-06-10T00:00:00"/>
    <x v="2"/>
    <x v="0"/>
    <n v="17366.149999999998"/>
    <x v="0"/>
    <x v="1"/>
    <x v="0"/>
  </r>
  <r>
    <n v="13877"/>
    <x v="14"/>
    <x v="4"/>
    <n v="59"/>
    <n v="30"/>
    <n v="220.73"/>
    <x v="3"/>
    <d v="2024-06-13T00:00:00"/>
    <d v="2024-07-08T00:00:00"/>
    <x v="0"/>
    <x v="0"/>
    <n v="13023.07"/>
    <x v="0"/>
    <x v="1"/>
    <x v="0"/>
  </r>
  <r>
    <n v="59421"/>
    <x v="10"/>
    <x v="2"/>
    <n v="427"/>
    <n v="20"/>
    <n v="209.11"/>
    <x v="4"/>
    <d v="2024-06-09T00:00:00"/>
    <d v="2024-06-16T00:00:00"/>
    <x v="1"/>
    <x v="0"/>
    <n v="89289.97"/>
    <x v="0"/>
    <x v="0"/>
    <x v="0"/>
  </r>
  <r>
    <n v="88747"/>
    <x v="4"/>
    <x v="0"/>
    <n v="375"/>
    <n v="100"/>
    <n v="170.13"/>
    <x v="1"/>
    <d v="2024-05-13T00:00:00"/>
    <d v="2024-06-19T00:00:00"/>
    <x v="2"/>
    <x v="0"/>
    <n v="63798.75"/>
    <x v="0"/>
    <x v="0"/>
    <x v="0"/>
  </r>
  <r>
    <n v="25847"/>
    <x v="10"/>
    <x v="2"/>
    <n v="328"/>
    <n v="50"/>
    <n v="473.1"/>
    <x v="2"/>
    <d v="2024-02-15T00:00:00"/>
    <d v="2024-03-18T00:00:00"/>
    <x v="0"/>
    <x v="0"/>
    <n v="155176.80000000002"/>
    <x v="0"/>
    <x v="0"/>
    <x v="0"/>
  </r>
  <r>
    <n v="28837"/>
    <x v="13"/>
    <x v="3"/>
    <n v="453"/>
    <n v="150"/>
    <n v="63.29"/>
    <x v="4"/>
    <d v="2024-05-24T00:00:00"/>
    <d v="2024-06-06T00:00:00"/>
    <x v="0"/>
    <x v="0"/>
    <n v="28670.37"/>
    <x v="0"/>
    <x v="0"/>
    <x v="0"/>
  </r>
  <r>
    <n v="95083"/>
    <x v="5"/>
    <x v="2"/>
    <n v="236"/>
    <n v="80"/>
    <n v="416.01"/>
    <x v="0"/>
    <d v="2024-09-22T00:00:00"/>
    <d v="2024-10-12T00:00:00"/>
    <x v="2"/>
    <x v="0"/>
    <n v="98178.36"/>
    <x v="0"/>
    <x v="1"/>
    <x v="0"/>
  </r>
  <r>
    <n v="85324"/>
    <x v="4"/>
    <x v="0"/>
    <n v="102"/>
    <n v="150"/>
    <n v="458.23"/>
    <x v="0"/>
    <d v="2024-07-31T00:00:00"/>
    <d v="2024-08-13T00:00:00"/>
    <x v="2"/>
    <x v="1"/>
    <n v="46739.46"/>
    <x v="39"/>
    <x v="1"/>
    <x v="1"/>
  </r>
  <r>
    <n v="87988"/>
    <x v="0"/>
    <x v="0"/>
    <n v="400"/>
    <n v="150"/>
    <n v="404.91"/>
    <x v="4"/>
    <d v="2024-01-06T00:00:00"/>
    <d v="2024-02-14T00:00:00"/>
    <x v="0"/>
    <x v="0"/>
    <n v="161964"/>
    <x v="0"/>
    <x v="1"/>
    <x v="0"/>
  </r>
  <r>
    <n v="65911"/>
    <x v="10"/>
    <x v="2"/>
    <n v="304"/>
    <n v="30"/>
    <n v="497.27"/>
    <x v="0"/>
    <d v="2024-03-23T00:00:00"/>
    <d v="2024-04-08T00:00:00"/>
    <x v="0"/>
    <x v="0"/>
    <n v="151170.07999999999"/>
    <x v="0"/>
    <x v="0"/>
    <x v="0"/>
  </r>
  <r>
    <n v="45687"/>
    <x v="7"/>
    <x v="3"/>
    <n v="253"/>
    <n v="100"/>
    <n v="236.23"/>
    <x v="0"/>
    <d v="2024-05-28T00:00:00"/>
    <d v="2024-06-23T00:00:00"/>
    <x v="0"/>
    <x v="0"/>
    <n v="59766.189999999995"/>
    <x v="0"/>
    <x v="1"/>
    <x v="0"/>
  </r>
  <r>
    <n v="39865"/>
    <x v="10"/>
    <x v="2"/>
    <n v="180"/>
    <n v="40"/>
    <n v="162.69"/>
    <x v="1"/>
    <d v="2024-10-30T00:00:00"/>
    <d v="2024-11-30T00:00:00"/>
    <x v="2"/>
    <x v="0"/>
    <n v="29284.2"/>
    <x v="0"/>
    <x v="0"/>
    <x v="0"/>
  </r>
  <r>
    <n v="28409"/>
    <x v="11"/>
    <x v="4"/>
    <n v="208"/>
    <n v="30"/>
    <n v="108.11"/>
    <x v="2"/>
    <d v="2024-07-20T00:00:00"/>
    <d v="2024-08-26T00:00:00"/>
    <x v="2"/>
    <x v="0"/>
    <n v="22486.880000000001"/>
    <x v="0"/>
    <x v="0"/>
    <x v="0"/>
  </r>
  <r>
    <n v="50696"/>
    <x v="2"/>
    <x v="1"/>
    <n v="260"/>
    <n v="40"/>
    <n v="305.44"/>
    <x v="3"/>
    <d v="2024-02-29T00:00:00"/>
    <d v="2024-03-08T00:00:00"/>
    <x v="0"/>
    <x v="0"/>
    <n v="79414.399999999994"/>
    <x v="0"/>
    <x v="0"/>
    <x v="0"/>
  </r>
  <r>
    <n v="94597"/>
    <x v="10"/>
    <x v="2"/>
    <n v="363"/>
    <n v="50"/>
    <n v="218.18"/>
    <x v="2"/>
    <d v="2024-04-22T00:00:00"/>
    <d v="2024-05-29T00:00:00"/>
    <x v="0"/>
    <x v="0"/>
    <n v="79199.34"/>
    <x v="0"/>
    <x v="0"/>
    <x v="0"/>
  </r>
  <r>
    <n v="78237"/>
    <x v="14"/>
    <x v="4"/>
    <n v="303"/>
    <n v="150"/>
    <n v="95.91"/>
    <x v="0"/>
    <d v="2024-02-09T00:00:00"/>
    <d v="2024-02-26T00:00:00"/>
    <x v="2"/>
    <x v="0"/>
    <n v="29060.73"/>
    <x v="0"/>
    <x v="1"/>
    <x v="0"/>
  </r>
  <r>
    <n v="92305"/>
    <x v="2"/>
    <x v="1"/>
    <n v="366"/>
    <n v="80"/>
    <n v="275.14"/>
    <x v="1"/>
    <d v="2024-10-11T00:00:00"/>
    <d v="2024-11-02T00:00:00"/>
    <x v="1"/>
    <x v="0"/>
    <n v="100701.23999999999"/>
    <x v="0"/>
    <x v="0"/>
    <x v="0"/>
  </r>
  <r>
    <n v="84327"/>
    <x v="7"/>
    <x v="3"/>
    <n v="327"/>
    <n v="40"/>
    <n v="238.41"/>
    <x v="3"/>
    <d v="2024-09-16T00:00:00"/>
    <d v="2024-09-29T00:00:00"/>
    <x v="0"/>
    <x v="0"/>
    <n v="77960.069999999992"/>
    <x v="0"/>
    <x v="0"/>
    <x v="0"/>
  </r>
  <r>
    <n v="52559"/>
    <x v="4"/>
    <x v="0"/>
    <n v="85"/>
    <n v="150"/>
    <n v="234.31"/>
    <x v="3"/>
    <d v="2024-06-12T00:00:00"/>
    <d v="2024-07-10T00:00:00"/>
    <x v="2"/>
    <x v="1"/>
    <n v="19916.349999999999"/>
    <x v="106"/>
    <x v="1"/>
    <x v="1"/>
  </r>
  <r>
    <n v="53346"/>
    <x v="4"/>
    <x v="0"/>
    <n v="46"/>
    <n v="150"/>
    <n v="87.38"/>
    <x v="0"/>
    <d v="2024-08-24T00:00:00"/>
    <d v="2024-09-09T00:00:00"/>
    <x v="2"/>
    <x v="1"/>
    <n v="4019.4799999999996"/>
    <x v="45"/>
    <x v="1"/>
    <x v="1"/>
  </r>
  <r>
    <n v="20920"/>
    <x v="16"/>
    <x v="3"/>
    <n v="84"/>
    <n v="40"/>
    <n v="206.8"/>
    <x v="1"/>
    <d v="2024-03-16T00:00:00"/>
    <d v="2024-03-27T00:00:00"/>
    <x v="0"/>
    <x v="0"/>
    <n v="17371.2"/>
    <x v="0"/>
    <x v="1"/>
    <x v="0"/>
  </r>
  <r>
    <n v="24052"/>
    <x v="11"/>
    <x v="4"/>
    <n v="299"/>
    <n v="100"/>
    <n v="32.299999999999997"/>
    <x v="0"/>
    <d v="2024-11-13T00:00:00"/>
    <d v="2024-11-27T00:00:00"/>
    <x v="0"/>
    <x v="0"/>
    <n v="9657.6999999999989"/>
    <x v="0"/>
    <x v="1"/>
    <x v="0"/>
  </r>
  <r>
    <n v="23225"/>
    <x v="9"/>
    <x v="1"/>
    <n v="249"/>
    <n v="50"/>
    <n v="162.4"/>
    <x v="3"/>
    <d v="2024-08-07T00:00:00"/>
    <d v="2024-08-22T00:00:00"/>
    <x v="1"/>
    <x v="0"/>
    <n v="40437.599999999999"/>
    <x v="0"/>
    <x v="0"/>
    <x v="0"/>
  </r>
  <r>
    <n v="37134"/>
    <x v="1"/>
    <x v="0"/>
    <n v="334"/>
    <n v="150"/>
    <n v="471.19"/>
    <x v="4"/>
    <d v="2024-10-29T00:00:00"/>
    <d v="2024-12-06T00:00:00"/>
    <x v="2"/>
    <x v="0"/>
    <n v="157377.46"/>
    <x v="0"/>
    <x v="1"/>
    <x v="0"/>
  </r>
  <r>
    <n v="84826"/>
    <x v="15"/>
    <x v="4"/>
    <n v="329"/>
    <n v="40"/>
    <n v="33.22"/>
    <x v="1"/>
    <d v="2024-09-08T00:00:00"/>
    <d v="2024-10-12T00:00:00"/>
    <x v="0"/>
    <x v="0"/>
    <n v="10929.38"/>
    <x v="0"/>
    <x v="0"/>
    <x v="0"/>
  </r>
  <r>
    <n v="79561"/>
    <x v="10"/>
    <x v="2"/>
    <n v="181"/>
    <n v="20"/>
    <n v="216.95"/>
    <x v="4"/>
    <d v="2024-10-03T00:00:00"/>
    <d v="2024-10-08T00:00:00"/>
    <x v="0"/>
    <x v="0"/>
    <n v="39267.949999999997"/>
    <x v="0"/>
    <x v="0"/>
    <x v="0"/>
  </r>
  <r>
    <n v="72119"/>
    <x v="16"/>
    <x v="3"/>
    <n v="179"/>
    <n v="150"/>
    <n v="22.63"/>
    <x v="3"/>
    <d v="2024-05-27T00:00:00"/>
    <d v="2024-06-12T00:00:00"/>
    <x v="2"/>
    <x v="0"/>
    <n v="4050.77"/>
    <x v="0"/>
    <x v="1"/>
    <x v="0"/>
  </r>
  <r>
    <n v="83424"/>
    <x v="12"/>
    <x v="0"/>
    <n v="115"/>
    <n v="40"/>
    <n v="61.77"/>
    <x v="3"/>
    <d v="2024-07-25T00:00:00"/>
    <d v="2024-09-02T00:00:00"/>
    <x v="0"/>
    <x v="0"/>
    <n v="7103.55"/>
    <x v="0"/>
    <x v="1"/>
    <x v="0"/>
  </r>
  <r>
    <n v="49214"/>
    <x v="3"/>
    <x v="2"/>
    <n v="488"/>
    <n v="150"/>
    <n v="158.59"/>
    <x v="3"/>
    <d v="2024-02-19T00:00:00"/>
    <d v="2024-03-17T00:00:00"/>
    <x v="0"/>
    <x v="0"/>
    <n v="77391.92"/>
    <x v="0"/>
    <x v="0"/>
    <x v="0"/>
  </r>
  <r>
    <n v="99037"/>
    <x v="11"/>
    <x v="4"/>
    <n v="135"/>
    <n v="30"/>
    <n v="193.43"/>
    <x v="0"/>
    <d v="2024-06-10T00:00:00"/>
    <d v="2024-07-03T00:00:00"/>
    <x v="0"/>
    <x v="0"/>
    <n v="26113.05"/>
    <x v="0"/>
    <x v="0"/>
    <x v="0"/>
  </r>
  <r>
    <n v="16309"/>
    <x v="9"/>
    <x v="1"/>
    <n v="83"/>
    <n v="100"/>
    <n v="440.12"/>
    <x v="2"/>
    <d v="2024-05-24T00:00:00"/>
    <d v="2024-06-02T00:00:00"/>
    <x v="1"/>
    <x v="1"/>
    <n v="36529.96"/>
    <x v="14"/>
    <x v="1"/>
    <x v="1"/>
  </r>
  <r>
    <n v="99344"/>
    <x v="3"/>
    <x v="2"/>
    <n v="237"/>
    <n v="20"/>
    <n v="403.76"/>
    <x v="1"/>
    <d v="2024-01-13T00:00:00"/>
    <d v="2024-02-13T00:00:00"/>
    <x v="2"/>
    <x v="0"/>
    <n v="95691.12"/>
    <x v="0"/>
    <x v="0"/>
    <x v="0"/>
  </r>
  <r>
    <n v="87424"/>
    <x v="0"/>
    <x v="0"/>
    <n v="224"/>
    <n v="50"/>
    <n v="38.5"/>
    <x v="4"/>
    <d v="2024-09-16T00:00:00"/>
    <d v="2024-09-29T00:00:00"/>
    <x v="1"/>
    <x v="0"/>
    <n v="8624"/>
    <x v="0"/>
    <x v="0"/>
    <x v="0"/>
  </r>
  <r>
    <n v="69327"/>
    <x v="1"/>
    <x v="0"/>
    <n v="116"/>
    <n v="30"/>
    <n v="162.43"/>
    <x v="2"/>
    <d v="2024-09-19T00:00:00"/>
    <d v="2024-10-26T00:00:00"/>
    <x v="2"/>
    <x v="0"/>
    <n v="18841.88"/>
    <x v="0"/>
    <x v="0"/>
    <x v="0"/>
  </r>
  <r>
    <n v="74501"/>
    <x v="8"/>
    <x v="1"/>
    <n v="89"/>
    <n v="50"/>
    <n v="217.77"/>
    <x v="3"/>
    <d v="2024-06-03T00:00:00"/>
    <d v="2024-06-22T00:00:00"/>
    <x v="1"/>
    <x v="0"/>
    <n v="19381.530000000002"/>
    <x v="0"/>
    <x v="1"/>
    <x v="0"/>
  </r>
  <r>
    <n v="80904"/>
    <x v="10"/>
    <x v="2"/>
    <n v="79"/>
    <n v="150"/>
    <n v="82.7"/>
    <x v="1"/>
    <d v="2024-09-21T00:00:00"/>
    <d v="2024-10-28T00:00:00"/>
    <x v="2"/>
    <x v="1"/>
    <n v="6533.3"/>
    <x v="109"/>
    <x v="1"/>
    <x v="1"/>
  </r>
  <r>
    <n v="37546"/>
    <x v="3"/>
    <x v="2"/>
    <n v="188"/>
    <n v="20"/>
    <n v="249.49"/>
    <x v="0"/>
    <d v="2024-08-17T00:00:00"/>
    <d v="2024-09-15T00:00:00"/>
    <x v="0"/>
    <x v="0"/>
    <n v="46904.12"/>
    <x v="0"/>
    <x v="0"/>
    <x v="0"/>
  </r>
  <r>
    <n v="77082"/>
    <x v="0"/>
    <x v="0"/>
    <n v="402"/>
    <n v="40"/>
    <n v="151.61000000000001"/>
    <x v="0"/>
    <d v="2024-01-16T00:00:00"/>
    <d v="2024-02-24T00:00:00"/>
    <x v="2"/>
    <x v="0"/>
    <n v="60947.220000000008"/>
    <x v="0"/>
    <x v="0"/>
    <x v="0"/>
  </r>
  <r>
    <n v="70526"/>
    <x v="14"/>
    <x v="4"/>
    <n v="470"/>
    <n v="150"/>
    <n v="381.46"/>
    <x v="1"/>
    <d v="2024-08-19T00:00:00"/>
    <d v="2024-09-05T00:00:00"/>
    <x v="0"/>
    <x v="0"/>
    <n v="179286.19999999998"/>
    <x v="0"/>
    <x v="0"/>
    <x v="0"/>
  </r>
  <r>
    <n v="36564"/>
    <x v="6"/>
    <x v="3"/>
    <n v="120"/>
    <n v="50"/>
    <n v="438.77"/>
    <x v="3"/>
    <d v="2024-06-18T00:00:00"/>
    <d v="2024-07-05T00:00:00"/>
    <x v="2"/>
    <x v="0"/>
    <n v="52652.399999999994"/>
    <x v="0"/>
    <x v="1"/>
    <x v="0"/>
  </r>
  <r>
    <n v="43488"/>
    <x v="5"/>
    <x v="2"/>
    <n v="66"/>
    <n v="80"/>
    <n v="374.14"/>
    <x v="2"/>
    <d v="2024-04-03T00:00:00"/>
    <d v="2024-04-14T00:00:00"/>
    <x v="2"/>
    <x v="1"/>
    <n v="24693.239999999998"/>
    <x v="46"/>
    <x v="1"/>
    <x v="1"/>
  </r>
  <r>
    <n v="42740"/>
    <x v="10"/>
    <x v="2"/>
    <n v="442"/>
    <n v="30"/>
    <n v="127.57"/>
    <x v="0"/>
    <d v="2024-07-04T00:00:00"/>
    <d v="2024-08-06T00:00:00"/>
    <x v="1"/>
    <x v="0"/>
    <n v="56385.939999999995"/>
    <x v="0"/>
    <x v="0"/>
    <x v="0"/>
  </r>
  <r>
    <n v="23987"/>
    <x v="3"/>
    <x v="2"/>
    <n v="468"/>
    <n v="30"/>
    <n v="291.41000000000003"/>
    <x v="2"/>
    <d v="2024-09-23T00:00:00"/>
    <d v="2024-10-11T00:00:00"/>
    <x v="0"/>
    <x v="0"/>
    <n v="136379.88"/>
    <x v="0"/>
    <x v="0"/>
    <x v="0"/>
  </r>
  <r>
    <n v="79741"/>
    <x v="14"/>
    <x v="4"/>
    <n v="362"/>
    <n v="50"/>
    <n v="22.78"/>
    <x v="1"/>
    <d v="2024-05-05T00:00:00"/>
    <d v="2024-05-13T00:00:00"/>
    <x v="0"/>
    <x v="0"/>
    <n v="8246.36"/>
    <x v="0"/>
    <x v="0"/>
    <x v="0"/>
  </r>
  <r>
    <n v="45411"/>
    <x v="11"/>
    <x v="4"/>
    <n v="75"/>
    <n v="40"/>
    <n v="35.25"/>
    <x v="2"/>
    <d v="2024-07-08T00:00:00"/>
    <d v="2024-07-16T00:00:00"/>
    <x v="2"/>
    <x v="0"/>
    <n v="2643.75"/>
    <x v="0"/>
    <x v="1"/>
    <x v="0"/>
  </r>
  <r>
    <n v="25772"/>
    <x v="16"/>
    <x v="3"/>
    <n v="9"/>
    <n v="100"/>
    <n v="412.49"/>
    <x v="1"/>
    <d v="2024-02-24T00:00:00"/>
    <d v="2024-03-02T00:00:00"/>
    <x v="0"/>
    <x v="1"/>
    <n v="3712.41"/>
    <x v="122"/>
    <x v="1"/>
    <x v="1"/>
  </r>
  <r>
    <n v="16228"/>
    <x v="10"/>
    <x v="2"/>
    <n v="441"/>
    <n v="40"/>
    <n v="113.9"/>
    <x v="4"/>
    <d v="2024-09-10T00:00:00"/>
    <d v="2024-09-26T00:00:00"/>
    <x v="1"/>
    <x v="0"/>
    <n v="50229.9"/>
    <x v="0"/>
    <x v="0"/>
    <x v="0"/>
  </r>
  <r>
    <n v="98770"/>
    <x v="10"/>
    <x v="2"/>
    <n v="192"/>
    <n v="80"/>
    <n v="350.71"/>
    <x v="3"/>
    <d v="2024-08-31T00:00:00"/>
    <d v="2024-09-24T00:00:00"/>
    <x v="1"/>
    <x v="0"/>
    <n v="67336.319999999992"/>
    <x v="0"/>
    <x v="1"/>
    <x v="0"/>
  </r>
  <r>
    <n v="47488"/>
    <x v="14"/>
    <x v="4"/>
    <n v="298"/>
    <n v="80"/>
    <n v="473.39"/>
    <x v="1"/>
    <d v="2024-06-21T00:00:00"/>
    <d v="2024-07-12T00:00:00"/>
    <x v="0"/>
    <x v="0"/>
    <n v="141070.22"/>
    <x v="0"/>
    <x v="0"/>
    <x v="0"/>
  </r>
  <r>
    <n v="84215"/>
    <x v="12"/>
    <x v="0"/>
    <n v="318"/>
    <n v="20"/>
    <n v="456.33"/>
    <x v="0"/>
    <d v="2024-12-16T00:00:00"/>
    <d v="2024-12-23T00:00:00"/>
    <x v="0"/>
    <x v="0"/>
    <n v="145112.94"/>
    <x v="0"/>
    <x v="0"/>
    <x v="0"/>
  </r>
  <r>
    <n v="26631"/>
    <x v="12"/>
    <x v="0"/>
    <n v="12"/>
    <n v="80"/>
    <n v="59.97"/>
    <x v="2"/>
    <d v="2024-07-26T00:00:00"/>
    <d v="2024-08-20T00:00:00"/>
    <x v="0"/>
    <x v="1"/>
    <n v="719.64"/>
    <x v="26"/>
    <x v="1"/>
    <x v="1"/>
  </r>
  <r>
    <n v="76904"/>
    <x v="12"/>
    <x v="0"/>
    <n v="200"/>
    <n v="20"/>
    <n v="22.57"/>
    <x v="0"/>
    <d v="2024-12-22T00:00:00"/>
    <d v="2025-01-19T00:00:00"/>
    <x v="0"/>
    <x v="0"/>
    <n v="4514"/>
    <x v="0"/>
    <x v="0"/>
    <x v="0"/>
  </r>
  <r>
    <n v="88651"/>
    <x v="6"/>
    <x v="3"/>
    <n v="423"/>
    <n v="40"/>
    <n v="357.01"/>
    <x v="1"/>
    <d v="2024-02-05T00:00:00"/>
    <d v="2024-02-24T00:00:00"/>
    <x v="0"/>
    <x v="0"/>
    <n v="151015.23000000001"/>
    <x v="0"/>
    <x v="0"/>
    <x v="0"/>
  </r>
  <r>
    <n v="51682"/>
    <x v="14"/>
    <x v="4"/>
    <n v="274"/>
    <n v="150"/>
    <n v="83.93"/>
    <x v="1"/>
    <d v="2024-10-11T00:00:00"/>
    <d v="2024-11-18T00:00:00"/>
    <x v="2"/>
    <x v="0"/>
    <n v="22996.820000000003"/>
    <x v="0"/>
    <x v="1"/>
    <x v="0"/>
  </r>
  <r>
    <n v="23416"/>
    <x v="12"/>
    <x v="0"/>
    <n v="261"/>
    <n v="150"/>
    <n v="457.99"/>
    <x v="4"/>
    <d v="2024-09-18T00:00:00"/>
    <d v="2024-10-23T00:00:00"/>
    <x v="0"/>
    <x v="0"/>
    <n v="119535.39"/>
    <x v="0"/>
    <x v="1"/>
    <x v="0"/>
  </r>
  <r>
    <n v="54550"/>
    <x v="4"/>
    <x v="0"/>
    <n v="342"/>
    <n v="100"/>
    <n v="206.25"/>
    <x v="1"/>
    <d v="2024-06-12T00:00:00"/>
    <d v="2024-07-11T00:00:00"/>
    <x v="0"/>
    <x v="0"/>
    <n v="70537.5"/>
    <x v="0"/>
    <x v="0"/>
    <x v="0"/>
  </r>
  <r>
    <n v="84861"/>
    <x v="0"/>
    <x v="0"/>
    <n v="273"/>
    <n v="30"/>
    <n v="250.07"/>
    <x v="3"/>
    <d v="2024-03-19T00:00:00"/>
    <d v="2024-04-27T00:00:00"/>
    <x v="1"/>
    <x v="0"/>
    <n v="68269.11"/>
    <x v="0"/>
    <x v="0"/>
    <x v="0"/>
  </r>
  <r>
    <n v="29749"/>
    <x v="7"/>
    <x v="3"/>
    <n v="454"/>
    <n v="20"/>
    <n v="437.76"/>
    <x v="0"/>
    <d v="2024-12-29T00:00:00"/>
    <d v="2025-02-01T00:00:00"/>
    <x v="2"/>
    <x v="0"/>
    <n v="198743.04000000001"/>
    <x v="0"/>
    <x v="0"/>
    <x v="0"/>
  </r>
  <r>
    <n v="52635"/>
    <x v="0"/>
    <x v="0"/>
    <n v="84"/>
    <n v="80"/>
    <n v="31.22"/>
    <x v="1"/>
    <d v="2024-01-29T00:00:00"/>
    <d v="2024-02-26T00:00:00"/>
    <x v="2"/>
    <x v="0"/>
    <n v="2622.48"/>
    <x v="0"/>
    <x v="1"/>
    <x v="0"/>
  </r>
  <r>
    <n v="84548"/>
    <x v="5"/>
    <x v="2"/>
    <n v="399"/>
    <n v="80"/>
    <n v="454.38"/>
    <x v="3"/>
    <d v="2024-07-08T00:00:00"/>
    <d v="2024-08-12T00:00:00"/>
    <x v="0"/>
    <x v="0"/>
    <n v="181297.62"/>
    <x v="0"/>
    <x v="0"/>
    <x v="0"/>
  </r>
  <r>
    <n v="95916"/>
    <x v="9"/>
    <x v="1"/>
    <n v="409"/>
    <n v="80"/>
    <n v="391.02"/>
    <x v="4"/>
    <d v="2024-05-29T00:00:00"/>
    <d v="2024-06-23T00:00:00"/>
    <x v="2"/>
    <x v="0"/>
    <n v="159927.18"/>
    <x v="0"/>
    <x v="0"/>
    <x v="0"/>
  </r>
  <r>
    <n v="95799"/>
    <x v="13"/>
    <x v="3"/>
    <n v="81"/>
    <n v="50"/>
    <n v="222.63"/>
    <x v="3"/>
    <d v="2024-03-17T00:00:00"/>
    <d v="2024-03-25T00:00:00"/>
    <x v="0"/>
    <x v="0"/>
    <n v="18033.03"/>
    <x v="0"/>
    <x v="1"/>
    <x v="0"/>
  </r>
  <r>
    <n v="46326"/>
    <x v="4"/>
    <x v="0"/>
    <n v="247"/>
    <n v="100"/>
    <n v="441.36"/>
    <x v="0"/>
    <d v="2024-03-10T00:00:00"/>
    <d v="2024-03-23T00:00:00"/>
    <x v="2"/>
    <x v="0"/>
    <n v="109015.92"/>
    <x v="0"/>
    <x v="1"/>
    <x v="0"/>
  </r>
  <r>
    <n v="78718"/>
    <x v="2"/>
    <x v="1"/>
    <n v="11"/>
    <n v="100"/>
    <n v="34.42"/>
    <x v="0"/>
    <d v="2024-01-01T00:00:00"/>
    <d v="2024-01-20T00:00:00"/>
    <x v="0"/>
    <x v="1"/>
    <n v="378.62"/>
    <x v="123"/>
    <x v="1"/>
    <x v="1"/>
  </r>
  <r>
    <n v="43083"/>
    <x v="8"/>
    <x v="1"/>
    <n v="450"/>
    <n v="50"/>
    <n v="86.32"/>
    <x v="1"/>
    <d v="2024-02-08T00:00:00"/>
    <d v="2024-03-14T00:00:00"/>
    <x v="0"/>
    <x v="0"/>
    <n v="38844"/>
    <x v="0"/>
    <x v="0"/>
    <x v="0"/>
  </r>
  <r>
    <n v="22651"/>
    <x v="9"/>
    <x v="1"/>
    <n v="103"/>
    <n v="40"/>
    <n v="282.52"/>
    <x v="0"/>
    <d v="2024-03-29T00:00:00"/>
    <d v="2024-04-15T00:00:00"/>
    <x v="2"/>
    <x v="0"/>
    <n v="29099.559999999998"/>
    <x v="0"/>
    <x v="1"/>
    <x v="0"/>
  </r>
  <r>
    <n v="62136"/>
    <x v="1"/>
    <x v="0"/>
    <n v="451"/>
    <n v="40"/>
    <n v="495.15"/>
    <x v="0"/>
    <d v="2024-04-10T00:00:00"/>
    <d v="2024-05-09T00:00:00"/>
    <x v="0"/>
    <x v="0"/>
    <n v="223312.65"/>
    <x v="0"/>
    <x v="0"/>
    <x v="0"/>
  </r>
  <r>
    <n v="55213"/>
    <x v="8"/>
    <x v="1"/>
    <n v="75"/>
    <n v="40"/>
    <n v="277.42"/>
    <x v="3"/>
    <d v="2024-03-16T00:00:00"/>
    <d v="2024-03-30T00:00:00"/>
    <x v="1"/>
    <x v="0"/>
    <n v="20806.5"/>
    <x v="0"/>
    <x v="1"/>
    <x v="0"/>
  </r>
  <r>
    <n v="89211"/>
    <x v="6"/>
    <x v="3"/>
    <n v="120"/>
    <n v="100"/>
    <n v="30.82"/>
    <x v="4"/>
    <d v="2024-12-06T00:00:00"/>
    <d v="2025-01-07T00:00:00"/>
    <x v="0"/>
    <x v="0"/>
    <n v="3698.4"/>
    <x v="0"/>
    <x v="1"/>
    <x v="0"/>
  </r>
  <r>
    <n v="86964"/>
    <x v="3"/>
    <x v="2"/>
    <n v="76"/>
    <n v="30"/>
    <n v="185.4"/>
    <x v="4"/>
    <d v="2024-02-26T00:00:00"/>
    <d v="2024-03-29T00:00:00"/>
    <x v="2"/>
    <x v="0"/>
    <n v="14090.4"/>
    <x v="0"/>
    <x v="1"/>
    <x v="0"/>
  </r>
  <r>
    <n v="44563"/>
    <x v="4"/>
    <x v="0"/>
    <n v="155"/>
    <n v="150"/>
    <n v="346.56"/>
    <x v="3"/>
    <d v="2024-09-12T00:00:00"/>
    <d v="2024-10-18T00:00:00"/>
    <x v="0"/>
    <x v="0"/>
    <n v="53716.800000000003"/>
    <x v="0"/>
    <x v="1"/>
    <x v="0"/>
  </r>
  <r>
    <n v="45377"/>
    <x v="15"/>
    <x v="4"/>
    <n v="348"/>
    <n v="20"/>
    <n v="97.86"/>
    <x v="1"/>
    <d v="2024-01-02T00:00:00"/>
    <d v="2024-02-08T00:00:00"/>
    <x v="1"/>
    <x v="0"/>
    <n v="34055.279999999999"/>
    <x v="0"/>
    <x v="0"/>
    <x v="0"/>
  </r>
  <r>
    <n v="33434"/>
    <x v="12"/>
    <x v="0"/>
    <n v="186"/>
    <n v="100"/>
    <n v="226.17"/>
    <x v="0"/>
    <d v="2024-11-19T00:00:00"/>
    <d v="2024-12-10T00:00:00"/>
    <x v="2"/>
    <x v="0"/>
    <n v="42067.619999999995"/>
    <x v="0"/>
    <x v="1"/>
    <x v="0"/>
  </r>
  <r>
    <n v="34409"/>
    <x v="11"/>
    <x v="4"/>
    <n v="444"/>
    <n v="30"/>
    <n v="156.69999999999999"/>
    <x v="4"/>
    <d v="2024-09-21T00:00:00"/>
    <d v="2024-09-30T00:00:00"/>
    <x v="0"/>
    <x v="0"/>
    <n v="69574.799999999988"/>
    <x v="0"/>
    <x v="0"/>
    <x v="0"/>
  </r>
  <r>
    <n v="21027"/>
    <x v="9"/>
    <x v="1"/>
    <n v="220"/>
    <n v="80"/>
    <n v="276.52999999999997"/>
    <x v="1"/>
    <d v="2024-06-08T00:00:00"/>
    <d v="2024-06-20T00:00:00"/>
    <x v="1"/>
    <x v="0"/>
    <n v="60836.599999999991"/>
    <x v="0"/>
    <x v="1"/>
    <x v="0"/>
  </r>
  <r>
    <n v="83450"/>
    <x v="11"/>
    <x v="4"/>
    <n v="20"/>
    <n v="150"/>
    <n v="210.12"/>
    <x v="0"/>
    <d v="2024-09-17T00:00:00"/>
    <d v="2024-09-24T00:00:00"/>
    <x v="1"/>
    <x v="1"/>
    <n v="4202.3999999999996"/>
    <x v="99"/>
    <x v="1"/>
    <x v="1"/>
  </r>
  <r>
    <n v="54233"/>
    <x v="9"/>
    <x v="1"/>
    <n v="338"/>
    <n v="40"/>
    <n v="26.24"/>
    <x v="2"/>
    <d v="2024-10-21T00:00:00"/>
    <d v="2024-11-04T00:00:00"/>
    <x v="0"/>
    <x v="0"/>
    <n v="8869.119999999999"/>
    <x v="0"/>
    <x v="0"/>
    <x v="0"/>
  </r>
  <r>
    <n v="12082"/>
    <x v="13"/>
    <x v="3"/>
    <n v="65"/>
    <n v="100"/>
    <n v="49.46"/>
    <x v="4"/>
    <d v="2024-04-09T00:00:00"/>
    <d v="2024-04-26T00:00:00"/>
    <x v="2"/>
    <x v="1"/>
    <n v="3214.9"/>
    <x v="40"/>
    <x v="1"/>
    <x v="1"/>
  </r>
  <r>
    <n v="43268"/>
    <x v="5"/>
    <x v="2"/>
    <n v="16"/>
    <n v="80"/>
    <n v="228.09"/>
    <x v="1"/>
    <d v="2024-09-12T00:00:00"/>
    <d v="2024-10-10T00:00:00"/>
    <x v="1"/>
    <x v="1"/>
    <n v="3649.44"/>
    <x v="90"/>
    <x v="1"/>
    <x v="1"/>
  </r>
  <r>
    <n v="70361"/>
    <x v="9"/>
    <x v="1"/>
    <n v="90"/>
    <n v="40"/>
    <n v="278.01"/>
    <x v="4"/>
    <d v="2024-05-29T00:00:00"/>
    <d v="2024-06-29T00:00:00"/>
    <x v="1"/>
    <x v="0"/>
    <n v="25020.899999999998"/>
    <x v="0"/>
    <x v="1"/>
    <x v="0"/>
  </r>
  <r>
    <n v="25201"/>
    <x v="2"/>
    <x v="1"/>
    <n v="9"/>
    <n v="30"/>
    <n v="365.04"/>
    <x v="1"/>
    <d v="2024-08-01T00:00:00"/>
    <d v="2024-08-09T00:00:00"/>
    <x v="0"/>
    <x v="1"/>
    <n v="3285.36"/>
    <x v="28"/>
    <x v="1"/>
    <x v="1"/>
  </r>
  <r>
    <n v="50916"/>
    <x v="10"/>
    <x v="2"/>
    <n v="305"/>
    <n v="50"/>
    <n v="467.63"/>
    <x v="2"/>
    <d v="2024-08-12T00:00:00"/>
    <d v="2024-09-10T00:00:00"/>
    <x v="1"/>
    <x v="0"/>
    <n v="142627.15"/>
    <x v="0"/>
    <x v="0"/>
    <x v="0"/>
  </r>
  <r>
    <n v="56576"/>
    <x v="14"/>
    <x v="4"/>
    <n v="357"/>
    <n v="40"/>
    <n v="347.76"/>
    <x v="0"/>
    <d v="2024-12-30T00:00:00"/>
    <d v="2025-02-01T00:00:00"/>
    <x v="1"/>
    <x v="0"/>
    <n v="124150.31999999999"/>
    <x v="0"/>
    <x v="0"/>
    <x v="0"/>
  </r>
  <r>
    <n v="64626"/>
    <x v="4"/>
    <x v="0"/>
    <n v="163"/>
    <n v="50"/>
    <n v="341.04"/>
    <x v="3"/>
    <d v="2024-04-26T00:00:00"/>
    <d v="2024-05-12T00:00:00"/>
    <x v="2"/>
    <x v="0"/>
    <n v="55589.520000000004"/>
    <x v="0"/>
    <x v="0"/>
    <x v="0"/>
  </r>
  <r>
    <n v="24450"/>
    <x v="9"/>
    <x v="1"/>
    <n v="16"/>
    <n v="150"/>
    <n v="152.47999999999999"/>
    <x v="1"/>
    <d v="2024-02-08T00:00:00"/>
    <d v="2024-02-14T00:00:00"/>
    <x v="2"/>
    <x v="1"/>
    <n v="2439.6799999999998"/>
    <x v="101"/>
    <x v="1"/>
    <x v="1"/>
  </r>
  <r>
    <n v="31943"/>
    <x v="16"/>
    <x v="3"/>
    <n v="215"/>
    <n v="150"/>
    <n v="175.08"/>
    <x v="3"/>
    <d v="2024-09-21T00:00:00"/>
    <d v="2024-10-22T00:00:00"/>
    <x v="0"/>
    <x v="0"/>
    <n v="37642.200000000004"/>
    <x v="0"/>
    <x v="1"/>
    <x v="0"/>
  </r>
  <r>
    <n v="34601"/>
    <x v="16"/>
    <x v="3"/>
    <n v="170"/>
    <n v="50"/>
    <n v="338.13"/>
    <x v="0"/>
    <d v="2024-06-09T00:00:00"/>
    <d v="2024-07-10T00:00:00"/>
    <x v="0"/>
    <x v="0"/>
    <n v="57482.1"/>
    <x v="0"/>
    <x v="0"/>
    <x v="0"/>
  </r>
  <r>
    <n v="77581"/>
    <x v="13"/>
    <x v="3"/>
    <n v="69"/>
    <n v="40"/>
    <n v="315.74"/>
    <x v="3"/>
    <d v="2024-07-13T00:00:00"/>
    <d v="2024-07-30T00:00:00"/>
    <x v="0"/>
    <x v="0"/>
    <n v="21786.06"/>
    <x v="0"/>
    <x v="1"/>
    <x v="0"/>
  </r>
  <r>
    <n v="46516"/>
    <x v="8"/>
    <x v="1"/>
    <n v="39"/>
    <n v="80"/>
    <n v="250.25"/>
    <x v="0"/>
    <d v="2024-01-17T00:00:00"/>
    <d v="2024-01-30T00:00:00"/>
    <x v="0"/>
    <x v="1"/>
    <n v="9759.75"/>
    <x v="113"/>
    <x v="1"/>
    <x v="1"/>
  </r>
  <r>
    <n v="13051"/>
    <x v="11"/>
    <x v="4"/>
    <n v="312"/>
    <n v="150"/>
    <n v="325.64"/>
    <x v="1"/>
    <d v="2024-04-09T00:00:00"/>
    <d v="2024-04-16T00:00:00"/>
    <x v="1"/>
    <x v="0"/>
    <n v="101599.67999999999"/>
    <x v="0"/>
    <x v="1"/>
    <x v="0"/>
  </r>
  <r>
    <n v="17017"/>
    <x v="14"/>
    <x v="4"/>
    <n v="462"/>
    <n v="40"/>
    <n v="326.17"/>
    <x v="1"/>
    <d v="2024-01-12T00:00:00"/>
    <d v="2024-01-19T00:00:00"/>
    <x v="0"/>
    <x v="0"/>
    <n v="150690.54"/>
    <x v="0"/>
    <x v="0"/>
    <x v="0"/>
  </r>
  <r>
    <n v="87568"/>
    <x v="11"/>
    <x v="4"/>
    <n v="477"/>
    <n v="50"/>
    <n v="11.52"/>
    <x v="4"/>
    <d v="2024-10-19T00:00:00"/>
    <d v="2024-11-10T00:00:00"/>
    <x v="0"/>
    <x v="0"/>
    <n v="5495.04"/>
    <x v="0"/>
    <x v="0"/>
    <x v="0"/>
  </r>
  <r>
    <n v="59577"/>
    <x v="1"/>
    <x v="0"/>
    <n v="15"/>
    <n v="50"/>
    <n v="24.97"/>
    <x v="1"/>
    <d v="2024-05-08T00:00:00"/>
    <d v="2024-06-12T00:00:00"/>
    <x v="2"/>
    <x v="1"/>
    <n v="374.54999999999995"/>
    <x v="40"/>
    <x v="1"/>
    <x v="1"/>
  </r>
  <r>
    <n v="82607"/>
    <x v="12"/>
    <x v="0"/>
    <n v="478"/>
    <n v="20"/>
    <n v="296.77"/>
    <x v="0"/>
    <d v="2024-01-24T00:00:00"/>
    <d v="2024-02-17T00:00:00"/>
    <x v="0"/>
    <x v="0"/>
    <n v="141856.06"/>
    <x v="0"/>
    <x v="0"/>
    <x v="0"/>
  </r>
  <r>
    <n v="51787"/>
    <x v="3"/>
    <x v="2"/>
    <n v="111"/>
    <n v="150"/>
    <n v="247.35"/>
    <x v="3"/>
    <d v="2024-03-08T00:00:00"/>
    <d v="2024-04-08T00:00:00"/>
    <x v="0"/>
    <x v="1"/>
    <n v="27455.85"/>
    <x v="27"/>
    <x v="1"/>
    <x v="1"/>
  </r>
  <r>
    <n v="87093"/>
    <x v="8"/>
    <x v="1"/>
    <n v="285"/>
    <n v="80"/>
    <n v="416.35"/>
    <x v="3"/>
    <d v="2024-08-17T00:00:00"/>
    <d v="2024-09-22T00:00:00"/>
    <x v="0"/>
    <x v="0"/>
    <n v="118659.75"/>
    <x v="0"/>
    <x v="0"/>
    <x v="0"/>
  </r>
  <r>
    <n v="47595"/>
    <x v="11"/>
    <x v="4"/>
    <n v="364"/>
    <n v="50"/>
    <n v="114.06"/>
    <x v="3"/>
    <d v="2024-12-16T00:00:00"/>
    <d v="2025-01-08T00:00:00"/>
    <x v="0"/>
    <x v="0"/>
    <n v="41517.840000000004"/>
    <x v="0"/>
    <x v="0"/>
    <x v="0"/>
  </r>
  <r>
    <n v="35406"/>
    <x v="13"/>
    <x v="3"/>
    <n v="59"/>
    <n v="30"/>
    <n v="86.03"/>
    <x v="3"/>
    <d v="2024-06-29T00:00:00"/>
    <d v="2024-07-19T00:00:00"/>
    <x v="0"/>
    <x v="0"/>
    <n v="5075.7700000000004"/>
    <x v="0"/>
    <x v="1"/>
    <x v="0"/>
  </r>
  <r>
    <n v="31803"/>
    <x v="2"/>
    <x v="1"/>
    <n v="314"/>
    <n v="100"/>
    <n v="383.61"/>
    <x v="3"/>
    <d v="2024-12-10T00:00:00"/>
    <d v="2025-01-13T00:00:00"/>
    <x v="1"/>
    <x v="0"/>
    <n v="120453.54000000001"/>
    <x v="0"/>
    <x v="0"/>
    <x v="0"/>
  </r>
  <r>
    <n v="25941"/>
    <x v="3"/>
    <x v="2"/>
    <n v="180"/>
    <n v="80"/>
    <n v="100.15"/>
    <x v="2"/>
    <d v="2024-09-25T00:00:00"/>
    <d v="2024-11-02T00:00:00"/>
    <x v="0"/>
    <x v="0"/>
    <n v="18027"/>
    <x v="0"/>
    <x v="1"/>
    <x v="0"/>
  </r>
  <r>
    <n v="60139"/>
    <x v="7"/>
    <x v="3"/>
    <n v="386"/>
    <n v="150"/>
    <n v="353.02"/>
    <x v="2"/>
    <d v="2024-02-19T00:00:00"/>
    <d v="2024-03-04T00:00:00"/>
    <x v="0"/>
    <x v="0"/>
    <n v="136265.72"/>
    <x v="0"/>
    <x v="1"/>
    <x v="0"/>
  </r>
  <r>
    <n v="48568"/>
    <x v="10"/>
    <x v="2"/>
    <n v="495"/>
    <n v="40"/>
    <n v="460.56"/>
    <x v="3"/>
    <d v="2024-09-21T00:00:00"/>
    <d v="2024-09-29T00:00:00"/>
    <x v="2"/>
    <x v="0"/>
    <n v="227977.2"/>
    <x v="0"/>
    <x v="0"/>
    <x v="0"/>
  </r>
  <r>
    <n v="80561"/>
    <x v="8"/>
    <x v="1"/>
    <n v="337"/>
    <n v="40"/>
    <n v="302.35000000000002"/>
    <x v="3"/>
    <d v="2024-07-26T00:00:00"/>
    <d v="2024-08-03T00:00:00"/>
    <x v="2"/>
    <x v="0"/>
    <n v="101891.95000000001"/>
    <x v="0"/>
    <x v="0"/>
    <x v="0"/>
  </r>
  <r>
    <n v="24698"/>
    <x v="3"/>
    <x v="2"/>
    <n v="477"/>
    <n v="50"/>
    <n v="290.08"/>
    <x v="4"/>
    <d v="2024-07-29T00:00:00"/>
    <d v="2024-08-09T00:00:00"/>
    <x v="1"/>
    <x v="0"/>
    <n v="138368.16"/>
    <x v="0"/>
    <x v="0"/>
    <x v="0"/>
  </r>
  <r>
    <n v="89908"/>
    <x v="14"/>
    <x v="4"/>
    <n v="411"/>
    <n v="40"/>
    <n v="18.670000000000002"/>
    <x v="4"/>
    <d v="2024-10-11T00:00:00"/>
    <d v="2024-11-02T00:00:00"/>
    <x v="0"/>
    <x v="0"/>
    <n v="7673.3700000000008"/>
    <x v="0"/>
    <x v="0"/>
    <x v="0"/>
  </r>
  <r>
    <n v="34502"/>
    <x v="0"/>
    <x v="0"/>
    <n v="300"/>
    <n v="30"/>
    <n v="256.63"/>
    <x v="4"/>
    <d v="2024-10-05T00:00:00"/>
    <d v="2024-10-19T00:00:00"/>
    <x v="2"/>
    <x v="0"/>
    <n v="76989"/>
    <x v="0"/>
    <x v="0"/>
    <x v="0"/>
  </r>
  <r>
    <n v="64664"/>
    <x v="4"/>
    <x v="0"/>
    <n v="283"/>
    <n v="150"/>
    <n v="104.11"/>
    <x v="3"/>
    <d v="2024-04-09T00:00:00"/>
    <d v="2024-04-17T00:00:00"/>
    <x v="0"/>
    <x v="0"/>
    <n v="29463.13"/>
    <x v="0"/>
    <x v="1"/>
    <x v="0"/>
  </r>
  <r>
    <n v="23102"/>
    <x v="4"/>
    <x v="0"/>
    <n v="45"/>
    <n v="80"/>
    <n v="337.37"/>
    <x v="1"/>
    <d v="2024-08-15T00:00:00"/>
    <d v="2024-09-05T00:00:00"/>
    <x v="1"/>
    <x v="1"/>
    <n v="15181.65"/>
    <x v="40"/>
    <x v="1"/>
    <x v="1"/>
  </r>
  <r>
    <n v="92203"/>
    <x v="1"/>
    <x v="0"/>
    <n v="211"/>
    <n v="40"/>
    <n v="499.68"/>
    <x v="4"/>
    <d v="2024-04-18T00:00:00"/>
    <d v="2024-04-30T00:00:00"/>
    <x v="0"/>
    <x v="0"/>
    <n v="105432.48"/>
    <x v="0"/>
    <x v="0"/>
    <x v="0"/>
  </r>
  <r>
    <n v="46843"/>
    <x v="8"/>
    <x v="1"/>
    <n v="238"/>
    <n v="100"/>
    <n v="233.07"/>
    <x v="0"/>
    <d v="2024-12-05T00:00:00"/>
    <d v="2025-01-11T00:00:00"/>
    <x v="1"/>
    <x v="0"/>
    <n v="55470.659999999996"/>
    <x v="0"/>
    <x v="1"/>
    <x v="0"/>
  </r>
  <r>
    <n v="22992"/>
    <x v="13"/>
    <x v="3"/>
    <n v="288"/>
    <n v="40"/>
    <n v="337.89"/>
    <x v="0"/>
    <d v="2024-10-24T00:00:00"/>
    <d v="2024-11-19T00:00:00"/>
    <x v="0"/>
    <x v="0"/>
    <n v="97312.319999999992"/>
    <x v="0"/>
    <x v="0"/>
    <x v="0"/>
  </r>
  <r>
    <n v="29703"/>
    <x v="1"/>
    <x v="0"/>
    <n v="438"/>
    <n v="100"/>
    <n v="84.38"/>
    <x v="1"/>
    <d v="2024-07-26T00:00:00"/>
    <d v="2024-08-07T00:00:00"/>
    <x v="1"/>
    <x v="0"/>
    <n v="36958.439999999995"/>
    <x v="0"/>
    <x v="0"/>
    <x v="0"/>
  </r>
  <r>
    <n v="85653"/>
    <x v="2"/>
    <x v="1"/>
    <n v="183"/>
    <n v="50"/>
    <n v="355.14"/>
    <x v="4"/>
    <d v="2024-07-06T00:00:00"/>
    <d v="2024-07-17T00:00:00"/>
    <x v="1"/>
    <x v="0"/>
    <n v="64990.619999999995"/>
    <x v="0"/>
    <x v="0"/>
    <x v="0"/>
  </r>
  <r>
    <n v="37328"/>
    <x v="15"/>
    <x v="4"/>
    <n v="130"/>
    <n v="20"/>
    <n v="366.69"/>
    <x v="3"/>
    <d v="2024-10-28T00:00:00"/>
    <d v="2024-11-23T00:00:00"/>
    <x v="1"/>
    <x v="0"/>
    <n v="47669.7"/>
    <x v="0"/>
    <x v="0"/>
    <x v="0"/>
  </r>
  <r>
    <n v="12703"/>
    <x v="4"/>
    <x v="0"/>
    <n v="97"/>
    <n v="20"/>
    <n v="342.43"/>
    <x v="0"/>
    <d v="2024-03-28T00:00:00"/>
    <d v="2024-04-13T00:00:00"/>
    <x v="1"/>
    <x v="0"/>
    <n v="33215.71"/>
    <x v="0"/>
    <x v="0"/>
    <x v="0"/>
  </r>
  <r>
    <n v="66195"/>
    <x v="0"/>
    <x v="0"/>
    <n v="211"/>
    <n v="20"/>
    <n v="408.22"/>
    <x v="4"/>
    <d v="2024-02-08T00:00:00"/>
    <d v="2024-02-25T00:00:00"/>
    <x v="2"/>
    <x v="0"/>
    <n v="86134.420000000013"/>
    <x v="0"/>
    <x v="0"/>
    <x v="0"/>
  </r>
  <r>
    <n v="15723"/>
    <x v="10"/>
    <x v="2"/>
    <n v="87"/>
    <n v="80"/>
    <n v="315.25"/>
    <x v="4"/>
    <d v="2024-05-05T00:00:00"/>
    <d v="2024-05-31T00:00:00"/>
    <x v="0"/>
    <x v="0"/>
    <n v="27426.75"/>
    <x v="0"/>
    <x v="1"/>
    <x v="0"/>
  </r>
  <r>
    <n v="31162"/>
    <x v="9"/>
    <x v="1"/>
    <n v="120"/>
    <n v="80"/>
    <n v="71.94"/>
    <x v="1"/>
    <d v="2024-12-26T00:00:00"/>
    <d v="2025-01-17T00:00:00"/>
    <x v="0"/>
    <x v="0"/>
    <n v="8632.7999999999993"/>
    <x v="0"/>
    <x v="1"/>
    <x v="0"/>
  </r>
  <r>
    <n v="87195"/>
    <x v="0"/>
    <x v="0"/>
    <n v="35"/>
    <n v="100"/>
    <n v="242.69"/>
    <x v="2"/>
    <d v="2024-09-04T00:00:00"/>
    <d v="2024-09-27T00:00:00"/>
    <x v="1"/>
    <x v="1"/>
    <n v="8494.15"/>
    <x v="106"/>
    <x v="1"/>
    <x v="1"/>
  </r>
  <r>
    <n v="35931"/>
    <x v="7"/>
    <x v="3"/>
    <n v="98"/>
    <n v="50"/>
    <n v="152.97"/>
    <x v="3"/>
    <d v="2024-07-17T00:00:00"/>
    <d v="2024-07-24T00:00:00"/>
    <x v="0"/>
    <x v="0"/>
    <n v="14991.06"/>
    <x v="0"/>
    <x v="1"/>
    <x v="0"/>
  </r>
  <r>
    <n v="20605"/>
    <x v="4"/>
    <x v="0"/>
    <n v="290"/>
    <n v="50"/>
    <n v="143.25"/>
    <x v="2"/>
    <d v="2024-07-12T00:00:00"/>
    <d v="2024-07-30T00:00:00"/>
    <x v="0"/>
    <x v="0"/>
    <n v="41542.5"/>
    <x v="0"/>
    <x v="0"/>
    <x v="0"/>
  </r>
  <r>
    <n v="87195"/>
    <x v="7"/>
    <x v="3"/>
    <n v="48"/>
    <n v="150"/>
    <n v="89.7"/>
    <x v="0"/>
    <d v="2024-08-26T00:00:00"/>
    <d v="2024-09-16T00:00:00"/>
    <x v="1"/>
    <x v="1"/>
    <n v="4305.6000000000004"/>
    <x v="124"/>
    <x v="1"/>
    <x v="1"/>
  </r>
  <r>
    <n v="58745"/>
    <x v="5"/>
    <x v="2"/>
    <n v="382"/>
    <n v="150"/>
    <n v="142.02000000000001"/>
    <x v="1"/>
    <d v="2024-10-11T00:00:00"/>
    <d v="2024-11-11T00:00:00"/>
    <x v="1"/>
    <x v="0"/>
    <n v="54251.640000000007"/>
    <x v="0"/>
    <x v="1"/>
    <x v="0"/>
  </r>
  <r>
    <n v="94482"/>
    <x v="0"/>
    <x v="0"/>
    <n v="175"/>
    <n v="100"/>
    <n v="244.78"/>
    <x v="3"/>
    <d v="2024-09-05T00:00:00"/>
    <d v="2024-09-21T00:00:00"/>
    <x v="0"/>
    <x v="0"/>
    <n v="42836.5"/>
    <x v="0"/>
    <x v="1"/>
    <x v="0"/>
  </r>
  <r>
    <n v="29564"/>
    <x v="15"/>
    <x v="4"/>
    <n v="122"/>
    <n v="20"/>
    <n v="165.04"/>
    <x v="0"/>
    <d v="2024-06-06T00:00:00"/>
    <d v="2024-07-06T00:00:00"/>
    <x v="2"/>
    <x v="0"/>
    <n v="20134.879999999997"/>
    <x v="0"/>
    <x v="0"/>
    <x v="0"/>
  </r>
  <r>
    <n v="78071"/>
    <x v="13"/>
    <x v="3"/>
    <n v="414"/>
    <n v="100"/>
    <n v="258.27"/>
    <x v="0"/>
    <d v="2024-11-25T00:00:00"/>
    <d v="2024-12-08T00:00:00"/>
    <x v="2"/>
    <x v="0"/>
    <n v="106923.78"/>
    <x v="0"/>
    <x v="0"/>
    <x v="0"/>
  </r>
  <r>
    <n v="99694"/>
    <x v="11"/>
    <x v="4"/>
    <n v="60"/>
    <n v="40"/>
    <n v="115.77"/>
    <x v="4"/>
    <d v="2024-10-13T00:00:00"/>
    <d v="2024-10-18T00:00:00"/>
    <x v="0"/>
    <x v="0"/>
    <n v="6946.2"/>
    <x v="0"/>
    <x v="1"/>
    <x v="0"/>
  </r>
  <r>
    <n v="29715"/>
    <x v="10"/>
    <x v="2"/>
    <n v="290"/>
    <n v="150"/>
    <n v="219.68"/>
    <x v="4"/>
    <d v="2024-12-04T00:00:00"/>
    <d v="2025-01-05T00:00:00"/>
    <x v="0"/>
    <x v="0"/>
    <n v="63707.200000000004"/>
    <x v="0"/>
    <x v="1"/>
    <x v="0"/>
  </r>
  <r>
    <n v="85761"/>
    <x v="3"/>
    <x v="2"/>
    <n v="479"/>
    <n v="40"/>
    <n v="471.97"/>
    <x v="3"/>
    <d v="2024-07-30T00:00:00"/>
    <d v="2024-08-05T00:00:00"/>
    <x v="1"/>
    <x v="0"/>
    <n v="226073.63"/>
    <x v="0"/>
    <x v="0"/>
    <x v="0"/>
  </r>
  <r>
    <n v="24155"/>
    <x v="8"/>
    <x v="1"/>
    <n v="431"/>
    <n v="30"/>
    <n v="498.86"/>
    <x v="0"/>
    <d v="2024-01-19T00:00:00"/>
    <d v="2024-02-26T00:00:00"/>
    <x v="1"/>
    <x v="0"/>
    <n v="215008.66"/>
    <x v="0"/>
    <x v="0"/>
    <x v="0"/>
  </r>
  <r>
    <n v="91855"/>
    <x v="9"/>
    <x v="1"/>
    <n v="133"/>
    <n v="40"/>
    <n v="483.18"/>
    <x v="4"/>
    <d v="2024-03-26T00:00:00"/>
    <d v="2024-04-10T00:00:00"/>
    <x v="0"/>
    <x v="0"/>
    <n v="64262.94"/>
    <x v="0"/>
    <x v="0"/>
    <x v="0"/>
  </r>
  <r>
    <n v="72970"/>
    <x v="16"/>
    <x v="3"/>
    <n v="349"/>
    <n v="40"/>
    <n v="310.94"/>
    <x v="4"/>
    <d v="2024-10-29T00:00:00"/>
    <d v="2024-12-01T00:00:00"/>
    <x v="0"/>
    <x v="0"/>
    <n v="108518.06"/>
    <x v="0"/>
    <x v="0"/>
    <x v="0"/>
  </r>
  <r>
    <n v="52605"/>
    <x v="9"/>
    <x v="1"/>
    <n v="222"/>
    <n v="40"/>
    <n v="354.71"/>
    <x v="3"/>
    <d v="2024-08-24T00:00:00"/>
    <d v="2024-09-19T00:00:00"/>
    <x v="1"/>
    <x v="0"/>
    <n v="78745.62"/>
    <x v="0"/>
    <x v="0"/>
    <x v="0"/>
  </r>
  <r>
    <n v="68989"/>
    <x v="7"/>
    <x v="3"/>
    <n v="43"/>
    <n v="150"/>
    <n v="133.38999999999999"/>
    <x v="2"/>
    <d v="2024-05-09T00:00:00"/>
    <d v="2024-05-30T00:00:00"/>
    <x v="0"/>
    <x v="1"/>
    <n v="5735.7699999999995"/>
    <x v="125"/>
    <x v="1"/>
    <x v="1"/>
  </r>
  <r>
    <n v="30661"/>
    <x v="2"/>
    <x v="1"/>
    <n v="162"/>
    <n v="150"/>
    <n v="385.92"/>
    <x v="0"/>
    <d v="2024-12-26T00:00:00"/>
    <d v="2025-01-30T00:00:00"/>
    <x v="0"/>
    <x v="0"/>
    <n v="62519.040000000001"/>
    <x v="0"/>
    <x v="1"/>
    <x v="0"/>
  </r>
  <r>
    <n v="68491"/>
    <x v="5"/>
    <x v="2"/>
    <n v="33"/>
    <n v="40"/>
    <n v="184.81"/>
    <x v="4"/>
    <d v="2024-10-19T00:00:00"/>
    <d v="2024-11-11T00:00:00"/>
    <x v="1"/>
    <x v="1"/>
    <n v="6098.7300000000005"/>
    <x v="43"/>
    <x v="1"/>
    <x v="1"/>
  </r>
  <r>
    <n v="20002"/>
    <x v="13"/>
    <x v="3"/>
    <n v="457"/>
    <n v="80"/>
    <n v="461.27"/>
    <x v="0"/>
    <d v="2024-12-25T00:00:00"/>
    <d v="2025-01-06T00:00:00"/>
    <x v="2"/>
    <x v="0"/>
    <n v="210800.38999999998"/>
    <x v="0"/>
    <x v="0"/>
    <x v="0"/>
  </r>
  <r>
    <n v="84232"/>
    <x v="2"/>
    <x v="1"/>
    <n v="156"/>
    <n v="20"/>
    <n v="51.58"/>
    <x v="2"/>
    <d v="2024-11-13T00:00:00"/>
    <d v="2024-12-17T00:00:00"/>
    <x v="1"/>
    <x v="0"/>
    <n v="8046.48"/>
    <x v="0"/>
    <x v="0"/>
    <x v="0"/>
  </r>
  <r>
    <n v="87365"/>
    <x v="11"/>
    <x v="4"/>
    <n v="51"/>
    <n v="20"/>
    <n v="252.53"/>
    <x v="4"/>
    <d v="2024-09-07T00:00:00"/>
    <d v="2024-09-27T00:00:00"/>
    <x v="0"/>
    <x v="0"/>
    <n v="12879.03"/>
    <x v="0"/>
    <x v="1"/>
    <x v="0"/>
  </r>
  <r>
    <n v="53739"/>
    <x v="11"/>
    <x v="4"/>
    <n v="291"/>
    <n v="150"/>
    <n v="463.82"/>
    <x v="4"/>
    <d v="2024-03-21T00:00:00"/>
    <d v="2024-04-14T00:00:00"/>
    <x v="0"/>
    <x v="0"/>
    <n v="134971.62"/>
    <x v="0"/>
    <x v="1"/>
    <x v="0"/>
  </r>
  <r>
    <n v="85440"/>
    <x v="3"/>
    <x v="2"/>
    <n v="66"/>
    <n v="100"/>
    <n v="185.29"/>
    <x v="1"/>
    <d v="2024-07-16T00:00:00"/>
    <d v="2024-07-23T00:00:00"/>
    <x v="0"/>
    <x v="1"/>
    <n v="12229.14"/>
    <x v="38"/>
    <x v="1"/>
    <x v="1"/>
  </r>
  <r>
    <n v="98022"/>
    <x v="15"/>
    <x v="4"/>
    <n v="437"/>
    <n v="50"/>
    <n v="56.39"/>
    <x v="4"/>
    <d v="2024-10-20T00:00:00"/>
    <d v="2024-11-11T00:00:00"/>
    <x v="1"/>
    <x v="0"/>
    <n v="24642.43"/>
    <x v="0"/>
    <x v="0"/>
    <x v="0"/>
  </r>
  <r>
    <n v="95346"/>
    <x v="2"/>
    <x v="1"/>
    <n v="191"/>
    <n v="80"/>
    <n v="124.73"/>
    <x v="3"/>
    <d v="2024-08-12T00:00:00"/>
    <d v="2024-09-07T00:00:00"/>
    <x v="2"/>
    <x v="0"/>
    <n v="23823.43"/>
    <x v="0"/>
    <x v="1"/>
    <x v="0"/>
  </r>
  <r>
    <n v="53322"/>
    <x v="16"/>
    <x v="3"/>
    <n v="344"/>
    <n v="100"/>
    <n v="172.33"/>
    <x v="3"/>
    <d v="2024-12-16T00:00:00"/>
    <d v="2025-01-06T00:00:00"/>
    <x v="1"/>
    <x v="0"/>
    <n v="59281.520000000004"/>
    <x v="0"/>
    <x v="0"/>
    <x v="0"/>
  </r>
  <r>
    <n v="49767"/>
    <x v="7"/>
    <x v="3"/>
    <n v="67"/>
    <n v="40"/>
    <n v="159.53"/>
    <x v="0"/>
    <d v="2024-03-17T00:00:00"/>
    <d v="2024-04-17T00:00:00"/>
    <x v="0"/>
    <x v="0"/>
    <n v="10688.51"/>
    <x v="0"/>
    <x v="1"/>
    <x v="0"/>
  </r>
  <r>
    <n v="70510"/>
    <x v="12"/>
    <x v="0"/>
    <n v="241"/>
    <n v="150"/>
    <n v="84.02"/>
    <x v="0"/>
    <d v="2024-11-08T00:00:00"/>
    <d v="2024-11-23T00:00:00"/>
    <x v="2"/>
    <x v="0"/>
    <n v="20248.82"/>
    <x v="0"/>
    <x v="1"/>
    <x v="0"/>
  </r>
  <r>
    <n v="39402"/>
    <x v="10"/>
    <x v="2"/>
    <n v="331"/>
    <n v="40"/>
    <n v="80.09"/>
    <x v="3"/>
    <d v="2024-10-18T00:00:00"/>
    <d v="2024-10-24T00:00:00"/>
    <x v="0"/>
    <x v="0"/>
    <n v="26509.79"/>
    <x v="0"/>
    <x v="0"/>
    <x v="0"/>
  </r>
  <r>
    <n v="22767"/>
    <x v="11"/>
    <x v="4"/>
    <n v="248"/>
    <n v="30"/>
    <n v="445.6"/>
    <x v="1"/>
    <d v="2024-01-02T00:00:00"/>
    <d v="2024-01-18T00:00:00"/>
    <x v="1"/>
    <x v="0"/>
    <n v="110508.8"/>
    <x v="0"/>
    <x v="0"/>
    <x v="0"/>
  </r>
  <r>
    <n v="34806"/>
    <x v="15"/>
    <x v="4"/>
    <n v="397"/>
    <n v="30"/>
    <n v="214.05"/>
    <x v="0"/>
    <d v="2024-02-25T00:00:00"/>
    <d v="2024-03-04T00:00:00"/>
    <x v="2"/>
    <x v="0"/>
    <n v="84977.85"/>
    <x v="0"/>
    <x v="0"/>
    <x v="0"/>
  </r>
  <r>
    <n v="21612"/>
    <x v="10"/>
    <x v="2"/>
    <n v="385"/>
    <n v="50"/>
    <n v="480.05"/>
    <x v="2"/>
    <d v="2024-03-08T00:00:00"/>
    <d v="2024-04-03T00:00:00"/>
    <x v="0"/>
    <x v="0"/>
    <n v="184819.25"/>
    <x v="0"/>
    <x v="0"/>
    <x v="0"/>
  </r>
  <r>
    <n v="72093"/>
    <x v="14"/>
    <x v="4"/>
    <n v="199"/>
    <n v="20"/>
    <n v="224.73"/>
    <x v="4"/>
    <d v="2024-04-24T00:00:00"/>
    <d v="2024-05-02T00:00:00"/>
    <x v="2"/>
    <x v="0"/>
    <n v="44721.27"/>
    <x v="0"/>
    <x v="0"/>
    <x v="0"/>
  </r>
  <r>
    <n v="59851"/>
    <x v="8"/>
    <x v="1"/>
    <n v="25"/>
    <n v="20"/>
    <n v="439.45"/>
    <x v="4"/>
    <d v="2024-05-24T00:00:00"/>
    <d v="2024-06-01T00:00:00"/>
    <x v="2"/>
    <x v="0"/>
    <n v="10986.25"/>
    <x v="0"/>
    <x v="1"/>
    <x v="0"/>
  </r>
  <r>
    <n v="13756"/>
    <x v="10"/>
    <x v="2"/>
    <n v="280"/>
    <n v="80"/>
    <n v="273.02999999999997"/>
    <x v="1"/>
    <d v="2024-01-01T00:00:00"/>
    <d v="2024-01-06T00:00:00"/>
    <x v="1"/>
    <x v="0"/>
    <n v="76448.399999999994"/>
    <x v="0"/>
    <x v="0"/>
    <x v="0"/>
  </r>
  <r>
    <n v="89921"/>
    <x v="5"/>
    <x v="2"/>
    <n v="44"/>
    <n v="150"/>
    <n v="284.02"/>
    <x v="4"/>
    <d v="2024-08-20T00:00:00"/>
    <d v="2024-09-10T00:00:00"/>
    <x v="1"/>
    <x v="1"/>
    <n v="12496.88"/>
    <x v="126"/>
    <x v="1"/>
    <x v="1"/>
  </r>
  <r>
    <n v="95783"/>
    <x v="7"/>
    <x v="3"/>
    <n v="156"/>
    <n v="80"/>
    <n v="20.36"/>
    <x v="0"/>
    <d v="2024-01-31T00:00:00"/>
    <d v="2024-02-12T00:00:00"/>
    <x v="1"/>
    <x v="0"/>
    <n v="3176.16"/>
    <x v="0"/>
    <x v="1"/>
    <x v="0"/>
  </r>
  <r>
    <n v="20273"/>
    <x v="2"/>
    <x v="1"/>
    <n v="142"/>
    <n v="50"/>
    <n v="195.52"/>
    <x v="2"/>
    <d v="2024-12-15T00:00:00"/>
    <d v="2025-01-07T00:00:00"/>
    <x v="0"/>
    <x v="0"/>
    <n v="27763.84"/>
    <x v="0"/>
    <x v="1"/>
    <x v="0"/>
  </r>
  <r>
    <n v="57025"/>
    <x v="0"/>
    <x v="0"/>
    <n v="139"/>
    <n v="100"/>
    <n v="34.020000000000003"/>
    <x v="2"/>
    <d v="2024-12-26T00:00:00"/>
    <d v="2025-01-23T00:00:00"/>
    <x v="1"/>
    <x v="0"/>
    <n v="4728.7800000000007"/>
    <x v="0"/>
    <x v="1"/>
    <x v="0"/>
  </r>
  <r>
    <n v="70910"/>
    <x v="9"/>
    <x v="1"/>
    <n v="231"/>
    <n v="100"/>
    <n v="204.36"/>
    <x v="3"/>
    <d v="2024-03-10T00:00:00"/>
    <d v="2024-03-27T00:00:00"/>
    <x v="1"/>
    <x v="0"/>
    <n v="47207.16"/>
    <x v="0"/>
    <x v="1"/>
    <x v="0"/>
  </r>
  <r>
    <n v="72678"/>
    <x v="11"/>
    <x v="4"/>
    <n v="401"/>
    <n v="100"/>
    <n v="46.63"/>
    <x v="4"/>
    <d v="2024-02-01T00:00:00"/>
    <d v="2024-02-12T00:00:00"/>
    <x v="2"/>
    <x v="0"/>
    <n v="18698.63"/>
    <x v="0"/>
    <x v="0"/>
    <x v="0"/>
  </r>
  <r>
    <n v="64345"/>
    <x v="11"/>
    <x v="4"/>
    <n v="433"/>
    <n v="80"/>
    <n v="368.48"/>
    <x v="1"/>
    <d v="2024-12-07T00:00:00"/>
    <d v="2025-01-02T00:00:00"/>
    <x v="1"/>
    <x v="0"/>
    <n v="159551.84"/>
    <x v="0"/>
    <x v="0"/>
    <x v="0"/>
  </r>
  <r>
    <n v="26923"/>
    <x v="2"/>
    <x v="1"/>
    <n v="374"/>
    <n v="20"/>
    <n v="153.81"/>
    <x v="1"/>
    <d v="2024-10-18T00:00:00"/>
    <d v="2024-11-22T00:00:00"/>
    <x v="1"/>
    <x v="0"/>
    <n v="57524.94"/>
    <x v="0"/>
    <x v="0"/>
    <x v="0"/>
  </r>
  <r>
    <n v="16716"/>
    <x v="12"/>
    <x v="0"/>
    <n v="317"/>
    <n v="150"/>
    <n v="337.57"/>
    <x v="3"/>
    <d v="2024-05-04T00:00:00"/>
    <d v="2024-05-26T00:00:00"/>
    <x v="0"/>
    <x v="0"/>
    <n v="107009.69"/>
    <x v="0"/>
    <x v="1"/>
    <x v="0"/>
  </r>
  <r>
    <n v="22170"/>
    <x v="15"/>
    <x v="4"/>
    <n v="56"/>
    <n v="150"/>
    <n v="110.71"/>
    <x v="4"/>
    <d v="2024-02-11T00:00:00"/>
    <d v="2024-02-16T00:00:00"/>
    <x v="1"/>
    <x v="1"/>
    <n v="6199.7599999999993"/>
    <x v="8"/>
    <x v="1"/>
    <x v="1"/>
  </r>
  <r>
    <n v="66153"/>
    <x v="15"/>
    <x v="4"/>
    <n v="474"/>
    <n v="30"/>
    <n v="407.41"/>
    <x v="2"/>
    <d v="2024-05-15T00:00:00"/>
    <d v="2024-06-11T00:00:00"/>
    <x v="1"/>
    <x v="0"/>
    <n v="193112.34000000003"/>
    <x v="0"/>
    <x v="0"/>
    <x v="0"/>
  </r>
  <r>
    <n v="62169"/>
    <x v="10"/>
    <x v="2"/>
    <n v="429"/>
    <n v="100"/>
    <n v="129"/>
    <x v="3"/>
    <d v="2024-09-19T00:00:00"/>
    <d v="2024-10-04T00:00:00"/>
    <x v="1"/>
    <x v="0"/>
    <n v="55341"/>
    <x v="0"/>
    <x v="0"/>
    <x v="0"/>
  </r>
  <r>
    <n v="57631"/>
    <x v="15"/>
    <x v="4"/>
    <n v="66"/>
    <n v="20"/>
    <n v="279.92"/>
    <x v="2"/>
    <d v="2024-07-02T00:00:00"/>
    <d v="2024-07-22T00:00:00"/>
    <x v="2"/>
    <x v="0"/>
    <n v="18474.72"/>
    <x v="0"/>
    <x v="0"/>
    <x v="0"/>
  </r>
  <r>
    <n v="45059"/>
    <x v="10"/>
    <x v="2"/>
    <n v="454"/>
    <n v="150"/>
    <n v="361.87"/>
    <x v="0"/>
    <d v="2024-01-18T00:00:00"/>
    <d v="2024-02-10T00:00:00"/>
    <x v="2"/>
    <x v="0"/>
    <n v="164288.98000000001"/>
    <x v="0"/>
    <x v="0"/>
    <x v="0"/>
  </r>
  <r>
    <n v="91951"/>
    <x v="5"/>
    <x v="2"/>
    <n v="245"/>
    <n v="20"/>
    <n v="230.91"/>
    <x v="0"/>
    <d v="2024-02-18T00:00:00"/>
    <d v="2024-03-21T00:00:00"/>
    <x v="0"/>
    <x v="0"/>
    <n v="56572.95"/>
    <x v="0"/>
    <x v="0"/>
    <x v="0"/>
  </r>
  <r>
    <n v="79445"/>
    <x v="12"/>
    <x v="0"/>
    <n v="291"/>
    <n v="40"/>
    <n v="292.60000000000002"/>
    <x v="4"/>
    <d v="2024-03-27T00:00:00"/>
    <d v="2024-04-02T00:00:00"/>
    <x v="0"/>
    <x v="0"/>
    <n v="85146.6"/>
    <x v="0"/>
    <x v="0"/>
    <x v="0"/>
  </r>
  <r>
    <n v="49502"/>
    <x v="4"/>
    <x v="0"/>
    <n v="481"/>
    <n v="50"/>
    <n v="71.56"/>
    <x v="4"/>
    <d v="2024-03-30T00:00:00"/>
    <d v="2024-04-13T00:00:00"/>
    <x v="1"/>
    <x v="0"/>
    <n v="34420.36"/>
    <x v="0"/>
    <x v="0"/>
    <x v="0"/>
  </r>
  <r>
    <n v="22842"/>
    <x v="3"/>
    <x v="2"/>
    <n v="276"/>
    <n v="100"/>
    <n v="208.9"/>
    <x v="2"/>
    <d v="2024-02-06T00:00:00"/>
    <d v="2024-02-24T00:00:00"/>
    <x v="0"/>
    <x v="0"/>
    <n v="57656.4"/>
    <x v="0"/>
    <x v="1"/>
    <x v="0"/>
  </r>
  <r>
    <n v="32623"/>
    <x v="1"/>
    <x v="0"/>
    <n v="416"/>
    <n v="40"/>
    <n v="381.92"/>
    <x v="0"/>
    <d v="2024-12-08T00:00:00"/>
    <d v="2025-01-08T00:00:00"/>
    <x v="2"/>
    <x v="0"/>
    <n v="158878.72"/>
    <x v="0"/>
    <x v="0"/>
    <x v="0"/>
  </r>
  <r>
    <n v="58296"/>
    <x v="15"/>
    <x v="4"/>
    <n v="395"/>
    <n v="150"/>
    <n v="163.96"/>
    <x v="4"/>
    <d v="2024-05-03T00:00:00"/>
    <d v="2024-05-11T00:00:00"/>
    <x v="0"/>
    <x v="0"/>
    <n v="64764.200000000004"/>
    <x v="0"/>
    <x v="1"/>
    <x v="0"/>
  </r>
  <r>
    <n v="52012"/>
    <x v="15"/>
    <x v="4"/>
    <n v="12"/>
    <n v="150"/>
    <n v="53.13"/>
    <x v="4"/>
    <d v="2024-07-18T00:00:00"/>
    <d v="2024-08-25T00:00:00"/>
    <x v="1"/>
    <x v="1"/>
    <n v="637.56000000000006"/>
    <x v="120"/>
    <x v="1"/>
    <x v="1"/>
  </r>
  <r>
    <n v="84992"/>
    <x v="6"/>
    <x v="3"/>
    <n v="43"/>
    <n v="80"/>
    <n v="196.41"/>
    <x v="1"/>
    <d v="2024-05-18T00:00:00"/>
    <d v="2024-06-05T00:00:00"/>
    <x v="2"/>
    <x v="1"/>
    <n v="8445.6299999999992"/>
    <x v="65"/>
    <x v="1"/>
    <x v="1"/>
  </r>
  <r>
    <n v="34172"/>
    <x v="10"/>
    <x v="2"/>
    <n v="48"/>
    <n v="40"/>
    <n v="381.22"/>
    <x v="4"/>
    <d v="2024-11-23T00:00:00"/>
    <d v="2024-12-29T00:00:00"/>
    <x v="1"/>
    <x v="0"/>
    <n v="18298.560000000001"/>
    <x v="0"/>
    <x v="1"/>
    <x v="0"/>
  </r>
  <r>
    <n v="66068"/>
    <x v="10"/>
    <x v="2"/>
    <n v="187"/>
    <n v="20"/>
    <n v="192.13"/>
    <x v="1"/>
    <d v="2024-01-23T00:00:00"/>
    <d v="2024-02-10T00:00:00"/>
    <x v="2"/>
    <x v="0"/>
    <n v="35928.31"/>
    <x v="0"/>
    <x v="0"/>
    <x v="0"/>
  </r>
  <r>
    <n v="99376"/>
    <x v="15"/>
    <x v="4"/>
    <n v="23"/>
    <n v="80"/>
    <n v="212.65"/>
    <x v="2"/>
    <d v="2024-05-25T00:00:00"/>
    <d v="2024-06-02T00:00:00"/>
    <x v="2"/>
    <x v="1"/>
    <n v="4890.95"/>
    <x v="110"/>
    <x v="1"/>
    <x v="1"/>
  </r>
  <r>
    <n v="89951"/>
    <x v="12"/>
    <x v="0"/>
    <n v="124"/>
    <n v="50"/>
    <n v="311.08"/>
    <x v="0"/>
    <d v="2024-11-19T00:00:00"/>
    <d v="2024-12-04T00:00:00"/>
    <x v="2"/>
    <x v="0"/>
    <n v="38573.919999999998"/>
    <x v="0"/>
    <x v="1"/>
    <x v="0"/>
  </r>
  <r>
    <n v="94860"/>
    <x v="6"/>
    <x v="3"/>
    <n v="435"/>
    <n v="50"/>
    <n v="372.17"/>
    <x v="1"/>
    <d v="2024-10-26T00:00:00"/>
    <d v="2024-12-02T00:00:00"/>
    <x v="0"/>
    <x v="0"/>
    <n v="161893.95000000001"/>
    <x v="0"/>
    <x v="0"/>
    <x v="0"/>
  </r>
  <r>
    <n v="85652"/>
    <x v="6"/>
    <x v="3"/>
    <n v="242"/>
    <n v="50"/>
    <n v="257.64999999999998"/>
    <x v="3"/>
    <d v="2024-02-24T00:00:00"/>
    <d v="2024-03-15T00:00:00"/>
    <x v="2"/>
    <x v="0"/>
    <n v="62351.299999999996"/>
    <x v="0"/>
    <x v="0"/>
    <x v="0"/>
  </r>
  <r>
    <n v="51534"/>
    <x v="0"/>
    <x v="0"/>
    <n v="276"/>
    <n v="100"/>
    <n v="476.12"/>
    <x v="4"/>
    <d v="2024-01-30T00:00:00"/>
    <d v="2024-02-26T00:00:00"/>
    <x v="1"/>
    <x v="0"/>
    <n v="131409.12"/>
    <x v="0"/>
    <x v="1"/>
    <x v="0"/>
  </r>
  <r>
    <n v="17938"/>
    <x v="11"/>
    <x v="4"/>
    <n v="241"/>
    <n v="80"/>
    <n v="497.55"/>
    <x v="1"/>
    <d v="2024-02-08T00:00:00"/>
    <d v="2024-02-29T00:00:00"/>
    <x v="1"/>
    <x v="0"/>
    <n v="119909.55"/>
    <x v="0"/>
    <x v="0"/>
    <x v="0"/>
  </r>
  <r>
    <n v="84755"/>
    <x v="5"/>
    <x v="2"/>
    <n v="478"/>
    <n v="150"/>
    <n v="449.64"/>
    <x v="0"/>
    <d v="2024-03-12T00:00:00"/>
    <d v="2024-03-22T00:00:00"/>
    <x v="0"/>
    <x v="0"/>
    <n v="214927.91999999998"/>
    <x v="0"/>
    <x v="0"/>
    <x v="0"/>
  </r>
  <r>
    <n v="77719"/>
    <x v="11"/>
    <x v="4"/>
    <n v="291"/>
    <n v="40"/>
    <n v="185.26"/>
    <x v="0"/>
    <d v="2024-03-20T00:00:00"/>
    <d v="2024-03-26T00:00:00"/>
    <x v="0"/>
    <x v="0"/>
    <n v="53910.659999999996"/>
    <x v="0"/>
    <x v="0"/>
    <x v="0"/>
  </r>
  <r>
    <n v="77117"/>
    <x v="5"/>
    <x v="2"/>
    <n v="6"/>
    <n v="30"/>
    <n v="58.39"/>
    <x v="0"/>
    <d v="2024-08-24T00:00:00"/>
    <d v="2024-09-09T00:00:00"/>
    <x v="1"/>
    <x v="1"/>
    <n v="350.34000000000003"/>
    <x v="69"/>
    <x v="1"/>
    <x v="1"/>
  </r>
  <r>
    <n v="99179"/>
    <x v="11"/>
    <x v="4"/>
    <n v="113"/>
    <n v="100"/>
    <n v="462.3"/>
    <x v="3"/>
    <d v="2024-11-12T00:00:00"/>
    <d v="2024-11-20T00:00:00"/>
    <x v="0"/>
    <x v="0"/>
    <n v="52239.9"/>
    <x v="0"/>
    <x v="1"/>
    <x v="0"/>
  </r>
  <r>
    <n v="52124"/>
    <x v="3"/>
    <x v="2"/>
    <n v="304"/>
    <n v="30"/>
    <n v="104.18"/>
    <x v="2"/>
    <d v="2024-01-16T00:00:00"/>
    <d v="2024-02-10T00:00:00"/>
    <x v="1"/>
    <x v="0"/>
    <n v="31670.720000000001"/>
    <x v="0"/>
    <x v="0"/>
    <x v="0"/>
  </r>
  <r>
    <n v="42059"/>
    <x v="1"/>
    <x v="0"/>
    <n v="75"/>
    <n v="50"/>
    <n v="386.72"/>
    <x v="2"/>
    <d v="2024-09-24T00:00:00"/>
    <d v="2024-10-23T00:00:00"/>
    <x v="1"/>
    <x v="0"/>
    <n v="29004.000000000004"/>
    <x v="0"/>
    <x v="1"/>
    <x v="0"/>
  </r>
  <r>
    <n v="25834"/>
    <x v="4"/>
    <x v="0"/>
    <n v="33"/>
    <n v="80"/>
    <n v="19.309999999999999"/>
    <x v="4"/>
    <d v="2024-08-18T00:00:00"/>
    <d v="2024-09-19T00:00:00"/>
    <x v="1"/>
    <x v="1"/>
    <n v="637.2299999999999"/>
    <x v="83"/>
    <x v="1"/>
    <x v="1"/>
  </r>
  <r>
    <n v="81484"/>
    <x v="3"/>
    <x v="2"/>
    <n v="158"/>
    <n v="30"/>
    <n v="162.11000000000001"/>
    <x v="2"/>
    <d v="2024-03-30T00:00:00"/>
    <d v="2024-05-04T00:00:00"/>
    <x v="1"/>
    <x v="0"/>
    <n v="25613.38"/>
    <x v="0"/>
    <x v="0"/>
    <x v="0"/>
  </r>
  <r>
    <n v="92368"/>
    <x v="14"/>
    <x v="4"/>
    <n v="208"/>
    <n v="30"/>
    <n v="415.24"/>
    <x v="2"/>
    <d v="2024-12-22T00:00:00"/>
    <d v="2025-01-04T00:00:00"/>
    <x v="2"/>
    <x v="0"/>
    <n v="86369.919999999998"/>
    <x v="0"/>
    <x v="0"/>
    <x v="0"/>
  </r>
  <r>
    <n v="55788"/>
    <x v="5"/>
    <x v="2"/>
    <n v="361"/>
    <n v="40"/>
    <n v="123.95"/>
    <x v="1"/>
    <d v="2024-05-07T00:00:00"/>
    <d v="2024-05-19T00:00:00"/>
    <x v="0"/>
    <x v="0"/>
    <n v="44745.950000000004"/>
    <x v="0"/>
    <x v="0"/>
    <x v="0"/>
  </r>
  <r>
    <n v="73535"/>
    <x v="12"/>
    <x v="0"/>
    <n v="392"/>
    <n v="40"/>
    <n v="263.64999999999998"/>
    <x v="1"/>
    <d v="2024-08-16T00:00:00"/>
    <d v="2024-09-14T00:00:00"/>
    <x v="0"/>
    <x v="0"/>
    <n v="103350.79999999999"/>
    <x v="0"/>
    <x v="0"/>
    <x v="0"/>
  </r>
  <r>
    <n v="25475"/>
    <x v="12"/>
    <x v="0"/>
    <n v="160"/>
    <n v="150"/>
    <n v="281.70999999999998"/>
    <x v="1"/>
    <d v="2024-09-30T00:00:00"/>
    <d v="2024-11-06T00:00:00"/>
    <x v="1"/>
    <x v="0"/>
    <n v="45073.599999999999"/>
    <x v="0"/>
    <x v="1"/>
    <x v="0"/>
  </r>
  <r>
    <n v="50185"/>
    <x v="6"/>
    <x v="3"/>
    <n v="163"/>
    <n v="150"/>
    <n v="357.4"/>
    <x v="3"/>
    <d v="2024-10-30T00:00:00"/>
    <d v="2024-12-03T00:00:00"/>
    <x v="1"/>
    <x v="0"/>
    <n v="58256.2"/>
    <x v="0"/>
    <x v="1"/>
    <x v="0"/>
  </r>
  <r>
    <n v="73690"/>
    <x v="5"/>
    <x v="2"/>
    <n v="315"/>
    <n v="150"/>
    <n v="151.78"/>
    <x v="4"/>
    <d v="2024-01-15T00:00:00"/>
    <d v="2024-02-17T00:00:00"/>
    <x v="2"/>
    <x v="0"/>
    <n v="47810.7"/>
    <x v="0"/>
    <x v="1"/>
    <x v="0"/>
  </r>
  <r>
    <n v="38210"/>
    <x v="2"/>
    <x v="1"/>
    <n v="10"/>
    <n v="20"/>
    <n v="113.91"/>
    <x v="3"/>
    <d v="2024-07-21T00:00:00"/>
    <d v="2024-08-02T00:00:00"/>
    <x v="1"/>
    <x v="1"/>
    <n v="1139.0999999999999"/>
    <x v="60"/>
    <x v="1"/>
    <x v="1"/>
  </r>
  <r>
    <n v="53861"/>
    <x v="8"/>
    <x v="1"/>
    <n v="465"/>
    <n v="20"/>
    <n v="369.95"/>
    <x v="4"/>
    <d v="2024-09-22T00:00:00"/>
    <d v="2024-10-10T00:00:00"/>
    <x v="1"/>
    <x v="0"/>
    <n v="172026.75"/>
    <x v="0"/>
    <x v="0"/>
    <x v="0"/>
  </r>
  <r>
    <n v="53114"/>
    <x v="6"/>
    <x v="3"/>
    <n v="419"/>
    <n v="50"/>
    <n v="225.07"/>
    <x v="0"/>
    <d v="2024-09-10T00:00:00"/>
    <d v="2024-09-22T00:00:00"/>
    <x v="2"/>
    <x v="0"/>
    <n v="94304.33"/>
    <x v="0"/>
    <x v="0"/>
    <x v="0"/>
  </r>
  <r>
    <n v="17386"/>
    <x v="2"/>
    <x v="1"/>
    <n v="429"/>
    <n v="30"/>
    <n v="306.16000000000003"/>
    <x v="1"/>
    <d v="2024-07-18T00:00:00"/>
    <d v="2024-08-13T00:00:00"/>
    <x v="0"/>
    <x v="0"/>
    <n v="131342.64000000001"/>
    <x v="0"/>
    <x v="0"/>
    <x v="0"/>
  </r>
  <r>
    <n v="57369"/>
    <x v="13"/>
    <x v="3"/>
    <n v="144"/>
    <n v="40"/>
    <n v="357.81"/>
    <x v="4"/>
    <d v="2024-12-04T00:00:00"/>
    <d v="2024-12-22T00:00:00"/>
    <x v="1"/>
    <x v="0"/>
    <n v="51524.639999999999"/>
    <x v="0"/>
    <x v="0"/>
    <x v="0"/>
  </r>
  <r>
    <n v="94961"/>
    <x v="6"/>
    <x v="3"/>
    <n v="393"/>
    <n v="150"/>
    <n v="73.25"/>
    <x v="2"/>
    <d v="2024-07-23T00:00:00"/>
    <d v="2024-08-26T00:00:00"/>
    <x v="1"/>
    <x v="0"/>
    <n v="28787.25"/>
    <x v="0"/>
    <x v="1"/>
    <x v="0"/>
  </r>
  <r>
    <n v="53162"/>
    <x v="12"/>
    <x v="0"/>
    <n v="372"/>
    <n v="50"/>
    <n v="428.23"/>
    <x v="4"/>
    <d v="2024-09-18T00:00:00"/>
    <d v="2024-10-20T00:00:00"/>
    <x v="1"/>
    <x v="0"/>
    <n v="159301.56"/>
    <x v="0"/>
    <x v="0"/>
    <x v="0"/>
  </r>
  <r>
    <n v="94194"/>
    <x v="3"/>
    <x v="2"/>
    <n v="43"/>
    <n v="150"/>
    <n v="360.63"/>
    <x v="2"/>
    <d v="2024-10-11T00:00:00"/>
    <d v="2024-10-21T00:00:00"/>
    <x v="0"/>
    <x v="1"/>
    <n v="15507.09"/>
    <x v="125"/>
    <x v="1"/>
    <x v="1"/>
  </r>
  <r>
    <n v="65881"/>
    <x v="2"/>
    <x v="1"/>
    <n v="335"/>
    <n v="20"/>
    <n v="83.59"/>
    <x v="4"/>
    <d v="2024-02-12T00:00:00"/>
    <d v="2024-03-12T00:00:00"/>
    <x v="2"/>
    <x v="0"/>
    <n v="28002.65"/>
    <x v="0"/>
    <x v="0"/>
    <x v="0"/>
  </r>
  <r>
    <n v="28206"/>
    <x v="8"/>
    <x v="1"/>
    <n v="33"/>
    <n v="40"/>
    <n v="102.31"/>
    <x v="1"/>
    <d v="2024-12-19T00:00:00"/>
    <d v="2025-01-04T00:00:00"/>
    <x v="0"/>
    <x v="1"/>
    <n v="3376.23"/>
    <x v="43"/>
    <x v="1"/>
    <x v="1"/>
  </r>
  <r>
    <n v="66938"/>
    <x v="11"/>
    <x v="4"/>
    <n v="291"/>
    <n v="100"/>
    <n v="21.06"/>
    <x v="2"/>
    <d v="2024-05-30T00:00:00"/>
    <d v="2024-06-19T00:00:00"/>
    <x v="1"/>
    <x v="0"/>
    <n v="6128.46"/>
    <x v="0"/>
    <x v="1"/>
    <x v="0"/>
  </r>
  <r>
    <n v="25993"/>
    <x v="2"/>
    <x v="1"/>
    <n v="343"/>
    <n v="30"/>
    <n v="17.829999999999998"/>
    <x v="2"/>
    <d v="2024-12-15T00:00:00"/>
    <d v="2025-01-02T00:00:00"/>
    <x v="1"/>
    <x v="0"/>
    <n v="6115.69"/>
    <x v="0"/>
    <x v="0"/>
    <x v="0"/>
  </r>
  <r>
    <n v="86553"/>
    <x v="0"/>
    <x v="0"/>
    <n v="476"/>
    <n v="150"/>
    <n v="315.06"/>
    <x v="4"/>
    <d v="2024-03-28T00:00:00"/>
    <d v="2024-05-01T00:00:00"/>
    <x v="2"/>
    <x v="0"/>
    <n v="149968.56"/>
    <x v="0"/>
    <x v="0"/>
    <x v="0"/>
  </r>
  <r>
    <n v="29784"/>
    <x v="15"/>
    <x v="4"/>
    <n v="398"/>
    <n v="20"/>
    <n v="159.41"/>
    <x v="2"/>
    <d v="2024-05-10T00:00:00"/>
    <d v="2024-06-13T00:00:00"/>
    <x v="1"/>
    <x v="0"/>
    <n v="63445.18"/>
    <x v="0"/>
    <x v="0"/>
    <x v="0"/>
  </r>
  <r>
    <n v="69317"/>
    <x v="8"/>
    <x v="1"/>
    <n v="366"/>
    <n v="150"/>
    <n v="457.95"/>
    <x v="2"/>
    <d v="2024-01-20T00:00:00"/>
    <d v="2024-02-10T00:00:00"/>
    <x v="2"/>
    <x v="0"/>
    <n v="167609.69999999998"/>
    <x v="0"/>
    <x v="1"/>
    <x v="0"/>
  </r>
  <r>
    <n v="18338"/>
    <x v="10"/>
    <x v="2"/>
    <n v="367"/>
    <n v="40"/>
    <n v="249.78"/>
    <x v="4"/>
    <d v="2024-12-13T00:00:00"/>
    <d v="2025-01-08T00:00:00"/>
    <x v="2"/>
    <x v="0"/>
    <n v="91669.26"/>
    <x v="0"/>
    <x v="0"/>
    <x v="0"/>
  </r>
  <r>
    <n v="17139"/>
    <x v="6"/>
    <x v="3"/>
    <n v="52"/>
    <n v="20"/>
    <n v="27.33"/>
    <x v="0"/>
    <d v="2024-10-13T00:00:00"/>
    <d v="2024-10-28T00:00:00"/>
    <x v="1"/>
    <x v="0"/>
    <n v="1421.1599999999999"/>
    <x v="0"/>
    <x v="1"/>
    <x v="0"/>
  </r>
  <r>
    <n v="23333"/>
    <x v="8"/>
    <x v="1"/>
    <n v="302"/>
    <n v="50"/>
    <n v="404.24"/>
    <x v="4"/>
    <d v="2024-10-09T00:00:00"/>
    <d v="2024-11-12T00:00:00"/>
    <x v="0"/>
    <x v="0"/>
    <n v="122080.48"/>
    <x v="0"/>
    <x v="0"/>
    <x v="0"/>
  </r>
  <r>
    <n v="75210"/>
    <x v="15"/>
    <x v="4"/>
    <n v="46"/>
    <n v="40"/>
    <n v="475.95"/>
    <x v="1"/>
    <d v="2024-05-24T00:00:00"/>
    <d v="2024-06-08T00:00:00"/>
    <x v="0"/>
    <x v="0"/>
    <n v="21893.7"/>
    <x v="0"/>
    <x v="1"/>
    <x v="0"/>
  </r>
  <r>
    <n v="70712"/>
    <x v="2"/>
    <x v="1"/>
    <n v="164"/>
    <n v="100"/>
    <n v="361.84"/>
    <x v="2"/>
    <d v="2024-11-22T00:00:00"/>
    <d v="2024-12-03T00:00:00"/>
    <x v="1"/>
    <x v="0"/>
    <n v="59341.759999999995"/>
    <x v="0"/>
    <x v="1"/>
    <x v="0"/>
  </r>
  <r>
    <n v="18048"/>
    <x v="4"/>
    <x v="0"/>
    <n v="492"/>
    <n v="40"/>
    <n v="85.75"/>
    <x v="0"/>
    <d v="2024-11-04T00:00:00"/>
    <d v="2024-11-22T00:00:00"/>
    <x v="0"/>
    <x v="0"/>
    <n v="42189"/>
    <x v="0"/>
    <x v="0"/>
    <x v="0"/>
  </r>
  <r>
    <n v="24975"/>
    <x v="5"/>
    <x v="2"/>
    <n v="409"/>
    <n v="40"/>
    <n v="486.6"/>
    <x v="1"/>
    <d v="2024-06-18T00:00:00"/>
    <d v="2024-07-20T00:00:00"/>
    <x v="2"/>
    <x v="0"/>
    <n v="199019.40000000002"/>
    <x v="0"/>
    <x v="0"/>
    <x v="0"/>
  </r>
  <r>
    <n v="71264"/>
    <x v="11"/>
    <x v="4"/>
    <n v="243"/>
    <n v="40"/>
    <n v="18.02"/>
    <x v="4"/>
    <d v="2024-10-16T00:00:00"/>
    <d v="2024-10-27T00:00:00"/>
    <x v="2"/>
    <x v="0"/>
    <n v="4378.8599999999997"/>
    <x v="0"/>
    <x v="0"/>
    <x v="0"/>
  </r>
  <r>
    <n v="14424"/>
    <x v="6"/>
    <x v="3"/>
    <n v="328"/>
    <n v="80"/>
    <n v="249.84"/>
    <x v="2"/>
    <d v="2024-07-18T00:00:00"/>
    <d v="2024-07-31T00:00:00"/>
    <x v="2"/>
    <x v="0"/>
    <n v="81947.520000000004"/>
    <x v="0"/>
    <x v="0"/>
    <x v="0"/>
  </r>
  <r>
    <n v="62445"/>
    <x v="9"/>
    <x v="1"/>
    <n v="485"/>
    <n v="80"/>
    <n v="193.06"/>
    <x v="0"/>
    <d v="2024-07-26T00:00:00"/>
    <d v="2024-08-16T00:00:00"/>
    <x v="0"/>
    <x v="0"/>
    <n v="93634.1"/>
    <x v="0"/>
    <x v="0"/>
    <x v="0"/>
  </r>
  <r>
    <n v="62287"/>
    <x v="6"/>
    <x v="3"/>
    <n v="247"/>
    <n v="30"/>
    <n v="269.44"/>
    <x v="4"/>
    <d v="2024-10-09T00:00:00"/>
    <d v="2024-10-15T00:00:00"/>
    <x v="1"/>
    <x v="0"/>
    <n v="66551.679999999993"/>
    <x v="0"/>
    <x v="0"/>
    <x v="0"/>
  </r>
  <r>
    <n v="53953"/>
    <x v="7"/>
    <x v="3"/>
    <n v="238"/>
    <n v="80"/>
    <n v="95.23"/>
    <x v="2"/>
    <d v="2024-10-05T00:00:00"/>
    <d v="2024-11-11T00:00:00"/>
    <x v="1"/>
    <x v="0"/>
    <n v="22664.74"/>
    <x v="0"/>
    <x v="1"/>
    <x v="0"/>
  </r>
  <r>
    <n v="39681"/>
    <x v="8"/>
    <x v="1"/>
    <n v="285"/>
    <n v="80"/>
    <n v="48.64"/>
    <x v="2"/>
    <d v="2024-07-01T00:00:00"/>
    <d v="2024-07-12T00:00:00"/>
    <x v="2"/>
    <x v="0"/>
    <n v="13862.4"/>
    <x v="0"/>
    <x v="0"/>
    <x v="0"/>
  </r>
  <r>
    <n v="80459"/>
    <x v="12"/>
    <x v="0"/>
    <n v="416"/>
    <n v="20"/>
    <n v="395.28"/>
    <x v="0"/>
    <d v="2024-08-25T00:00:00"/>
    <d v="2024-09-25T00:00:00"/>
    <x v="0"/>
    <x v="0"/>
    <n v="164436.47999999998"/>
    <x v="0"/>
    <x v="0"/>
    <x v="0"/>
  </r>
  <r>
    <n v="16221"/>
    <x v="3"/>
    <x v="2"/>
    <n v="7"/>
    <n v="50"/>
    <n v="195.5"/>
    <x v="2"/>
    <d v="2024-02-10T00:00:00"/>
    <d v="2024-03-07T00:00:00"/>
    <x v="2"/>
    <x v="1"/>
    <n v="1368.5"/>
    <x v="94"/>
    <x v="1"/>
    <x v="1"/>
  </r>
  <r>
    <n v="28898"/>
    <x v="2"/>
    <x v="1"/>
    <n v="424"/>
    <n v="30"/>
    <n v="256.29000000000002"/>
    <x v="2"/>
    <d v="2024-11-01T00:00:00"/>
    <d v="2024-11-22T00:00:00"/>
    <x v="1"/>
    <x v="0"/>
    <n v="108666.96"/>
    <x v="0"/>
    <x v="0"/>
    <x v="0"/>
  </r>
  <r>
    <n v="19837"/>
    <x v="8"/>
    <x v="1"/>
    <n v="134"/>
    <n v="30"/>
    <n v="410.42"/>
    <x v="2"/>
    <d v="2024-07-27T00:00:00"/>
    <d v="2024-08-12T00:00:00"/>
    <x v="1"/>
    <x v="0"/>
    <n v="54996.28"/>
    <x v="0"/>
    <x v="0"/>
    <x v="0"/>
  </r>
  <r>
    <n v="15044"/>
    <x v="2"/>
    <x v="1"/>
    <n v="139"/>
    <n v="40"/>
    <n v="285.82"/>
    <x v="2"/>
    <d v="2024-11-12T00:00:00"/>
    <d v="2024-11-29T00:00:00"/>
    <x v="0"/>
    <x v="0"/>
    <n v="39728.979999999996"/>
    <x v="0"/>
    <x v="0"/>
    <x v="0"/>
  </r>
  <r>
    <n v="47589"/>
    <x v="9"/>
    <x v="1"/>
    <n v="93"/>
    <n v="150"/>
    <n v="77.66"/>
    <x v="2"/>
    <d v="2024-01-10T00:00:00"/>
    <d v="2024-02-17T00:00:00"/>
    <x v="0"/>
    <x v="1"/>
    <n v="7222.38"/>
    <x v="110"/>
    <x v="1"/>
    <x v="1"/>
  </r>
  <r>
    <n v="77178"/>
    <x v="13"/>
    <x v="3"/>
    <n v="202"/>
    <n v="100"/>
    <n v="187.15"/>
    <x v="4"/>
    <d v="2024-07-14T00:00:00"/>
    <d v="2024-07-20T00:00:00"/>
    <x v="0"/>
    <x v="0"/>
    <n v="37804.300000000003"/>
    <x v="0"/>
    <x v="1"/>
    <x v="0"/>
  </r>
  <r>
    <n v="30100"/>
    <x v="0"/>
    <x v="0"/>
    <n v="382"/>
    <n v="20"/>
    <n v="462.7"/>
    <x v="2"/>
    <d v="2024-03-22T00:00:00"/>
    <d v="2024-03-29T00:00:00"/>
    <x v="0"/>
    <x v="0"/>
    <n v="176751.4"/>
    <x v="0"/>
    <x v="0"/>
    <x v="0"/>
  </r>
  <r>
    <n v="15922"/>
    <x v="4"/>
    <x v="0"/>
    <n v="431"/>
    <n v="30"/>
    <n v="393.43"/>
    <x v="3"/>
    <d v="2024-02-23T00:00:00"/>
    <d v="2024-03-02T00:00:00"/>
    <x v="0"/>
    <x v="0"/>
    <n v="169568.33000000002"/>
    <x v="0"/>
    <x v="0"/>
    <x v="0"/>
  </r>
  <r>
    <n v="62384"/>
    <x v="9"/>
    <x v="1"/>
    <n v="190"/>
    <n v="150"/>
    <n v="73.3"/>
    <x v="4"/>
    <d v="2024-01-10T00:00:00"/>
    <d v="2024-01-21T00:00:00"/>
    <x v="2"/>
    <x v="0"/>
    <n v="13927"/>
    <x v="0"/>
    <x v="1"/>
    <x v="0"/>
  </r>
  <r>
    <n v="17661"/>
    <x v="16"/>
    <x v="3"/>
    <n v="118"/>
    <n v="50"/>
    <n v="292.64999999999998"/>
    <x v="2"/>
    <d v="2024-06-16T00:00:00"/>
    <d v="2024-07-18T00:00:00"/>
    <x v="1"/>
    <x v="0"/>
    <n v="34532.699999999997"/>
    <x v="0"/>
    <x v="1"/>
    <x v="0"/>
  </r>
  <r>
    <n v="28565"/>
    <x v="1"/>
    <x v="0"/>
    <n v="314"/>
    <n v="40"/>
    <n v="249.07"/>
    <x v="1"/>
    <d v="2024-03-06T00:00:00"/>
    <d v="2024-03-19T00:00:00"/>
    <x v="0"/>
    <x v="0"/>
    <n v="78207.98"/>
    <x v="0"/>
    <x v="0"/>
    <x v="0"/>
  </r>
  <r>
    <n v="50584"/>
    <x v="5"/>
    <x v="2"/>
    <n v="457"/>
    <n v="80"/>
    <n v="342.68"/>
    <x v="4"/>
    <d v="2024-03-27T00:00:00"/>
    <d v="2024-05-03T00:00:00"/>
    <x v="0"/>
    <x v="0"/>
    <n v="156604.76"/>
    <x v="0"/>
    <x v="0"/>
    <x v="0"/>
  </r>
  <r>
    <n v="79810"/>
    <x v="12"/>
    <x v="0"/>
    <n v="326"/>
    <n v="30"/>
    <n v="171.49"/>
    <x v="2"/>
    <d v="2024-09-06T00:00:00"/>
    <d v="2024-10-06T00:00:00"/>
    <x v="2"/>
    <x v="0"/>
    <n v="55905.740000000005"/>
    <x v="0"/>
    <x v="0"/>
    <x v="0"/>
  </r>
  <r>
    <n v="23348"/>
    <x v="8"/>
    <x v="1"/>
    <n v="496"/>
    <n v="80"/>
    <n v="202.62"/>
    <x v="3"/>
    <d v="2024-06-21T00:00:00"/>
    <d v="2024-07-04T00:00:00"/>
    <x v="2"/>
    <x v="0"/>
    <n v="100499.52"/>
    <x v="0"/>
    <x v="0"/>
    <x v="0"/>
  </r>
  <r>
    <n v="18752"/>
    <x v="3"/>
    <x v="2"/>
    <n v="104"/>
    <n v="80"/>
    <n v="41.97"/>
    <x v="1"/>
    <d v="2024-09-20T00:00:00"/>
    <d v="2024-10-28T00:00:00"/>
    <x v="1"/>
    <x v="0"/>
    <n v="4364.88"/>
    <x v="0"/>
    <x v="1"/>
    <x v="0"/>
  </r>
  <r>
    <n v="56431"/>
    <x v="3"/>
    <x v="2"/>
    <n v="24"/>
    <n v="40"/>
    <n v="337.76"/>
    <x v="1"/>
    <d v="2024-08-11T00:00:00"/>
    <d v="2024-09-19T00:00:00"/>
    <x v="0"/>
    <x v="1"/>
    <n v="8106.24"/>
    <x v="91"/>
    <x v="1"/>
    <x v="1"/>
  </r>
  <r>
    <n v="73000"/>
    <x v="0"/>
    <x v="0"/>
    <n v="108"/>
    <n v="50"/>
    <n v="258.05"/>
    <x v="1"/>
    <d v="2024-07-26T00:00:00"/>
    <d v="2024-08-17T00:00:00"/>
    <x v="0"/>
    <x v="0"/>
    <n v="27869.4"/>
    <x v="0"/>
    <x v="1"/>
    <x v="0"/>
  </r>
  <r>
    <n v="44826"/>
    <x v="0"/>
    <x v="0"/>
    <n v="97"/>
    <n v="80"/>
    <n v="445.93"/>
    <x v="0"/>
    <d v="2024-09-15T00:00:00"/>
    <d v="2024-09-26T00:00:00"/>
    <x v="2"/>
    <x v="0"/>
    <n v="43255.21"/>
    <x v="0"/>
    <x v="1"/>
    <x v="0"/>
  </r>
  <r>
    <n v="90873"/>
    <x v="12"/>
    <x v="0"/>
    <n v="37"/>
    <n v="30"/>
    <n v="436.4"/>
    <x v="3"/>
    <d v="2024-05-25T00:00:00"/>
    <d v="2024-06-05T00:00:00"/>
    <x v="2"/>
    <x v="0"/>
    <n v="16146.8"/>
    <x v="0"/>
    <x v="1"/>
    <x v="0"/>
  </r>
  <r>
    <n v="37664"/>
    <x v="2"/>
    <x v="1"/>
    <n v="286"/>
    <n v="30"/>
    <n v="342.17"/>
    <x v="4"/>
    <d v="2024-06-29T00:00:00"/>
    <d v="2024-07-30T00:00:00"/>
    <x v="0"/>
    <x v="0"/>
    <n v="97860.62000000001"/>
    <x v="0"/>
    <x v="0"/>
    <x v="0"/>
  </r>
  <r>
    <n v="20556"/>
    <x v="15"/>
    <x v="4"/>
    <n v="488"/>
    <n v="100"/>
    <n v="113.79"/>
    <x v="2"/>
    <d v="2024-06-20T00:00:00"/>
    <d v="2024-07-09T00:00:00"/>
    <x v="0"/>
    <x v="0"/>
    <n v="55529.520000000004"/>
    <x v="0"/>
    <x v="0"/>
    <x v="0"/>
  </r>
  <r>
    <n v="55995"/>
    <x v="6"/>
    <x v="3"/>
    <n v="330"/>
    <n v="20"/>
    <n v="387.45"/>
    <x v="2"/>
    <d v="2024-10-09T00:00:00"/>
    <d v="2024-11-13T00:00:00"/>
    <x v="2"/>
    <x v="0"/>
    <n v="127858.5"/>
    <x v="0"/>
    <x v="0"/>
    <x v="0"/>
  </r>
  <r>
    <n v="78275"/>
    <x v="14"/>
    <x v="4"/>
    <n v="62"/>
    <n v="40"/>
    <n v="52.76"/>
    <x v="2"/>
    <d v="2024-05-16T00:00:00"/>
    <d v="2024-05-30T00:00:00"/>
    <x v="2"/>
    <x v="0"/>
    <n v="3271.12"/>
    <x v="0"/>
    <x v="1"/>
    <x v="0"/>
  </r>
  <r>
    <n v="72582"/>
    <x v="3"/>
    <x v="2"/>
    <n v="378"/>
    <n v="40"/>
    <n v="499.42"/>
    <x v="1"/>
    <d v="2024-04-18T00:00:00"/>
    <d v="2024-05-15T00:00:00"/>
    <x v="2"/>
    <x v="0"/>
    <n v="188780.76"/>
    <x v="0"/>
    <x v="0"/>
    <x v="0"/>
  </r>
  <r>
    <n v="26956"/>
    <x v="12"/>
    <x v="0"/>
    <n v="153"/>
    <n v="40"/>
    <n v="300.49"/>
    <x v="2"/>
    <d v="2024-03-02T00:00:00"/>
    <d v="2024-03-13T00:00:00"/>
    <x v="0"/>
    <x v="0"/>
    <n v="45974.97"/>
    <x v="0"/>
    <x v="0"/>
    <x v="0"/>
  </r>
  <r>
    <n v="53534"/>
    <x v="7"/>
    <x v="3"/>
    <n v="34"/>
    <n v="100"/>
    <n v="39.299999999999997"/>
    <x v="3"/>
    <d v="2024-02-12T00:00:00"/>
    <d v="2024-02-18T00:00:00"/>
    <x v="2"/>
    <x v="1"/>
    <n v="1336.1999999999998"/>
    <x v="2"/>
    <x v="1"/>
    <x v="1"/>
  </r>
  <r>
    <n v="38022"/>
    <x v="14"/>
    <x v="4"/>
    <n v="431"/>
    <n v="20"/>
    <n v="134.31"/>
    <x v="1"/>
    <d v="2024-04-07T00:00:00"/>
    <d v="2024-05-08T00:00:00"/>
    <x v="2"/>
    <x v="0"/>
    <n v="57887.61"/>
    <x v="0"/>
    <x v="0"/>
    <x v="0"/>
  </r>
  <r>
    <n v="13909"/>
    <x v="16"/>
    <x v="3"/>
    <n v="145"/>
    <n v="80"/>
    <n v="361.29"/>
    <x v="2"/>
    <d v="2024-02-19T00:00:00"/>
    <d v="2024-03-14T00:00:00"/>
    <x v="2"/>
    <x v="0"/>
    <n v="52387.05"/>
    <x v="0"/>
    <x v="1"/>
    <x v="0"/>
  </r>
  <r>
    <n v="41063"/>
    <x v="5"/>
    <x v="2"/>
    <n v="159"/>
    <n v="30"/>
    <n v="56.45"/>
    <x v="4"/>
    <d v="2024-04-14T00:00:00"/>
    <d v="2024-04-30T00:00:00"/>
    <x v="1"/>
    <x v="0"/>
    <n v="8975.5500000000011"/>
    <x v="0"/>
    <x v="0"/>
    <x v="0"/>
  </r>
  <r>
    <n v="46389"/>
    <x v="9"/>
    <x v="1"/>
    <n v="77"/>
    <n v="40"/>
    <n v="99.94"/>
    <x v="4"/>
    <d v="2024-09-28T00:00:00"/>
    <d v="2024-10-22T00:00:00"/>
    <x v="2"/>
    <x v="0"/>
    <n v="7695.38"/>
    <x v="0"/>
    <x v="1"/>
    <x v="0"/>
  </r>
  <r>
    <n v="77777"/>
    <x v="5"/>
    <x v="2"/>
    <n v="196"/>
    <n v="40"/>
    <n v="163.36000000000001"/>
    <x v="0"/>
    <d v="2024-02-01T00:00:00"/>
    <d v="2024-03-07T00:00:00"/>
    <x v="1"/>
    <x v="0"/>
    <n v="32018.560000000001"/>
    <x v="0"/>
    <x v="0"/>
    <x v="0"/>
  </r>
  <r>
    <n v="94259"/>
    <x v="0"/>
    <x v="0"/>
    <n v="455"/>
    <n v="80"/>
    <n v="182.51"/>
    <x v="0"/>
    <d v="2024-05-18T00:00:00"/>
    <d v="2024-06-20T00:00:00"/>
    <x v="1"/>
    <x v="0"/>
    <n v="83042.05"/>
    <x v="0"/>
    <x v="0"/>
    <x v="0"/>
  </r>
  <r>
    <n v="17591"/>
    <x v="10"/>
    <x v="2"/>
    <n v="468"/>
    <n v="30"/>
    <n v="473.67"/>
    <x v="3"/>
    <d v="2024-11-05T00:00:00"/>
    <d v="2024-12-03T00:00:00"/>
    <x v="0"/>
    <x v="0"/>
    <n v="221677.56"/>
    <x v="0"/>
    <x v="0"/>
    <x v="0"/>
  </r>
  <r>
    <n v="72848"/>
    <x v="11"/>
    <x v="4"/>
    <n v="11"/>
    <n v="80"/>
    <n v="399.51"/>
    <x v="0"/>
    <d v="2024-06-17T00:00:00"/>
    <d v="2024-07-11T00:00:00"/>
    <x v="1"/>
    <x v="1"/>
    <n v="4394.6099999999997"/>
    <x v="29"/>
    <x v="1"/>
    <x v="1"/>
  </r>
  <r>
    <n v="46123"/>
    <x v="12"/>
    <x v="0"/>
    <n v="362"/>
    <n v="80"/>
    <n v="338.73"/>
    <x v="3"/>
    <d v="2024-01-16T00:00:00"/>
    <d v="2024-02-20T00:00:00"/>
    <x v="1"/>
    <x v="0"/>
    <n v="122620.26000000001"/>
    <x v="0"/>
    <x v="0"/>
    <x v="0"/>
  </r>
  <r>
    <n v="56814"/>
    <x v="3"/>
    <x v="2"/>
    <n v="26"/>
    <n v="50"/>
    <n v="206.45"/>
    <x v="1"/>
    <d v="2024-04-16T00:00:00"/>
    <d v="2024-05-19T00:00:00"/>
    <x v="2"/>
    <x v="1"/>
    <n v="5367.7"/>
    <x v="69"/>
    <x v="1"/>
    <x v="1"/>
  </r>
  <r>
    <n v="81713"/>
    <x v="14"/>
    <x v="4"/>
    <n v="90"/>
    <n v="30"/>
    <n v="156.09"/>
    <x v="0"/>
    <d v="2024-01-24T00:00:00"/>
    <d v="2024-02-02T00:00:00"/>
    <x v="2"/>
    <x v="0"/>
    <n v="14048.1"/>
    <x v="0"/>
    <x v="1"/>
    <x v="0"/>
  </r>
  <r>
    <n v="16639"/>
    <x v="9"/>
    <x v="1"/>
    <n v="399"/>
    <n v="50"/>
    <n v="417.6"/>
    <x v="0"/>
    <d v="2024-08-13T00:00:00"/>
    <d v="2024-08-28T00:00:00"/>
    <x v="2"/>
    <x v="0"/>
    <n v="166622.40000000002"/>
    <x v="0"/>
    <x v="0"/>
    <x v="0"/>
  </r>
  <r>
    <n v="67148"/>
    <x v="7"/>
    <x v="3"/>
    <n v="309"/>
    <n v="100"/>
    <n v="132.62"/>
    <x v="2"/>
    <d v="2024-08-14T00:00:00"/>
    <d v="2024-08-28T00:00:00"/>
    <x v="0"/>
    <x v="0"/>
    <n v="40979.58"/>
    <x v="0"/>
    <x v="0"/>
    <x v="0"/>
  </r>
  <r>
    <n v="32791"/>
    <x v="6"/>
    <x v="3"/>
    <n v="25"/>
    <n v="80"/>
    <n v="247.29"/>
    <x v="3"/>
    <d v="2024-06-14T00:00:00"/>
    <d v="2024-06-24T00:00:00"/>
    <x v="2"/>
    <x v="1"/>
    <n v="6182.25"/>
    <x v="5"/>
    <x v="1"/>
    <x v="1"/>
  </r>
  <r>
    <n v="72309"/>
    <x v="15"/>
    <x v="4"/>
    <n v="325"/>
    <n v="30"/>
    <n v="328.82"/>
    <x v="3"/>
    <d v="2024-06-13T00:00:00"/>
    <d v="2024-07-02T00:00:00"/>
    <x v="0"/>
    <x v="0"/>
    <n v="106866.5"/>
    <x v="0"/>
    <x v="0"/>
    <x v="0"/>
  </r>
  <r>
    <n v="83839"/>
    <x v="14"/>
    <x v="4"/>
    <n v="413"/>
    <n v="50"/>
    <n v="81.31"/>
    <x v="1"/>
    <d v="2024-01-01T00:00:00"/>
    <d v="2024-01-21T00:00:00"/>
    <x v="2"/>
    <x v="0"/>
    <n v="33581.03"/>
    <x v="0"/>
    <x v="0"/>
    <x v="0"/>
  </r>
  <r>
    <n v="98560"/>
    <x v="12"/>
    <x v="0"/>
    <n v="98"/>
    <n v="150"/>
    <n v="316"/>
    <x v="4"/>
    <d v="2024-02-05T00:00:00"/>
    <d v="2024-02-13T00:00:00"/>
    <x v="0"/>
    <x v="1"/>
    <n v="30968"/>
    <x v="30"/>
    <x v="1"/>
    <x v="1"/>
  </r>
  <r>
    <n v="97095"/>
    <x v="9"/>
    <x v="1"/>
    <n v="428"/>
    <n v="150"/>
    <n v="136.74"/>
    <x v="0"/>
    <d v="2024-03-22T00:00:00"/>
    <d v="2024-04-09T00:00:00"/>
    <x v="2"/>
    <x v="0"/>
    <n v="58524.72"/>
    <x v="0"/>
    <x v="1"/>
    <x v="0"/>
  </r>
  <r>
    <n v="22822"/>
    <x v="15"/>
    <x v="4"/>
    <n v="347"/>
    <n v="100"/>
    <n v="489.03"/>
    <x v="2"/>
    <d v="2024-05-25T00:00:00"/>
    <d v="2024-06-12T00:00:00"/>
    <x v="2"/>
    <x v="0"/>
    <n v="169693.41"/>
    <x v="0"/>
    <x v="0"/>
    <x v="0"/>
  </r>
  <r>
    <n v="49884"/>
    <x v="13"/>
    <x v="3"/>
    <n v="27"/>
    <n v="40"/>
    <n v="197.18"/>
    <x v="2"/>
    <d v="2024-04-09T00:00:00"/>
    <d v="2024-05-14T00:00:00"/>
    <x v="0"/>
    <x v="1"/>
    <n v="5323.8600000000006"/>
    <x v="37"/>
    <x v="1"/>
    <x v="1"/>
  </r>
  <r>
    <n v="27428"/>
    <x v="12"/>
    <x v="0"/>
    <n v="124"/>
    <n v="150"/>
    <n v="252.32"/>
    <x v="2"/>
    <d v="2024-06-10T00:00:00"/>
    <d v="2024-07-16T00:00:00"/>
    <x v="2"/>
    <x v="1"/>
    <n v="31287.68"/>
    <x v="61"/>
    <x v="1"/>
    <x v="1"/>
  </r>
  <r>
    <n v="21679"/>
    <x v="5"/>
    <x v="2"/>
    <n v="430"/>
    <n v="80"/>
    <n v="351.69"/>
    <x v="2"/>
    <d v="2024-02-10T00:00:00"/>
    <d v="2024-02-25T00:00:00"/>
    <x v="1"/>
    <x v="0"/>
    <n v="151226.70000000001"/>
    <x v="0"/>
    <x v="0"/>
    <x v="0"/>
  </r>
  <r>
    <n v="60486"/>
    <x v="3"/>
    <x v="2"/>
    <n v="16"/>
    <n v="20"/>
    <n v="251.22"/>
    <x v="3"/>
    <d v="2024-12-07T00:00:00"/>
    <d v="2025-01-15T00:00:00"/>
    <x v="0"/>
    <x v="1"/>
    <n v="4019.52"/>
    <x v="64"/>
    <x v="1"/>
    <x v="1"/>
  </r>
  <r>
    <n v="15403"/>
    <x v="16"/>
    <x v="3"/>
    <n v="182"/>
    <n v="20"/>
    <n v="209.7"/>
    <x v="4"/>
    <d v="2024-02-16T00:00:00"/>
    <d v="2024-03-23T00:00:00"/>
    <x v="1"/>
    <x v="0"/>
    <n v="38165.4"/>
    <x v="0"/>
    <x v="0"/>
    <x v="0"/>
  </r>
  <r>
    <n v="20988"/>
    <x v="4"/>
    <x v="0"/>
    <n v="86"/>
    <n v="30"/>
    <n v="356.02"/>
    <x v="2"/>
    <d v="2024-10-07T00:00:00"/>
    <d v="2024-11-13T00:00:00"/>
    <x v="1"/>
    <x v="0"/>
    <n v="30617.719999999998"/>
    <x v="0"/>
    <x v="1"/>
    <x v="0"/>
  </r>
  <r>
    <n v="41051"/>
    <x v="2"/>
    <x v="1"/>
    <n v="367"/>
    <n v="100"/>
    <n v="291.67"/>
    <x v="2"/>
    <d v="2024-04-30T00:00:00"/>
    <d v="2024-05-21T00:00:00"/>
    <x v="2"/>
    <x v="0"/>
    <n v="107042.89"/>
    <x v="0"/>
    <x v="0"/>
    <x v="0"/>
  </r>
  <r>
    <n v="53406"/>
    <x v="5"/>
    <x v="2"/>
    <n v="276"/>
    <n v="80"/>
    <n v="358.81"/>
    <x v="0"/>
    <d v="2024-06-29T00:00:00"/>
    <d v="2024-07-24T00:00:00"/>
    <x v="2"/>
    <x v="0"/>
    <n v="99031.56"/>
    <x v="0"/>
    <x v="0"/>
    <x v="0"/>
  </r>
  <r>
    <n v="67254"/>
    <x v="15"/>
    <x v="4"/>
    <n v="383"/>
    <n v="150"/>
    <n v="200.3"/>
    <x v="1"/>
    <d v="2024-01-26T00:00:00"/>
    <d v="2024-02-01T00:00:00"/>
    <x v="1"/>
    <x v="0"/>
    <n v="76714.900000000009"/>
    <x v="0"/>
    <x v="1"/>
    <x v="0"/>
  </r>
  <r>
    <n v="49708"/>
    <x v="16"/>
    <x v="3"/>
    <n v="183"/>
    <n v="150"/>
    <n v="262.58999999999997"/>
    <x v="1"/>
    <d v="2024-08-02T00:00:00"/>
    <d v="2024-08-17T00:00:00"/>
    <x v="1"/>
    <x v="0"/>
    <n v="48053.969999999994"/>
    <x v="0"/>
    <x v="1"/>
    <x v="0"/>
  </r>
  <r>
    <n v="85507"/>
    <x v="8"/>
    <x v="1"/>
    <n v="31"/>
    <n v="100"/>
    <n v="141.30000000000001"/>
    <x v="3"/>
    <d v="2024-11-29T00:00:00"/>
    <d v="2024-12-20T00:00:00"/>
    <x v="1"/>
    <x v="1"/>
    <n v="4380.3"/>
    <x v="29"/>
    <x v="1"/>
    <x v="1"/>
  </r>
  <r>
    <n v="85858"/>
    <x v="0"/>
    <x v="0"/>
    <n v="185"/>
    <n v="50"/>
    <n v="251.14"/>
    <x v="0"/>
    <d v="2024-10-30T00:00:00"/>
    <d v="2024-11-21T00:00:00"/>
    <x v="0"/>
    <x v="0"/>
    <n v="46460.899999999994"/>
    <x v="0"/>
    <x v="0"/>
    <x v="0"/>
  </r>
  <r>
    <n v="21325"/>
    <x v="10"/>
    <x v="2"/>
    <n v="418"/>
    <n v="40"/>
    <n v="431.83"/>
    <x v="3"/>
    <d v="2024-10-07T00:00:00"/>
    <d v="2024-11-13T00:00:00"/>
    <x v="1"/>
    <x v="0"/>
    <n v="180504.94"/>
    <x v="0"/>
    <x v="0"/>
    <x v="0"/>
  </r>
  <r>
    <n v="88966"/>
    <x v="8"/>
    <x v="1"/>
    <n v="3"/>
    <n v="30"/>
    <n v="315.31"/>
    <x v="4"/>
    <d v="2024-10-13T00:00:00"/>
    <d v="2024-11-11T00:00:00"/>
    <x v="0"/>
    <x v="1"/>
    <n v="945.93000000000006"/>
    <x v="36"/>
    <x v="1"/>
    <x v="1"/>
  </r>
  <r>
    <n v="68274"/>
    <x v="14"/>
    <x v="4"/>
    <n v="222"/>
    <n v="80"/>
    <n v="272.83"/>
    <x v="1"/>
    <d v="2024-07-29T00:00:00"/>
    <d v="2024-08-25T00:00:00"/>
    <x v="2"/>
    <x v="0"/>
    <n v="60568.259999999995"/>
    <x v="0"/>
    <x v="1"/>
    <x v="0"/>
  </r>
  <r>
    <n v="24075"/>
    <x v="13"/>
    <x v="3"/>
    <n v="256"/>
    <n v="150"/>
    <n v="239.01"/>
    <x v="2"/>
    <d v="2024-12-10T00:00:00"/>
    <d v="2025-01-16T00:00:00"/>
    <x v="2"/>
    <x v="0"/>
    <n v="61186.559999999998"/>
    <x v="0"/>
    <x v="1"/>
    <x v="0"/>
  </r>
  <r>
    <n v="59101"/>
    <x v="5"/>
    <x v="2"/>
    <n v="52"/>
    <n v="100"/>
    <n v="466.36"/>
    <x v="2"/>
    <d v="2024-09-19T00:00:00"/>
    <d v="2024-09-26T00:00:00"/>
    <x v="1"/>
    <x v="1"/>
    <n v="24250.720000000001"/>
    <x v="39"/>
    <x v="1"/>
    <x v="1"/>
  </r>
  <r>
    <n v="16775"/>
    <x v="10"/>
    <x v="2"/>
    <n v="141"/>
    <n v="40"/>
    <n v="29.12"/>
    <x v="0"/>
    <d v="2024-05-14T00:00:00"/>
    <d v="2024-05-25T00:00:00"/>
    <x v="1"/>
    <x v="0"/>
    <n v="4105.92"/>
    <x v="0"/>
    <x v="0"/>
    <x v="0"/>
  </r>
  <r>
    <n v="56993"/>
    <x v="14"/>
    <x v="4"/>
    <n v="352"/>
    <n v="80"/>
    <n v="430.22"/>
    <x v="3"/>
    <d v="2024-05-23T00:00:00"/>
    <d v="2024-06-11T00:00:00"/>
    <x v="2"/>
    <x v="0"/>
    <n v="151437.44"/>
    <x v="0"/>
    <x v="0"/>
    <x v="0"/>
  </r>
  <r>
    <n v="82582"/>
    <x v="10"/>
    <x v="2"/>
    <n v="453"/>
    <n v="80"/>
    <n v="199.22"/>
    <x v="0"/>
    <d v="2024-09-09T00:00:00"/>
    <d v="2024-10-10T00:00:00"/>
    <x v="1"/>
    <x v="0"/>
    <n v="90246.66"/>
    <x v="0"/>
    <x v="0"/>
    <x v="0"/>
  </r>
  <r>
    <n v="51129"/>
    <x v="8"/>
    <x v="1"/>
    <n v="138"/>
    <n v="80"/>
    <n v="422.05"/>
    <x v="1"/>
    <d v="2024-07-02T00:00:00"/>
    <d v="2024-07-18T00:00:00"/>
    <x v="1"/>
    <x v="0"/>
    <n v="58242.9"/>
    <x v="0"/>
    <x v="1"/>
    <x v="0"/>
  </r>
  <r>
    <n v="38337"/>
    <x v="15"/>
    <x v="4"/>
    <n v="397"/>
    <n v="80"/>
    <n v="456.43"/>
    <x v="3"/>
    <d v="2024-02-20T00:00:00"/>
    <d v="2024-03-03T00:00:00"/>
    <x v="0"/>
    <x v="0"/>
    <n v="181202.71"/>
    <x v="0"/>
    <x v="0"/>
    <x v="0"/>
  </r>
  <r>
    <n v="16511"/>
    <x v="3"/>
    <x v="2"/>
    <n v="47"/>
    <n v="30"/>
    <n v="353.97"/>
    <x v="0"/>
    <d v="2024-02-16T00:00:00"/>
    <d v="2024-03-20T00:00:00"/>
    <x v="0"/>
    <x v="0"/>
    <n v="16636.59"/>
    <x v="0"/>
    <x v="1"/>
    <x v="0"/>
  </r>
  <r>
    <n v="61169"/>
    <x v="15"/>
    <x v="4"/>
    <n v="421"/>
    <n v="30"/>
    <n v="475.23"/>
    <x v="1"/>
    <d v="2024-09-12T00:00:00"/>
    <d v="2024-09-19T00:00:00"/>
    <x v="1"/>
    <x v="0"/>
    <n v="200071.83000000002"/>
    <x v="0"/>
    <x v="0"/>
    <x v="0"/>
  </r>
  <r>
    <n v="84090"/>
    <x v="2"/>
    <x v="1"/>
    <n v="497"/>
    <n v="40"/>
    <n v="267.20999999999998"/>
    <x v="1"/>
    <d v="2024-01-17T00:00:00"/>
    <d v="2024-02-08T00:00:00"/>
    <x v="1"/>
    <x v="0"/>
    <n v="132803.37"/>
    <x v="0"/>
    <x v="0"/>
    <x v="0"/>
  </r>
  <r>
    <n v="79400"/>
    <x v="10"/>
    <x v="2"/>
    <n v="318"/>
    <n v="100"/>
    <n v="26.37"/>
    <x v="2"/>
    <d v="2024-09-30T00:00:00"/>
    <d v="2024-10-09T00:00:00"/>
    <x v="0"/>
    <x v="0"/>
    <n v="8385.66"/>
    <x v="0"/>
    <x v="0"/>
    <x v="0"/>
  </r>
  <r>
    <n v="77370"/>
    <x v="1"/>
    <x v="0"/>
    <n v="444"/>
    <n v="100"/>
    <n v="459.12"/>
    <x v="1"/>
    <d v="2024-04-27T00:00:00"/>
    <d v="2024-05-02T00:00:00"/>
    <x v="1"/>
    <x v="0"/>
    <n v="203849.28"/>
    <x v="0"/>
    <x v="0"/>
    <x v="0"/>
  </r>
  <r>
    <n v="86831"/>
    <x v="9"/>
    <x v="1"/>
    <n v="215"/>
    <n v="30"/>
    <n v="200.79"/>
    <x v="0"/>
    <d v="2024-01-12T00:00:00"/>
    <d v="2024-02-04T00:00:00"/>
    <x v="1"/>
    <x v="0"/>
    <n v="43169.85"/>
    <x v="0"/>
    <x v="0"/>
    <x v="0"/>
  </r>
  <r>
    <n v="98961"/>
    <x v="6"/>
    <x v="3"/>
    <n v="200"/>
    <n v="40"/>
    <n v="47.56"/>
    <x v="2"/>
    <d v="2024-09-12T00:00:00"/>
    <d v="2024-09-29T00:00:00"/>
    <x v="0"/>
    <x v="0"/>
    <n v="9512"/>
    <x v="0"/>
    <x v="0"/>
    <x v="0"/>
  </r>
  <r>
    <n v="45097"/>
    <x v="5"/>
    <x v="2"/>
    <n v="195"/>
    <n v="50"/>
    <n v="172.79"/>
    <x v="0"/>
    <d v="2024-01-01T00:00:00"/>
    <d v="2024-01-30T00:00:00"/>
    <x v="1"/>
    <x v="0"/>
    <n v="33694.049999999996"/>
    <x v="0"/>
    <x v="0"/>
    <x v="0"/>
  </r>
  <r>
    <n v="99998"/>
    <x v="15"/>
    <x v="4"/>
    <n v="348"/>
    <n v="150"/>
    <n v="476.65"/>
    <x v="3"/>
    <d v="2024-03-20T00:00:00"/>
    <d v="2024-04-20T00:00:00"/>
    <x v="1"/>
    <x v="0"/>
    <n v="165874.19999999998"/>
    <x v="0"/>
    <x v="1"/>
    <x v="0"/>
  </r>
  <r>
    <n v="63861"/>
    <x v="15"/>
    <x v="4"/>
    <n v="281"/>
    <n v="100"/>
    <n v="127.37"/>
    <x v="1"/>
    <d v="2024-02-27T00:00:00"/>
    <d v="2024-03-19T00:00:00"/>
    <x v="2"/>
    <x v="0"/>
    <n v="35790.97"/>
    <x v="0"/>
    <x v="1"/>
    <x v="0"/>
  </r>
  <r>
    <n v="19859"/>
    <x v="5"/>
    <x v="2"/>
    <n v="370"/>
    <n v="40"/>
    <n v="412.36"/>
    <x v="4"/>
    <d v="2024-07-14T00:00:00"/>
    <d v="2024-07-22T00:00:00"/>
    <x v="2"/>
    <x v="0"/>
    <n v="152573.20000000001"/>
    <x v="0"/>
    <x v="0"/>
    <x v="0"/>
  </r>
  <r>
    <n v="86427"/>
    <x v="3"/>
    <x v="2"/>
    <n v="480"/>
    <n v="20"/>
    <n v="304.86"/>
    <x v="3"/>
    <d v="2024-09-29T00:00:00"/>
    <d v="2024-10-30T00:00:00"/>
    <x v="0"/>
    <x v="0"/>
    <n v="146332.80000000002"/>
    <x v="0"/>
    <x v="0"/>
    <x v="0"/>
  </r>
  <r>
    <n v="50916"/>
    <x v="10"/>
    <x v="2"/>
    <n v="158"/>
    <n v="80"/>
    <n v="347.22"/>
    <x v="1"/>
    <d v="2024-11-14T00:00:00"/>
    <d v="2024-12-19T00:00:00"/>
    <x v="1"/>
    <x v="0"/>
    <n v="54860.76"/>
    <x v="0"/>
    <x v="1"/>
    <x v="0"/>
  </r>
  <r>
    <n v="96257"/>
    <x v="5"/>
    <x v="2"/>
    <n v="70"/>
    <n v="80"/>
    <n v="70.63"/>
    <x v="0"/>
    <d v="2024-05-05T00:00:00"/>
    <d v="2024-06-06T00:00:00"/>
    <x v="1"/>
    <x v="1"/>
    <n v="4944.0999999999995"/>
    <x v="60"/>
    <x v="1"/>
    <x v="1"/>
  </r>
  <r>
    <n v="33115"/>
    <x v="6"/>
    <x v="3"/>
    <n v="304"/>
    <n v="40"/>
    <n v="464.47"/>
    <x v="3"/>
    <d v="2024-10-08T00:00:00"/>
    <d v="2024-10-16T00:00:00"/>
    <x v="2"/>
    <x v="0"/>
    <n v="141198.88"/>
    <x v="0"/>
    <x v="0"/>
    <x v="0"/>
  </r>
  <r>
    <n v="60509"/>
    <x v="2"/>
    <x v="1"/>
    <n v="350"/>
    <n v="150"/>
    <n v="166.95"/>
    <x v="2"/>
    <d v="2024-05-07T00:00:00"/>
    <d v="2024-06-09T00:00:00"/>
    <x v="1"/>
    <x v="0"/>
    <n v="58432.499999999993"/>
    <x v="0"/>
    <x v="1"/>
    <x v="0"/>
  </r>
  <r>
    <n v="91462"/>
    <x v="7"/>
    <x v="3"/>
    <n v="87"/>
    <n v="20"/>
    <n v="404.74"/>
    <x v="3"/>
    <d v="2024-09-29T00:00:00"/>
    <d v="2024-10-30T00:00:00"/>
    <x v="0"/>
    <x v="0"/>
    <n v="35212.379999999997"/>
    <x v="0"/>
    <x v="0"/>
    <x v="0"/>
  </r>
  <r>
    <n v="21651"/>
    <x v="2"/>
    <x v="1"/>
    <n v="152"/>
    <n v="40"/>
    <n v="489.44"/>
    <x v="4"/>
    <d v="2024-12-07T00:00:00"/>
    <d v="2024-12-13T00:00:00"/>
    <x v="0"/>
    <x v="0"/>
    <n v="74394.880000000005"/>
    <x v="0"/>
    <x v="0"/>
    <x v="0"/>
  </r>
  <r>
    <n v="78743"/>
    <x v="5"/>
    <x v="2"/>
    <n v="344"/>
    <n v="40"/>
    <n v="387.23"/>
    <x v="4"/>
    <d v="2024-08-22T00:00:00"/>
    <d v="2024-09-11T00:00:00"/>
    <x v="0"/>
    <x v="0"/>
    <n v="133207.12"/>
    <x v="0"/>
    <x v="0"/>
    <x v="0"/>
  </r>
  <r>
    <n v="76186"/>
    <x v="11"/>
    <x v="4"/>
    <n v="274"/>
    <n v="100"/>
    <n v="39.53"/>
    <x v="1"/>
    <d v="2024-03-01T00:00:00"/>
    <d v="2024-03-28T00:00:00"/>
    <x v="0"/>
    <x v="0"/>
    <n v="10831.220000000001"/>
    <x v="0"/>
    <x v="1"/>
    <x v="0"/>
  </r>
  <r>
    <n v="63662"/>
    <x v="10"/>
    <x v="2"/>
    <n v="319"/>
    <n v="80"/>
    <n v="163.32"/>
    <x v="0"/>
    <d v="2024-03-21T00:00:00"/>
    <d v="2024-03-27T00:00:00"/>
    <x v="2"/>
    <x v="0"/>
    <n v="52099.079999999994"/>
    <x v="0"/>
    <x v="0"/>
    <x v="0"/>
  </r>
  <r>
    <n v="53671"/>
    <x v="0"/>
    <x v="0"/>
    <n v="391"/>
    <n v="30"/>
    <n v="113.32"/>
    <x v="1"/>
    <d v="2024-09-07T00:00:00"/>
    <d v="2024-10-03T00:00:00"/>
    <x v="0"/>
    <x v="0"/>
    <n v="44308.119999999995"/>
    <x v="0"/>
    <x v="0"/>
    <x v="0"/>
  </r>
  <r>
    <n v="41247"/>
    <x v="8"/>
    <x v="1"/>
    <n v="274"/>
    <n v="20"/>
    <n v="407.3"/>
    <x v="2"/>
    <d v="2024-12-17T00:00:00"/>
    <d v="2025-01-09T00:00:00"/>
    <x v="0"/>
    <x v="0"/>
    <n v="111600.2"/>
    <x v="0"/>
    <x v="0"/>
    <x v="0"/>
  </r>
  <r>
    <n v="75841"/>
    <x v="13"/>
    <x v="3"/>
    <n v="193"/>
    <n v="100"/>
    <n v="148.19"/>
    <x v="3"/>
    <d v="2024-06-09T00:00:00"/>
    <d v="2024-06-28T00:00:00"/>
    <x v="2"/>
    <x v="0"/>
    <n v="28600.67"/>
    <x v="0"/>
    <x v="1"/>
    <x v="0"/>
  </r>
  <r>
    <n v="65883"/>
    <x v="8"/>
    <x v="1"/>
    <n v="458"/>
    <n v="50"/>
    <n v="327.49"/>
    <x v="1"/>
    <d v="2024-07-17T00:00:00"/>
    <d v="2024-07-25T00:00:00"/>
    <x v="1"/>
    <x v="0"/>
    <n v="149990.42000000001"/>
    <x v="0"/>
    <x v="0"/>
    <x v="0"/>
  </r>
  <r>
    <n v="14808"/>
    <x v="10"/>
    <x v="2"/>
    <n v="83"/>
    <n v="150"/>
    <n v="483.08"/>
    <x v="4"/>
    <d v="2024-01-31T00:00:00"/>
    <d v="2024-03-10T00:00:00"/>
    <x v="1"/>
    <x v="1"/>
    <n v="40095.64"/>
    <x v="62"/>
    <x v="1"/>
    <x v="1"/>
  </r>
  <r>
    <n v="48639"/>
    <x v="7"/>
    <x v="3"/>
    <n v="434"/>
    <n v="30"/>
    <n v="162.38999999999999"/>
    <x v="4"/>
    <d v="2024-12-03T00:00:00"/>
    <d v="2024-12-21T00:00:00"/>
    <x v="0"/>
    <x v="0"/>
    <n v="70477.259999999995"/>
    <x v="0"/>
    <x v="0"/>
    <x v="0"/>
  </r>
  <r>
    <n v="53831"/>
    <x v="8"/>
    <x v="1"/>
    <n v="266"/>
    <n v="100"/>
    <n v="332.21"/>
    <x v="4"/>
    <d v="2024-02-01T00:00:00"/>
    <d v="2024-02-24T00:00:00"/>
    <x v="1"/>
    <x v="0"/>
    <n v="88367.86"/>
    <x v="0"/>
    <x v="1"/>
    <x v="0"/>
  </r>
  <r>
    <n v="85066"/>
    <x v="4"/>
    <x v="0"/>
    <n v="470"/>
    <n v="100"/>
    <n v="210.27"/>
    <x v="3"/>
    <d v="2024-10-11T00:00:00"/>
    <d v="2024-10-28T00:00:00"/>
    <x v="2"/>
    <x v="0"/>
    <n v="98826.900000000009"/>
    <x v="0"/>
    <x v="0"/>
    <x v="0"/>
  </r>
  <r>
    <n v="89271"/>
    <x v="8"/>
    <x v="1"/>
    <n v="116"/>
    <n v="150"/>
    <n v="399.09"/>
    <x v="1"/>
    <d v="2024-11-30T00:00:00"/>
    <d v="2024-12-19T00:00:00"/>
    <x v="2"/>
    <x v="1"/>
    <n v="46294.439999999995"/>
    <x v="38"/>
    <x v="1"/>
    <x v="1"/>
  </r>
  <r>
    <n v="38385"/>
    <x v="7"/>
    <x v="3"/>
    <n v="476"/>
    <n v="150"/>
    <n v="187.86"/>
    <x v="2"/>
    <d v="2024-09-16T00:00:00"/>
    <d v="2024-10-02T00:00:00"/>
    <x v="2"/>
    <x v="0"/>
    <n v="89421.36"/>
    <x v="0"/>
    <x v="0"/>
    <x v="0"/>
  </r>
  <r>
    <n v="97943"/>
    <x v="3"/>
    <x v="2"/>
    <n v="441"/>
    <n v="20"/>
    <n v="473.47"/>
    <x v="1"/>
    <d v="2024-07-11T00:00:00"/>
    <d v="2024-07-28T00:00:00"/>
    <x v="2"/>
    <x v="0"/>
    <n v="208800.27000000002"/>
    <x v="0"/>
    <x v="0"/>
    <x v="0"/>
  </r>
  <r>
    <n v="10797"/>
    <x v="3"/>
    <x v="2"/>
    <n v="113"/>
    <n v="50"/>
    <n v="147.63"/>
    <x v="1"/>
    <d v="2024-06-14T00:00:00"/>
    <d v="2024-07-08T00:00:00"/>
    <x v="1"/>
    <x v="0"/>
    <n v="16682.189999999999"/>
    <x v="0"/>
    <x v="1"/>
    <x v="0"/>
  </r>
  <r>
    <n v="38787"/>
    <x v="3"/>
    <x v="2"/>
    <n v="100"/>
    <n v="40"/>
    <n v="367.07"/>
    <x v="4"/>
    <d v="2024-01-30T00:00:00"/>
    <d v="2024-03-04T00:00:00"/>
    <x v="1"/>
    <x v="0"/>
    <n v="36707"/>
    <x v="0"/>
    <x v="1"/>
    <x v="0"/>
  </r>
  <r>
    <n v="99779"/>
    <x v="3"/>
    <x v="2"/>
    <n v="23"/>
    <n v="40"/>
    <n v="252"/>
    <x v="4"/>
    <d v="2024-06-17T00:00:00"/>
    <d v="2024-07-17T00:00:00"/>
    <x v="1"/>
    <x v="1"/>
    <n v="5796"/>
    <x v="14"/>
    <x v="1"/>
    <x v="1"/>
  </r>
  <r>
    <n v="79560"/>
    <x v="0"/>
    <x v="0"/>
    <n v="62"/>
    <n v="80"/>
    <n v="266.5"/>
    <x v="4"/>
    <d v="2024-11-06T00:00:00"/>
    <d v="2024-11-18T00:00:00"/>
    <x v="1"/>
    <x v="1"/>
    <n v="16523"/>
    <x v="12"/>
    <x v="1"/>
    <x v="1"/>
  </r>
  <r>
    <n v="39684"/>
    <x v="2"/>
    <x v="1"/>
    <n v="356"/>
    <n v="30"/>
    <n v="246.47"/>
    <x v="4"/>
    <d v="2024-11-08T00:00:00"/>
    <d v="2024-11-16T00:00:00"/>
    <x v="1"/>
    <x v="0"/>
    <n v="87743.319999999992"/>
    <x v="0"/>
    <x v="0"/>
    <x v="0"/>
  </r>
  <r>
    <n v="50910"/>
    <x v="7"/>
    <x v="3"/>
    <n v="327"/>
    <n v="20"/>
    <n v="425.61"/>
    <x v="1"/>
    <d v="2024-03-22T00:00:00"/>
    <d v="2024-04-05T00:00:00"/>
    <x v="0"/>
    <x v="0"/>
    <n v="139174.47"/>
    <x v="0"/>
    <x v="0"/>
    <x v="0"/>
  </r>
  <r>
    <n v="52706"/>
    <x v="5"/>
    <x v="2"/>
    <n v="364"/>
    <n v="20"/>
    <n v="125.56"/>
    <x v="0"/>
    <d v="2024-02-04T00:00:00"/>
    <d v="2024-02-29T00:00:00"/>
    <x v="0"/>
    <x v="0"/>
    <n v="45703.840000000004"/>
    <x v="0"/>
    <x v="0"/>
    <x v="0"/>
  </r>
  <r>
    <n v="16377"/>
    <x v="12"/>
    <x v="0"/>
    <n v="251"/>
    <n v="40"/>
    <n v="187.42"/>
    <x v="0"/>
    <d v="2024-08-06T00:00:00"/>
    <d v="2024-08-28T00:00:00"/>
    <x v="0"/>
    <x v="0"/>
    <n v="47042.42"/>
    <x v="0"/>
    <x v="0"/>
    <x v="0"/>
  </r>
  <r>
    <n v="56729"/>
    <x v="16"/>
    <x v="3"/>
    <n v="212"/>
    <n v="50"/>
    <n v="279.57"/>
    <x v="4"/>
    <d v="2024-02-26T00:00:00"/>
    <d v="2024-04-01T00:00:00"/>
    <x v="0"/>
    <x v="0"/>
    <n v="59268.84"/>
    <x v="0"/>
    <x v="0"/>
    <x v="0"/>
  </r>
  <r>
    <n v="19642"/>
    <x v="11"/>
    <x v="4"/>
    <n v="10"/>
    <n v="150"/>
    <n v="293.88"/>
    <x v="1"/>
    <d v="2024-05-09T00:00:00"/>
    <d v="2024-05-21T00:00:00"/>
    <x v="2"/>
    <x v="1"/>
    <n v="2938.8"/>
    <x v="127"/>
    <x v="1"/>
    <x v="1"/>
  </r>
  <r>
    <n v="32105"/>
    <x v="0"/>
    <x v="0"/>
    <n v="134"/>
    <n v="50"/>
    <n v="486.3"/>
    <x v="0"/>
    <d v="2024-05-09T00:00:00"/>
    <d v="2024-06-14T00:00:00"/>
    <x v="0"/>
    <x v="0"/>
    <n v="65164.200000000004"/>
    <x v="0"/>
    <x v="1"/>
    <x v="0"/>
  </r>
  <r>
    <n v="41428"/>
    <x v="14"/>
    <x v="4"/>
    <n v="248"/>
    <n v="80"/>
    <n v="25.02"/>
    <x v="0"/>
    <d v="2024-02-16T00:00:00"/>
    <d v="2024-03-21T00:00:00"/>
    <x v="2"/>
    <x v="0"/>
    <n v="6204.96"/>
    <x v="0"/>
    <x v="0"/>
    <x v="0"/>
  </r>
  <r>
    <n v="99547"/>
    <x v="11"/>
    <x v="4"/>
    <n v="288"/>
    <n v="40"/>
    <n v="476.77"/>
    <x v="0"/>
    <d v="2024-02-28T00:00:00"/>
    <d v="2024-03-22T00:00:00"/>
    <x v="1"/>
    <x v="0"/>
    <n v="137309.76000000001"/>
    <x v="0"/>
    <x v="0"/>
    <x v="0"/>
  </r>
  <r>
    <n v="70938"/>
    <x v="10"/>
    <x v="2"/>
    <n v="368"/>
    <n v="150"/>
    <n v="337.14"/>
    <x v="0"/>
    <d v="2024-03-23T00:00:00"/>
    <d v="2024-04-19T00:00:00"/>
    <x v="0"/>
    <x v="0"/>
    <n v="124067.51999999999"/>
    <x v="0"/>
    <x v="1"/>
    <x v="0"/>
  </r>
  <r>
    <n v="68559"/>
    <x v="4"/>
    <x v="0"/>
    <n v="102"/>
    <n v="40"/>
    <n v="175.99"/>
    <x v="1"/>
    <d v="2024-06-20T00:00:00"/>
    <d v="2024-07-21T00:00:00"/>
    <x v="1"/>
    <x v="0"/>
    <n v="17950.98"/>
    <x v="0"/>
    <x v="1"/>
    <x v="0"/>
  </r>
  <r>
    <n v="81445"/>
    <x v="15"/>
    <x v="4"/>
    <n v="372"/>
    <n v="50"/>
    <n v="6.22"/>
    <x v="2"/>
    <d v="2024-07-13T00:00:00"/>
    <d v="2024-07-19T00:00:00"/>
    <x v="0"/>
    <x v="0"/>
    <n v="2313.8399999999997"/>
    <x v="0"/>
    <x v="0"/>
    <x v="0"/>
  </r>
  <r>
    <n v="18894"/>
    <x v="10"/>
    <x v="2"/>
    <n v="203"/>
    <n v="50"/>
    <n v="370.33"/>
    <x v="0"/>
    <d v="2024-08-10T00:00:00"/>
    <d v="2024-08-31T00:00:00"/>
    <x v="2"/>
    <x v="0"/>
    <n v="75176.989999999991"/>
    <x v="0"/>
    <x v="0"/>
    <x v="0"/>
  </r>
  <r>
    <n v="47208"/>
    <x v="15"/>
    <x v="4"/>
    <n v="275"/>
    <n v="100"/>
    <n v="313.89"/>
    <x v="1"/>
    <d v="2024-10-29T00:00:00"/>
    <d v="2024-11-14T00:00:00"/>
    <x v="2"/>
    <x v="0"/>
    <n v="86319.75"/>
    <x v="0"/>
    <x v="1"/>
    <x v="0"/>
  </r>
  <r>
    <n v="12936"/>
    <x v="14"/>
    <x v="4"/>
    <n v="444"/>
    <n v="150"/>
    <n v="265.25"/>
    <x v="3"/>
    <d v="2024-08-30T00:00:00"/>
    <d v="2024-09-24T00:00:00"/>
    <x v="2"/>
    <x v="0"/>
    <n v="117771"/>
    <x v="0"/>
    <x v="1"/>
    <x v="0"/>
  </r>
  <r>
    <n v="42286"/>
    <x v="1"/>
    <x v="0"/>
    <n v="472"/>
    <n v="50"/>
    <n v="317.98"/>
    <x v="1"/>
    <d v="2024-02-06T00:00:00"/>
    <d v="2024-02-22T00:00:00"/>
    <x v="2"/>
    <x v="0"/>
    <n v="150086.56"/>
    <x v="0"/>
    <x v="0"/>
    <x v="0"/>
  </r>
  <r>
    <n v="13960"/>
    <x v="9"/>
    <x v="1"/>
    <n v="94"/>
    <n v="150"/>
    <n v="37.049999999999997"/>
    <x v="0"/>
    <d v="2024-05-02T00:00:00"/>
    <d v="2024-06-04T00:00:00"/>
    <x v="2"/>
    <x v="1"/>
    <n v="3482.7"/>
    <x v="22"/>
    <x v="1"/>
    <x v="1"/>
  </r>
  <r>
    <n v="69977"/>
    <x v="13"/>
    <x v="3"/>
    <n v="406"/>
    <n v="50"/>
    <n v="384.28"/>
    <x v="2"/>
    <d v="2024-11-07T00:00:00"/>
    <d v="2024-11-24T00:00:00"/>
    <x v="1"/>
    <x v="0"/>
    <n v="156017.68"/>
    <x v="0"/>
    <x v="0"/>
    <x v="0"/>
  </r>
  <r>
    <n v="35180"/>
    <x v="6"/>
    <x v="3"/>
    <n v="466"/>
    <n v="80"/>
    <n v="422.41"/>
    <x v="4"/>
    <d v="2024-07-25T00:00:00"/>
    <d v="2024-08-12T00:00:00"/>
    <x v="2"/>
    <x v="0"/>
    <n v="196843.06"/>
    <x v="0"/>
    <x v="0"/>
    <x v="0"/>
  </r>
  <r>
    <n v="35236"/>
    <x v="2"/>
    <x v="1"/>
    <n v="178"/>
    <n v="20"/>
    <n v="113.48"/>
    <x v="2"/>
    <d v="2024-03-04T00:00:00"/>
    <d v="2024-04-04T00:00:00"/>
    <x v="0"/>
    <x v="0"/>
    <n v="20199.440000000002"/>
    <x v="0"/>
    <x v="0"/>
    <x v="0"/>
  </r>
  <r>
    <n v="51813"/>
    <x v="1"/>
    <x v="0"/>
    <n v="84"/>
    <n v="150"/>
    <n v="304.92"/>
    <x v="0"/>
    <d v="2024-12-05T00:00:00"/>
    <d v="2025-01-02T00:00:00"/>
    <x v="1"/>
    <x v="1"/>
    <n v="25613.280000000002"/>
    <x v="2"/>
    <x v="1"/>
    <x v="1"/>
  </r>
  <r>
    <n v="69179"/>
    <x v="4"/>
    <x v="0"/>
    <n v="94"/>
    <n v="40"/>
    <n v="422.63"/>
    <x v="0"/>
    <d v="2024-12-15T00:00:00"/>
    <d v="2025-01-08T00:00:00"/>
    <x v="0"/>
    <x v="0"/>
    <n v="39727.22"/>
    <x v="0"/>
    <x v="1"/>
    <x v="0"/>
  </r>
  <r>
    <n v="31307"/>
    <x v="15"/>
    <x v="4"/>
    <n v="144"/>
    <n v="50"/>
    <n v="382.11"/>
    <x v="0"/>
    <d v="2024-05-25T00:00:00"/>
    <d v="2024-06-26T00:00:00"/>
    <x v="1"/>
    <x v="0"/>
    <n v="55023.840000000004"/>
    <x v="0"/>
    <x v="1"/>
    <x v="0"/>
  </r>
  <r>
    <n v="19096"/>
    <x v="9"/>
    <x v="1"/>
    <n v="446"/>
    <n v="150"/>
    <n v="187.12"/>
    <x v="2"/>
    <d v="2024-09-18T00:00:00"/>
    <d v="2024-10-15T00:00:00"/>
    <x v="2"/>
    <x v="0"/>
    <n v="83455.520000000004"/>
    <x v="0"/>
    <x v="1"/>
    <x v="0"/>
  </r>
  <r>
    <n v="70464"/>
    <x v="11"/>
    <x v="4"/>
    <n v="107"/>
    <n v="40"/>
    <n v="99.53"/>
    <x v="4"/>
    <d v="2024-06-08T00:00:00"/>
    <d v="2024-06-21T00:00:00"/>
    <x v="1"/>
    <x v="0"/>
    <n v="10649.710000000001"/>
    <x v="0"/>
    <x v="1"/>
    <x v="0"/>
  </r>
  <r>
    <n v="32272"/>
    <x v="3"/>
    <x v="2"/>
    <n v="146"/>
    <n v="150"/>
    <n v="335.6"/>
    <x v="4"/>
    <d v="2024-04-05T00:00:00"/>
    <d v="2024-05-13T00:00:00"/>
    <x v="0"/>
    <x v="1"/>
    <n v="48997.600000000006"/>
    <x v="64"/>
    <x v="1"/>
    <x v="1"/>
  </r>
  <r>
    <n v="71401"/>
    <x v="3"/>
    <x v="2"/>
    <n v="299"/>
    <n v="150"/>
    <n v="284.08999999999997"/>
    <x v="2"/>
    <d v="2024-01-30T00:00:00"/>
    <d v="2024-02-21T00:00:00"/>
    <x v="2"/>
    <x v="0"/>
    <n v="84942.909999999989"/>
    <x v="0"/>
    <x v="1"/>
    <x v="0"/>
  </r>
  <r>
    <n v="71549"/>
    <x v="9"/>
    <x v="1"/>
    <n v="286"/>
    <n v="150"/>
    <n v="286.44"/>
    <x v="1"/>
    <d v="2024-12-10T00:00:00"/>
    <d v="2024-12-15T00:00:00"/>
    <x v="1"/>
    <x v="0"/>
    <n v="81921.84"/>
    <x v="0"/>
    <x v="1"/>
    <x v="0"/>
  </r>
  <r>
    <n v="45701"/>
    <x v="5"/>
    <x v="2"/>
    <n v="233"/>
    <n v="50"/>
    <n v="43.35"/>
    <x v="1"/>
    <d v="2024-01-17T00:00:00"/>
    <d v="2024-01-29T00:00:00"/>
    <x v="0"/>
    <x v="0"/>
    <n v="10100.550000000001"/>
    <x v="0"/>
    <x v="0"/>
    <x v="0"/>
  </r>
  <r>
    <n v="81637"/>
    <x v="6"/>
    <x v="3"/>
    <n v="90"/>
    <n v="50"/>
    <n v="214.44"/>
    <x v="0"/>
    <d v="2024-12-30T00:00:00"/>
    <d v="2025-01-07T00:00:00"/>
    <x v="0"/>
    <x v="0"/>
    <n v="19299.599999999999"/>
    <x v="0"/>
    <x v="1"/>
    <x v="0"/>
  </r>
  <r>
    <n v="84137"/>
    <x v="14"/>
    <x v="4"/>
    <n v="266"/>
    <n v="50"/>
    <n v="71.290000000000006"/>
    <x v="2"/>
    <d v="2024-08-18T00:00:00"/>
    <d v="2024-09-05T00:00:00"/>
    <x v="2"/>
    <x v="0"/>
    <n v="18963.140000000003"/>
    <x v="0"/>
    <x v="0"/>
    <x v="0"/>
  </r>
  <r>
    <n v="89510"/>
    <x v="3"/>
    <x v="2"/>
    <n v="261"/>
    <n v="40"/>
    <n v="211.01"/>
    <x v="4"/>
    <d v="2024-07-04T00:00:00"/>
    <d v="2024-07-26T00:00:00"/>
    <x v="1"/>
    <x v="0"/>
    <n v="55073.61"/>
    <x v="0"/>
    <x v="0"/>
    <x v="0"/>
  </r>
  <r>
    <n v="87737"/>
    <x v="4"/>
    <x v="0"/>
    <n v="464"/>
    <n v="30"/>
    <n v="411.73"/>
    <x v="3"/>
    <d v="2024-06-10T00:00:00"/>
    <d v="2024-07-11T00:00:00"/>
    <x v="1"/>
    <x v="0"/>
    <n v="191042.72"/>
    <x v="0"/>
    <x v="0"/>
    <x v="0"/>
  </r>
  <r>
    <n v="94338"/>
    <x v="15"/>
    <x v="4"/>
    <n v="237"/>
    <n v="150"/>
    <n v="289.58"/>
    <x v="2"/>
    <d v="2024-08-22T00:00:00"/>
    <d v="2024-08-29T00:00:00"/>
    <x v="2"/>
    <x v="0"/>
    <n v="68630.459999999992"/>
    <x v="0"/>
    <x v="1"/>
    <x v="0"/>
  </r>
  <r>
    <n v="56095"/>
    <x v="1"/>
    <x v="0"/>
    <n v="269"/>
    <n v="50"/>
    <n v="220.89"/>
    <x v="2"/>
    <d v="2024-03-04T00:00:00"/>
    <d v="2024-03-20T00:00:00"/>
    <x v="1"/>
    <x v="0"/>
    <n v="59419.409999999996"/>
    <x v="0"/>
    <x v="0"/>
    <x v="0"/>
  </r>
  <r>
    <n v="42615"/>
    <x v="7"/>
    <x v="3"/>
    <n v="92"/>
    <n v="80"/>
    <n v="177.81"/>
    <x v="1"/>
    <d v="2024-01-17T00:00:00"/>
    <d v="2024-01-29T00:00:00"/>
    <x v="0"/>
    <x v="0"/>
    <n v="16358.52"/>
    <x v="0"/>
    <x v="1"/>
    <x v="0"/>
  </r>
  <r>
    <n v="14069"/>
    <x v="2"/>
    <x v="1"/>
    <n v="2"/>
    <n v="150"/>
    <n v="115.73"/>
    <x v="0"/>
    <d v="2024-06-04T00:00:00"/>
    <d v="2024-06-12T00:00:00"/>
    <x v="1"/>
    <x v="1"/>
    <n v="231.46"/>
    <x v="21"/>
    <x v="1"/>
    <x v="1"/>
  </r>
  <r>
    <n v="36727"/>
    <x v="13"/>
    <x v="3"/>
    <n v="139"/>
    <n v="100"/>
    <n v="405.16"/>
    <x v="0"/>
    <d v="2024-07-07T00:00:00"/>
    <d v="2024-07-23T00:00:00"/>
    <x v="2"/>
    <x v="0"/>
    <n v="56317.240000000005"/>
    <x v="0"/>
    <x v="1"/>
    <x v="0"/>
  </r>
  <r>
    <n v="34504"/>
    <x v="10"/>
    <x v="2"/>
    <n v="236"/>
    <n v="100"/>
    <n v="39.36"/>
    <x v="4"/>
    <d v="2024-01-12T00:00:00"/>
    <d v="2024-02-16T00:00:00"/>
    <x v="0"/>
    <x v="0"/>
    <n v="9288.9599999999991"/>
    <x v="0"/>
    <x v="1"/>
    <x v="0"/>
  </r>
  <r>
    <n v="76795"/>
    <x v="13"/>
    <x v="3"/>
    <n v="455"/>
    <n v="100"/>
    <n v="196.42"/>
    <x v="4"/>
    <d v="2024-02-27T00:00:00"/>
    <d v="2024-03-06T00:00:00"/>
    <x v="2"/>
    <x v="0"/>
    <n v="89371.099999999991"/>
    <x v="0"/>
    <x v="0"/>
    <x v="0"/>
  </r>
  <r>
    <n v="98611"/>
    <x v="3"/>
    <x v="2"/>
    <n v="236"/>
    <n v="40"/>
    <n v="137.53"/>
    <x v="3"/>
    <d v="2024-02-27T00:00:00"/>
    <d v="2024-03-20T00:00:00"/>
    <x v="0"/>
    <x v="0"/>
    <n v="32457.08"/>
    <x v="0"/>
    <x v="0"/>
    <x v="0"/>
  </r>
  <r>
    <n v="23303"/>
    <x v="12"/>
    <x v="0"/>
    <n v="145"/>
    <n v="20"/>
    <n v="430.49"/>
    <x v="0"/>
    <d v="2024-08-14T00:00:00"/>
    <d v="2024-09-02T00:00:00"/>
    <x v="1"/>
    <x v="0"/>
    <n v="62421.05"/>
    <x v="0"/>
    <x v="0"/>
    <x v="0"/>
  </r>
  <r>
    <n v="10337"/>
    <x v="2"/>
    <x v="1"/>
    <n v="436"/>
    <n v="20"/>
    <n v="231.49"/>
    <x v="4"/>
    <d v="2024-09-26T00:00:00"/>
    <d v="2024-10-02T00:00:00"/>
    <x v="0"/>
    <x v="0"/>
    <n v="100929.64"/>
    <x v="0"/>
    <x v="0"/>
    <x v="0"/>
  </r>
  <r>
    <n v="71088"/>
    <x v="16"/>
    <x v="3"/>
    <n v="467"/>
    <n v="40"/>
    <n v="132.97"/>
    <x v="3"/>
    <d v="2024-12-11T00:00:00"/>
    <d v="2024-12-19T00:00:00"/>
    <x v="2"/>
    <x v="0"/>
    <n v="62096.99"/>
    <x v="0"/>
    <x v="0"/>
    <x v="0"/>
  </r>
  <r>
    <n v="38359"/>
    <x v="4"/>
    <x v="0"/>
    <n v="76"/>
    <n v="100"/>
    <n v="292.44"/>
    <x v="4"/>
    <d v="2024-05-18T00:00:00"/>
    <d v="2024-06-26T00:00:00"/>
    <x v="1"/>
    <x v="1"/>
    <n v="22225.439999999999"/>
    <x v="69"/>
    <x v="1"/>
    <x v="1"/>
  </r>
  <r>
    <n v="94539"/>
    <x v="15"/>
    <x v="4"/>
    <n v="31"/>
    <n v="50"/>
    <n v="120.58"/>
    <x v="4"/>
    <d v="2024-11-11T00:00:00"/>
    <d v="2024-11-29T00:00:00"/>
    <x v="2"/>
    <x v="1"/>
    <n v="3737.98"/>
    <x v="98"/>
    <x v="1"/>
    <x v="1"/>
  </r>
  <r>
    <n v="44524"/>
    <x v="4"/>
    <x v="0"/>
    <n v="278"/>
    <n v="80"/>
    <n v="396.11"/>
    <x v="2"/>
    <d v="2024-03-13T00:00:00"/>
    <d v="2024-03-24T00:00:00"/>
    <x v="0"/>
    <x v="0"/>
    <n v="110118.58"/>
    <x v="0"/>
    <x v="0"/>
    <x v="0"/>
  </r>
  <r>
    <n v="23792"/>
    <x v="8"/>
    <x v="1"/>
    <n v="325"/>
    <n v="50"/>
    <n v="349.23"/>
    <x v="1"/>
    <d v="2024-11-24T00:00:00"/>
    <d v="2024-12-10T00:00:00"/>
    <x v="1"/>
    <x v="0"/>
    <n v="113499.75"/>
    <x v="0"/>
    <x v="0"/>
    <x v="0"/>
  </r>
  <r>
    <n v="83693"/>
    <x v="2"/>
    <x v="1"/>
    <n v="113"/>
    <n v="150"/>
    <n v="96.68"/>
    <x v="4"/>
    <d v="2024-11-05T00:00:00"/>
    <d v="2024-11-18T00:00:00"/>
    <x v="2"/>
    <x v="1"/>
    <n v="10924.84"/>
    <x v="65"/>
    <x v="1"/>
    <x v="1"/>
  </r>
  <r>
    <n v="48011"/>
    <x v="2"/>
    <x v="1"/>
    <n v="478"/>
    <n v="50"/>
    <n v="347.74"/>
    <x v="0"/>
    <d v="2024-04-24T00:00:00"/>
    <d v="2024-05-17T00:00:00"/>
    <x v="2"/>
    <x v="0"/>
    <n v="166219.72"/>
    <x v="0"/>
    <x v="0"/>
    <x v="0"/>
  </r>
  <r>
    <n v="96070"/>
    <x v="9"/>
    <x v="1"/>
    <n v="390"/>
    <n v="150"/>
    <n v="78.930000000000007"/>
    <x v="3"/>
    <d v="2024-01-31T00:00:00"/>
    <d v="2024-02-28T00:00:00"/>
    <x v="2"/>
    <x v="0"/>
    <n v="30782.700000000004"/>
    <x v="0"/>
    <x v="1"/>
    <x v="0"/>
  </r>
  <r>
    <n v="54837"/>
    <x v="4"/>
    <x v="0"/>
    <n v="397"/>
    <n v="80"/>
    <n v="151.49"/>
    <x v="0"/>
    <d v="2024-09-12T00:00:00"/>
    <d v="2024-10-20T00:00:00"/>
    <x v="0"/>
    <x v="0"/>
    <n v="60141.530000000006"/>
    <x v="0"/>
    <x v="0"/>
    <x v="0"/>
  </r>
  <r>
    <n v="78213"/>
    <x v="1"/>
    <x v="0"/>
    <n v="177"/>
    <n v="100"/>
    <n v="376"/>
    <x v="3"/>
    <d v="2024-04-29T00:00:00"/>
    <d v="2024-05-22T00:00:00"/>
    <x v="0"/>
    <x v="0"/>
    <n v="66552"/>
    <x v="0"/>
    <x v="1"/>
    <x v="0"/>
  </r>
  <r>
    <n v="93853"/>
    <x v="11"/>
    <x v="4"/>
    <n v="170"/>
    <n v="40"/>
    <n v="21.97"/>
    <x v="3"/>
    <d v="2024-04-16T00:00:00"/>
    <d v="2024-05-05T00:00:00"/>
    <x v="2"/>
    <x v="0"/>
    <n v="3734.8999999999996"/>
    <x v="0"/>
    <x v="0"/>
    <x v="0"/>
  </r>
  <r>
    <n v="49992"/>
    <x v="11"/>
    <x v="4"/>
    <n v="433"/>
    <n v="80"/>
    <n v="126.73"/>
    <x v="1"/>
    <d v="2024-01-12T00:00:00"/>
    <d v="2024-02-05T00:00:00"/>
    <x v="0"/>
    <x v="0"/>
    <n v="54874.090000000004"/>
    <x v="0"/>
    <x v="0"/>
    <x v="0"/>
  </r>
  <r>
    <n v="99786"/>
    <x v="15"/>
    <x v="4"/>
    <n v="307"/>
    <n v="30"/>
    <n v="150.97999999999999"/>
    <x v="2"/>
    <d v="2024-12-29T00:00:00"/>
    <d v="2025-01-25T00:00:00"/>
    <x v="0"/>
    <x v="0"/>
    <n v="46350.859999999993"/>
    <x v="0"/>
    <x v="0"/>
    <x v="0"/>
  </r>
  <r>
    <n v="79260"/>
    <x v="6"/>
    <x v="3"/>
    <n v="223"/>
    <n v="50"/>
    <n v="282.97000000000003"/>
    <x v="0"/>
    <d v="2024-04-21T00:00:00"/>
    <d v="2024-04-26T00:00:00"/>
    <x v="0"/>
    <x v="0"/>
    <n v="63102.310000000005"/>
    <x v="0"/>
    <x v="0"/>
    <x v="0"/>
  </r>
  <r>
    <n v="46979"/>
    <x v="6"/>
    <x v="3"/>
    <n v="40"/>
    <n v="50"/>
    <n v="232.57"/>
    <x v="4"/>
    <d v="2024-05-29T00:00:00"/>
    <d v="2024-07-03T00:00:00"/>
    <x v="2"/>
    <x v="1"/>
    <n v="9302.7999999999993"/>
    <x v="60"/>
    <x v="1"/>
    <x v="1"/>
  </r>
  <r>
    <n v="31016"/>
    <x v="6"/>
    <x v="3"/>
    <n v="433"/>
    <n v="20"/>
    <n v="115.74"/>
    <x v="3"/>
    <d v="2024-12-17T00:00:00"/>
    <d v="2025-01-17T00:00:00"/>
    <x v="0"/>
    <x v="0"/>
    <n v="50115.42"/>
    <x v="0"/>
    <x v="0"/>
    <x v="0"/>
  </r>
  <r>
    <n v="24705"/>
    <x v="9"/>
    <x v="1"/>
    <n v="100"/>
    <n v="20"/>
    <n v="270.05"/>
    <x v="1"/>
    <d v="2024-03-23T00:00:00"/>
    <d v="2024-04-16T00:00:00"/>
    <x v="0"/>
    <x v="0"/>
    <n v="27005"/>
    <x v="0"/>
    <x v="0"/>
    <x v="0"/>
  </r>
  <r>
    <n v="40541"/>
    <x v="7"/>
    <x v="3"/>
    <n v="220"/>
    <n v="150"/>
    <n v="205.17"/>
    <x v="3"/>
    <d v="2024-01-15T00:00:00"/>
    <d v="2024-01-23T00:00:00"/>
    <x v="0"/>
    <x v="0"/>
    <n v="45137.399999999994"/>
    <x v="0"/>
    <x v="1"/>
    <x v="0"/>
  </r>
  <r>
    <n v="53781"/>
    <x v="7"/>
    <x v="3"/>
    <n v="473"/>
    <n v="20"/>
    <n v="338.83"/>
    <x v="1"/>
    <d v="2024-08-03T00:00:00"/>
    <d v="2024-08-21T00:00:00"/>
    <x v="2"/>
    <x v="0"/>
    <n v="160266.59"/>
    <x v="0"/>
    <x v="0"/>
    <x v="0"/>
  </r>
  <r>
    <n v="43763"/>
    <x v="15"/>
    <x v="4"/>
    <n v="65"/>
    <n v="20"/>
    <n v="150.77000000000001"/>
    <x v="4"/>
    <d v="2024-01-09T00:00:00"/>
    <d v="2024-01-26T00:00:00"/>
    <x v="2"/>
    <x v="0"/>
    <n v="9800.0500000000011"/>
    <x v="0"/>
    <x v="0"/>
    <x v="0"/>
  </r>
  <r>
    <n v="28764"/>
    <x v="15"/>
    <x v="4"/>
    <n v="9"/>
    <n v="20"/>
    <n v="106.54"/>
    <x v="3"/>
    <d v="2024-12-11T00:00:00"/>
    <d v="2025-01-10T00:00:00"/>
    <x v="1"/>
    <x v="1"/>
    <n v="958.86"/>
    <x v="52"/>
    <x v="1"/>
    <x v="1"/>
  </r>
  <r>
    <n v="27905"/>
    <x v="3"/>
    <x v="2"/>
    <n v="459"/>
    <n v="20"/>
    <n v="357.77"/>
    <x v="0"/>
    <d v="2024-11-26T00:00:00"/>
    <d v="2024-12-09T00:00:00"/>
    <x v="0"/>
    <x v="0"/>
    <n v="164216.43"/>
    <x v="0"/>
    <x v="0"/>
    <x v="0"/>
  </r>
  <r>
    <n v="80298"/>
    <x v="8"/>
    <x v="1"/>
    <n v="233"/>
    <n v="50"/>
    <n v="434.57"/>
    <x v="1"/>
    <d v="2024-08-31T00:00:00"/>
    <d v="2024-09-17T00:00:00"/>
    <x v="1"/>
    <x v="0"/>
    <n v="101254.81"/>
    <x v="0"/>
    <x v="0"/>
    <x v="0"/>
  </r>
  <r>
    <n v="82956"/>
    <x v="16"/>
    <x v="3"/>
    <n v="149"/>
    <n v="20"/>
    <n v="210.6"/>
    <x v="0"/>
    <d v="2024-10-20T00:00:00"/>
    <d v="2024-11-24T00:00:00"/>
    <x v="2"/>
    <x v="0"/>
    <n v="31379.399999999998"/>
    <x v="0"/>
    <x v="0"/>
    <x v="0"/>
  </r>
  <r>
    <n v="50996"/>
    <x v="16"/>
    <x v="3"/>
    <n v="248"/>
    <n v="50"/>
    <n v="394.09"/>
    <x v="4"/>
    <d v="2024-02-04T00:00:00"/>
    <d v="2024-02-14T00:00:00"/>
    <x v="1"/>
    <x v="0"/>
    <n v="97734.319999999992"/>
    <x v="0"/>
    <x v="0"/>
    <x v="0"/>
  </r>
  <r>
    <n v="18527"/>
    <x v="14"/>
    <x v="4"/>
    <n v="8"/>
    <n v="40"/>
    <n v="486.29"/>
    <x v="1"/>
    <d v="2024-04-14T00:00:00"/>
    <d v="2024-05-16T00:00:00"/>
    <x v="2"/>
    <x v="1"/>
    <n v="3890.32"/>
    <x v="31"/>
    <x v="1"/>
    <x v="1"/>
  </r>
  <r>
    <n v="68005"/>
    <x v="9"/>
    <x v="1"/>
    <n v="373"/>
    <n v="80"/>
    <n v="487.73"/>
    <x v="4"/>
    <d v="2024-12-10T00:00:00"/>
    <d v="2024-12-15T00:00:00"/>
    <x v="2"/>
    <x v="0"/>
    <n v="181923.29"/>
    <x v="0"/>
    <x v="0"/>
    <x v="0"/>
  </r>
  <r>
    <n v="94454"/>
    <x v="1"/>
    <x v="0"/>
    <n v="122"/>
    <n v="100"/>
    <n v="299.02"/>
    <x v="2"/>
    <d v="2024-12-27T00:00:00"/>
    <d v="2025-01-11T00:00:00"/>
    <x v="0"/>
    <x v="0"/>
    <n v="36480.439999999995"/>
    <x v="0"/>
    <x v="1"/>
    <x v="0"/>
  </r>
  <r>
    <n v="59223"/>
    <x v="14"/>
    <x v="4"/>
    <n v="464"/>
    <n v="40"/>
    <n v="205.39"/>
    <x v="1"/>
    <d v="2024-03-11T00:00:00"/>
    <d v="2024-04-09T00:00:00"/>
    <x v="0"/>
    <x v="0"/>
    <n v="95300.959999999992"/>
    <x v="0"/>
    <x v="0"/>
    <x v="0"/>
  </r>
  <r>
    <n v="10576"/>
    <x v="1"/>
    <x v="0"/>
    <n v="313"/>
    <n v="150"/>
    <n v="141.12"/>
    <x v="1"/>
    <d v="2024-12-29T00:00:00"/>
    <d v="2025-01-24T00:00:00"/>
    <x v="0"/>
    <x v="0"/>
    <n v="44170.560000000005"/>
    <x v="0"/>
    <x v="1"/>
    <x v="0"/>
  </r>
  <r>
    <n v="88501"/>
    <x v="1"/>
    <x v="0"/>
    <n v="357"/>
    <n v="50"/>
    <n v="491.38"/>
    <x v="4"/>
    <d v="2024-10-25T00:00:00"/>
    <d v="2024-11-02T00:00:00"/>
    <x v="0"/>
    <x v="0"/>
    <n v="175422.66"/>
    <x v="0"/>
    <x v="0"/>
    <x v="0"/>
  </r>
  <r>
    <n v="72063"/>
    <x v="3"/>
    <x v="2"/>
    <n v="95"/>
    <n v="150"/>
    <n v="167.91"/>
    <x v="0"/>
    <d v="2024-12-07T00:00:00"/>
    <d v="2024-12-24T00:00:00"/>
    <x v="2"/>
    <x v="1"/>
    <n v="15951.449999999999"/>
    <x v="5"/>
    <x v="1"/>
    <x v="1"/>
  </r>
  <r>
    <n v="19849"/>
    <x v="9"/>
    <x v="1"/>
    <n v="125"/>
    <n v="80"/>
    <n v="131.41999999999999"/>
    <x v="4"/>
    <d v="2024-07-17T00:00:00"/>
    <d v="2024-07-26T00:00:00"/>
    <x v="2"/>
    <x v="0"/>
    <n v="16427.5"/>
    <x v="0"/>
    <x v="1"/>
    <x v="0"/>
  </r>
  <r>
    <n v="78125"/>
    <x v="10"/>
    <x v="2"/>
    <n v="358"/>
    <n v="150"/>
    <n v="5.68"/>
    <x v="0"/>
    <d v="2024-02-01T00:00:00"/>
    <d v="2024-02-09T00:00:00"/>
    <x v="2"/>
    <x v="0"/>
    <n v="2033.4399999999998"/>
    <x v="0"/>
    <x v="1"/>
    <x v="0"/>
  </r>
  <r>
    <n v="98860"/>
    <x v="6"/>
    <x v="3"/>
    <n v="21"/>
    <n v="50"/>
    <n v="226.3"/>
    <x v="0"/>
    <d v="2024-08-01T00:00:00"/>
    <d v="2024-09-08T00:00:00"/>
    <x v="2"/>
    <x v="1"/>
    <n v="4752.3"/>
    <x v="56"/>
    <x v="1"/>
    <x v="1"/>
  </r>
  <r>
    <n v="84581"/>
    <x v="12"/>
    <x v="0"/>
    <n v="76"/>
    <n v="150"/>
    <n v="254.99"/>
    <x v="2"/>
    <d v="2024-07-05T00:00:00"/>
    <d v="2024-08-10T00:00:00"/>
    <x v="2"/>
    <x v="1"/>
    <n v="19379.240000000002"/>
    <x v="74"/>
    <x v="1"/>
    <x v="1"/>
  </r>
  <r>
    <n v="11223"/>
    <x v="8"/>
    <x v="1"/>
    <n v="30"/>
    <n v="150"/>
    <n v="164.02"/>
    <x v="0"/>
    <d v="2024-08-01T00:00:00"/>
    <d v="2024-08-29T00:00:00"/>
    <x v="0"/>
    <x v="1"/>
    <n v="4920.6000000000004"/>
    <x v="128"/>
    <x v="1"/>
    <x v="1"/>
  </r>
  <r>
    <n v="37167"/>
    <x v="9"/>
    <x v="1"/>
    <n v="429"/>
    <n v="80"/>
    <n v="10.44"/>
    <x v="3"/>
    <d v="2024-03-13T00:00:00"/>
    <d v="2024-03-30T00:00:00"/>
    <x v="1"/>
    <x v="0"/>
    <n v="4478.76"/>
    <x v="0"/>
    <x v="0"/>
    <x v="0"/>
  </r>
  <r>
    <n v="40261"/>
    <x v="16"/>
    <x v="3"/>
    <n v="64"/>
    <n v="20"/>
    <n v="94.79"/>
    <x v="3"/>
    <d v="2024-01-18T00:00:00"/>
    <d v="2024-02-22T00:00:00"/>
    <x v="1"/>
    <x v="0"/>
    <n v="6066.56"/>
    <x v="0"/>
    <x v="0"/>
    <x v="0"/>
  </r>
  <r>
    <n v="69763"/>
    <x v="1"/>
    <x v="0"/>
    <n v="440"/>
    <n v="20"/>
    <n v="191.66"/>
    <x v="1"/>
    <d v="2024-12-13T00:00:00"/>
    <d v="2025-01-12T00:00:00"/>
    <x v="1"/>
    <x v="0"/>
    <n v="84330.4"/>
    <x v="0"/>
    <x v="0"/>
    <x v="0"/>
  </r>
  <r>
    <n v="12026"/>
    <x v="5"/>
    <x v="2"/>
    <n v="53"/>
    <n v="80"/>
    <n v="466.03"/>
    <x v="2"/>
    <d v="2024-12-18T00:00:00"/>
    <d v="2025-01-23T00:00:00"/>
    <x v="2"/>
    <x v="1"/>
    <n v="24699.59"/>
    <x v="36"/>
    <x v="1"/>
    <x v="1"/>
  </r>
  <r>
    <n v="28356"/>
    <x v="3"/>
    <x v="2"/>
    <n v="367"/>
    <n v="30"/>
    <n v="310.07"/>
    <x v="3"/>
    <d v="2024-03-30T00:00:00"/>
    <d v="2024-04-19T00:00:00"/>
    <x v="0"/>
    <x v="0"/>
    <n v="113795.69"/>
    <x v="0"/>
    <x v="0"/>
    <x v="0"/>
  </r>
  <r>
    <n v="32158"/>
    <x v="12"/>
    <x v="0"/>
    <n v="270"/>
    <n v="80"/>
    <n v="295.66000000000003"/>
    <x v="1"/>
    <d v="2024-03-12T00:00:00"/>
    <d v="2024-03-26T00:00:00"/>
    <x v="2"/>
    <x v="0"/>
    <n v="79828.200000000012"/>
    <x v="0"/>
    <x v="0"/>
    <x v="0"/>
  </r>
  <r>
    <n v="10705"/>
    <x v="16"/>
    <x v="3"/>
    <n v="108"/>
    <n v="80"/>
    <n v="14.61"/>
    <x v="4"/>
    <d v="2024-02-12T00:00:00"/>
    <d v="2024-03-22T00:00:00"/>
    <x v="1"/>
    <x v="0"/>
    <n v="1577.8799999999999"/>
    <x v="0"/>
    <x v="1"/>
    <x v="0"/>
  </r>
  <r>
    <n v="14834"/>
    <x v="0"/>
    <x v="0"/>
    <n v="184"/>
    <n v="150"/>
    <n v="91.64"/>
    <x v="3"/>
    <d v="2024-11-08T00:00:00"/>
    <d v="2024-11-30T00:00:00"/>
    <x v="2"/>
    <x v="0"/>
    <n v="16861.759999999998"/>
    <x v="0"/>
    <x v="1"/>
    <x v="0"/>
  </r>
  <r>
    <n v="40545"/>
    <x v="10"/>
    <x v="2"/>
    <n v="417"/>
    <n v="150"/>
    <n v="445.76"/>
    <x v="4"/>
    <d v="2024-07-05T00:00:00"/>
    <d v="2024-07-24T00:00:00"/>
    <x v="0"/>
    <x v="0"/>
    <n v="185881.91999999998"/>
    <x v="0"/>
    <x v="1"/>
    <x v="0"/>
  </r>
  <r>
    <n v="78109"/>
    <x v="8"/>
    <x v="1"/>
    <n v="81"/>
    <n v="20"/>
    <n v="408.28"/>
    <x v="2"/>
    <d v="2024-09-18T00:00:00"/>
    <d v="2024-10-09T00:00:00"/>
    <x v="2"/>
    <x v="0"/>
    <n v="33070.68"/>
    <x v="0"/>
    <x v="0"/>
    <x v="0"/>
  </r>
  <r>
    <n v="29951"/>
    <x v="14"/>
    <x v="4"/>
    <n v="387"/>
    <n v="30"/>
    <n v="46.81"/>
    <x v="1"/>
    <d v="2024-02-22T00:00:00"/>
    <d v="2024-04-01T00:00:00"/>
    <x v="1"/>
    <x v="0"/>
    <n v="18115.47"/>
    <x v="0"/>
    <x v="0"/>
    <x v="0"/>
  </r>
  <r>
    <n v="46530"/>
    <x v="0"/>
    <x v="0"/>
    <n v="405"/>
    <n v="40"/>
    <n v="409.23"/>
    <x v="3"/>
    <d v="2024-01-22T00:00:00"/>
    <d v="2024-02-04T00:00:00"/>
    <x v="2"/>
    <x v="0"/>
    <n v="165738.15"/>
    <x v="0"/>
    <x v="0"/>
    <x v="0"/>
  </r>
  <r>
    <n v="98830"/>
    <x v="3"/>
    <x v="2"/>
    <n v="178"/>
    <n v="80"/>
    <n v="168.07"/>
    <x v="4"/>
    <d v="2024-02-18T00:00:00"/>
    <d v="2024-03-03T00:00:00"/>
    <x v="0"/>
    <x v="0"/>
    <n v="29916.46"/>
    <x v="0"/>
    <x v="1"/>
    <x v="0"/>
  </r>
  <r>
    <n v="29589"/>
    <x v="14"/>
    <x v="4"/>
    <n v="97"/>
    <n v="30"/>
    <n v="105.44"/>
    <x v="1"/>
    <d v="2024-12-06T00:00:00"/>
    <d v="2024-12-30T00:00:00"/>
    <x v="2"/>
    <x v="0"/>
    <n v="10227.68"/>
    <x v="0"/>
    <x v="0"/>
    <x v="0"/>
  </r>
  <r>
    <n v="80143"/>
    <x v="7"/>
    <x v="3"/>
    <n v="62"/>
    <n v="50"/>
    <n v="72.099999999999994"/>
    <x v="3"/>
    <d v="2024-09-14T00:00:00"/>
    <d v="2024-10-04T00:00:00"/>
    <x v="1"/>
    <x v="0"/>
    <n v="4470.2"/>
    <x v="0"/>
    <x v="1"/>
    <x v="0"/>
  </r>
  <r>
    <n v="57543"/>
    <x v="0"/>
    <x v="0"/>
    <n v="51"/>
    <n v="150"/>
    <n v="343.32"/>
    <x v="3"/>
    <d v="2024-11-01T00:00:00"/>
    <d v="2024-12-06T00:00:00"/>
    <x v="0"/>
    <x v="1"/>
    <n v="17509.32"/>
    <x v="102"/>
    <x v="1"/>
    <x v="1"/>
  </r>
  <r>
    <n v="74863"/>
    <x v="4"/>
    <x v="0"/>
    <n v="299"/>
    <n v="30"/>
    <n v="381.47"/>
    <x v="3"/>
    <d v="2024-02-13T00:00:00"/>
    <d v="2024-03-08T00:00:00"/>
    <x v="2"/>
    <x v="0"/>
    <n v="114059.53000000001"/>
    <x v="0"/>
    <x v="0"/>
    <x v="0"/>
  </r>
  <r>
    <n v="96704"/>
    <x v="0"/>
    <x v="0"/>
    <n v="124"/>
    <n v="150"/>
    <n v="443.94"/>
    <x v="4"/>
    <d v="2024-03-23T00:00:00"/>
    <d v="2024-04-05T00:00:00"/>
    <x v="2"/>
    <x v="1"/>
    <n v="55048.56"/>
    <x v="61"/>
    <x v="1"/>
    <x v="1"/>
  </r>
  <r>
    <n v="25788"/>
    <x v="0"/>
    <x v="0"/>
    <n v="353"/>
    <n v="40"/>
    <n v="165.87"/>
    <x v="2"/>
    <d v="2024-10-19T00:00:00"/>
    <d v="2024-11-24T00:00:00"/>
    <x v="0"/>
    <x v="0"/>
    <n v="58552.11"/>
    <x v="0"/>
    <x v="0"/>
    <x v="0"/>
  </r>
  <r>
    <n v="27949"/>
    <x v="9"/>
    <x v="1"/>
    <n v="57"/>
    <n v="80"/>
    <n v="12.34"/>
    <x v="2"/>
    <d v="2024-09-04T00:00:00"/>
    <d v="2024-09-30T00:00:00"/>
    <x v="1"/>
    <x v="1"/>
    <n v="703.38"/>
    <x v="75"/>
    <x v="1"/>
    <x v="1"/>
  </r>
  <r>
    <n v="98154"/>
    <x v="8"/>
    <x v="1"/>
    <n v="397"/>
    <n v="150"/>
    <n v="408.02"/>
    <x v="4"/>
    <d v="2024-04-11T00:00:00"/>
    <d v="2024-05-11T00:00:00"/>
    <x v="0"/>
    <x v="0"/>
    <n v="161983.94"/>
    <x v="0"/>
    <x v="1"/>
    <x v="0"/>
  </r>
  <r>
    <n v="13901"/>
    <x v="16"/>
    <x v="3"/>
    <n v="94"/>
    <n v="150"/>
    <n v="430.99"/>
    <x v="2"/>
    <d v="2024-07-24T00:00:00"/>
    <d v="2024-08-22T00:00:00"/>
    <x v="1"/>
    <x v="1"/>
    <n v="40513.06"/>
    <x v="22"/>
    <x v="1"/>
    <x v="1"/>
  </r>
  <r>
    <n v="69888"/>
    <x v="5"/>
    <x v="2"/>
    <n v="466"/>
    <n v="40"/>
    <n v="256.23"/>
    <x v="3"/>
    <d v="2024-10-27T00:00:00"/>
    <d v="2024-11-07T00:00:00"/>
    <x v="0"/>
    <x v="0"/>
    <n v="119403.18000000001"/>
    <x v="0"/>
    <x v="0"/>
    <x v="0"/>
  </r>
  <r>
    <n v="27747"/>
    <x v="5"/>
    <x v="2"/>
    <n v="356"/>
    <n v="100"/>
    <n v="56.22"/>
    <x v="1"/>
    <d v="2024-04-17T00:00:00"/>
    <d v="2024-05-20T00:00:00"/>
    <x v="1"/>
    <x v="0"/>
    <n v="20014.32"/>
    <x v="0"/>
    <x v="0"/>
    <x v="0"/>
  </r>
  <r>
    <n v="45249"/>
    <x v="9"/>
    <x v="1"/>
    <n v="243"/>
    <n v="100"/>
    <n v="145.54"/>
    <x v="0"/>
    <d v="2024-12-14T00:00:00"/>
    <d v="2025-01-12T00:00:00"/>
    <x v="2"/>
    <x v="0"/>
    <n v="35366.22"/>
    <x v="0"/>
    <x v="1"/>
    <x v="0"/>
  </r>
  <r>
    <n v="82540"/>
    <x v="2"/>
    <x v="1"/>
    <n v="207"/>
    <n v="100"/>
    <n v="415.64"/>
    <x v="4"/>
    <d v="2024-05-30T00:00:00"/>
    <d v="2024-06-08T00:00:00"/>
    <x v="2"/>
    <x v="0"/>
    <n v="86037.48"/>
    <x v="0"/>
    <x v="1"/>
    <x v="0"/>
  </r>
  <r>
    <n v="80148"/>
    <x v="5"/>
    <x v="2"/>
    <n v="342"/>
    <n v="100"/>
    <n v="139.53"/>
    <x v="3"/>
    <d v="2024-03-22T00:00:00"/>
    <d v="2024-04-25T00:00:00"/>
    <x v="1"/>
    <x v="0"/>
    <n v="47719.26"/>
    <x v="0"/>
    <x v="0"/>
    <x v="0"/>
  </r>
  <r>
    <n v="63815"/>
    <x v="2"/>
    <x v="1"/>
    <n v="296"/>
    <n v="50"/>
    <n v="398.47"/>
    <x v="1"/>
    <d v="2024-10-15T00:00:00"/>
    <d v="2024-11-15T00:00:00"/>
    <x v="2"/>
    <x v="0"/>
    <n v="117947.12000000001"/>
    <x v="0"/>
    <x v="0"/>
    <x v="0"/>
  </r>
  <r>
    <n v="68451"/>
    <x v="8"/>
    <x v="1"/>
    <n v="376"/>
    <n v="80"/>
    <n v="161.69"/>
    <x v="2"/>
    <d v="2024-04-12T00:00:00"/>
    <d v="2024-05-07T00:00:00"/>
    <x v="2"/>
    <x v="0"/>
    <n v="60795.44"/>
    <x v="0"/>
    <x v="0"/>
    <x v="0"/>
  </r>
  <r>
    <n v="72270"/>
    <x v="2"/>
    <x v="1"/>
    <n v="141"/>
    <n v="30"/>
    <n v="455.23"/>
    <x v="0"/>
    <d v="2024-05-14T00:00:00"/>
    <d v="2024-05-30T00:00:00"/>
    <x v="0"/>
    <x v="0"/>
    <n v="64187.43"/>
    <x v="0"/>
    <x v="0"/>
    <x v="0"/>
  </r>
  <r>
    <n v="23490"/>
    <x v="10"/>
    <x v="2"/>
    <n v="41"/>
    <n v="100"/>
    <n v="212.71"/>
    <x v="4"/>
    <d v="2024-05-05T00:00:00"/>
    <d v="2024-06-06T00:00:00"/>
    <x v="2"/>
    <x v="1"/>
    <n v="8721.11"/>
    <x v="1"/>
    <x v="1"/>
    <x v="1"/>
  </r>
  <r>
    <n v="45228"/>
    <x v="16"/>
    <x v="3"/>
    <n v="100"/>
    <n v="20"/>
    <n v="403.74"/>
    <x v="2"/>
    <d v="2024-10-23T00:00:00"/>
    <d v="2024-11-05T00:00:00"/>
    <x v="2"/>
    <x v="0"/>
    <n v="40374"/>
    <x v="0"/>
    <x v="0"/>
    <x v="0"/>
  </r>
  <r>
    <n v="89459"/>
    <x v="14"/>
    <x v="4"/>
    <n v="432"/>
    <n v="30"/>
    <n v="350.41"/>
    <x v="4"/>
    <d v="2024-10-15T00:00:00"/>
    <d v="2024-11-22T00:00:00"/>
    <x v="0"/>
    <x v="0"/>
    <n v="151377.12000000002"/>
    <x v="0"/>
    <x v="0"/>
    <x v="0"/>
  </r>
  <r>
    <n v="89369"/>
    <x v="14"/>
    <x v="4"/>
    <n v="123"/>
    <n v="40"/>
    <n v="298.02999999999997"/>
    <x v="2"/>
    <d v="2024-02-08T00:00:00"/>
    <d v="2024-03-13T00:00:00"/>
    <x v="2"/>
    <x v="0"/>
    <n v="36657.689999999995"/>
    <x v="0"/>
    <x v="0"/>
    <x v="0"/>
  </r>
  <r>
    <n v="55580"/>
    <x v="16"/>
    <x v="3"/>
    <n v="490"/>
    <n v="40"/>
    <n v="473.81"/>
    <x v="4"/>
    <d v="2024-05-15T00:00:00"/>
    <d v="2024-05-26T00:00:00"/>
    <x v="1"/>
    <x v="0"/>
    <n v="232166.9"/>
    <x v="0"/>
    <x v="0"/>
    <x v="0"/>
  </r>
  <r>
    <n v="78140"/>
    <x v="14"/>
    <x v="4"/>
    <n v="129"/>
    <n v="100"/>
    <n v="84.06"/>
    <x v="2"/>
    <d v="2024-02-29T00:00:00"/>
    <d v="2024-03-10T00:00:00"/>
    <x v="0"/>
    <x v="0"/>
    <n v="10843.74"/>
    <x v="0"/>
    <x v="1"/>
    <x v="0"/>
  </r>
  <r>
    <n v="37467"/>
    <x v="13"/>
    <x v="3"/>
    <n v="443"/>
    <n v="100"/>
    <n v="264.48"/>
    <x v="3"/>
    <d v="2024-08-14T00:00:00"/>
    <d v="2024-09-10T00:00:00"/>
    <x v="0"/>
    <x v="0"/>
    <n v="117164.64000000001"/>
    <x v="0"/>
    <x v="0"/>
    <x v="0"/>
  </r>
  <r>
    <n v="46036"/>
    <x v="5"/>
    <x v="2"/>
    <n v="148"/>
    <n v="150"/>
    <n v="132.62"/>
    <x v="0"/>
    <d v="2024-05-12T00:00:00"/>
    <d v="2024-05-31T00:00:00"/>
    <x v="0"/>
    <x v="1"/>
    <n v="19627.760000000002"/>
    <x v="6"/>
    <x v="1"/>
    <x v="1"/>
  </r>
  <r>
    <n v="69807"/>
    <x v="4"/>
    <x v="0"/>
    <n v="375"/>
    <n v="20"/>
    <n v="105.83"/>
    <x v="3"/>
    <d v="2024-12-07T00:00:00"/>
    <d v="2025-01-11T00:00:00"/>
    <x v="2"/>
    <x v="0"/>
    <n v="39686.25"/>
    <x v="0"/>
    <x v="0"/>
    <x v="0"/>
  </r>
  <r>
    <n v="97782"/>
    <x v="10"/>
    <x v="2"/>
    <n v="494"/>
    <n v="40"/>
    <n v="435.42"/>
    <x v="3"/>
    <d v="2024-10-24T00:00:00"/>
    <d v="2024-11-04T00:00:00"/>
    <x v="2"/>
    <x v="0"/>
    <n v="215097.48"/>
    <x v="0"/>
    <x v="0"/>
    <x v="0"/>
  </r>
  <r>
    <n v="99898"/>
    <x v="10"/>
    <x v="2"/>
    <n v="174"/>
    <n v="100"/>
    <n v="281.14999999999998"/>
    <x v="2"/>
    <d v="2024-02-29T00:00:00"/>
    <d v="2024-03-12T00:00:00"/>
    <x v="1"/>
    <x v="0"/>
    <n v="48920.1"/>
    <x v="0"/>
    <x v="1"/>
    <x v="0"/>
  </r>
  <r>
    <n v="62073"/>
    <x v="6"/>
    <x v="3"/>
    <n v="239"/>
    <n v="20"/>
    <n v="237.85"/>
    <x v="3"/>
    <d v="2024-05-20T00:00:00"/>
    <d v="2024-05-28T00:00:00"/>
    <x v="0"/>
    <x v="0"/>
    <n v="56846.15"/>
    <x v="0"/>
    <x v="0"/>
    <x v="0"/>
  </r>
  <r>
    <n v="90468"/>
    <x v="1"/>
    <x v="0"/>
    <n v="316"/>
    <n v="20"/>
    <n v="161.34"/>
    <x v="1"/>
    <d v="2024-12-10T00:00:00"/>
    <d v="2024-12-19T00:00:00"/>
    <x v="0"/>
    <x v="0"/>
    <n v="50983.44"/>
    <x v="0"/>
    <x v="0"/>
    <x v="0"/>
  </r>
  <r>
    <n v="56760"/>
    <x v="4"/>
    <x v="0"/>
    <n v="249"/>
    <n v="80"/>
    <n v="126.48"/>
    <x v="4"/>
    <d v="2024-10-27T00:00:00"/>
    <d v="2024-11-17T00:00:00"/>
    <x v="0"/>
    <x v="0"/>
    <n v="31493.52"/>
    <x v="0"/>
    <x v="0"/>
    <x v="0"/>
  </r>
  <r>
    <n v="34610"/>
    <x v="5"/>
    <x v="2"/>
    <n v="100"/>
    <n v="150"/>
    <n v="156.19"/>
    <x v="4"/>
    <d v="2024-11-24T00:00:00"/>
    <d v="2024-12-09T00:00:00"/>
    <x v="0"/>
    <x v="1"/>
    <n v="15619"/>
    <x v="77"/>
    <x v="1"/>
    <x v="1"/>
  </r>
  <r>
    <n v="35380"/>
    <x v="1"/>
    <x v="0"/>
    <n v="206"/>
    <n v="80"/>
    <n v="39.47"/>
    <x v="2"/>
    <d v="2024-11-01T00:00:00"/>
    <d v="2024-11-29T00:00:00"/>
    <x v="1"/>
    <x v="0"/>
    <n v="8130.82"/>
    <x v="0"/>
    <x v="1"/>
    <x v="0"/>
  </r>
  <r>
    <n v="59108"/>
    <x v="10"/>
    <x v="2"/>
    <n v="442"/>
    <n v="150"/>
    <n v="392.34"/>
    <x v="1"/>
    <d v="2024-11-18T00:00:00"/>
    <d v="2024-11-24T00:00:00"/>
    <x v="2"/>
    <x v="0"/>
    <n v="173414.28"/>
    <x v="0"/>
    <x v="1"/>
    <x v="0"/>
  </r>
  <r>
    <n v="70548"/>
    <x v="5"/>
    <x v="2"/>
    <n v="155"/>
    <n v="80"/>
    <n v="228.44"/>
    <x v="3"/>
    <d v="2024-10-10T00:00:00"/>
    <d v="2024-11-09T00:00:00"/>
    <x v="2"/>
    <x v="0"/>
    <n v="35408.199999999997"/>
    <x v="0"/>
    <x v="1"/>
    <x v="0"/>
  </r>
  <r>
    <n v="81739"/>
    <x v="6"/>
    <x v="3"/>
    <n v="424"/>
    <n v="50"/>
    <n v="79.569999999999993"/>
    <x v="3"/>
    <d v="2024-12-05T00:00:00"/>
    <d v="2025-01-05T00:00:00"/>
    <x v="1"/>
    <x v="0"/>
    <n v="33737.68"/>
    <x v="0"/>
    <x v="0"/>
    <x v="0"/>
  </r>
  <r>
    <n v="66257"/>
    <x v="15"/>
    <x v="4"/>
    <n v="125"/>
    <n v="40"/>
    <n v="245.7"/>
    <x v="0"/>
    <d v="2024-10-09T00:00:00"/>
    <d v="2024-10-26T00:00:00"/>
    <x v="1"/>
    <x v="0"/>
    <n v="30712.5"/>
    <x v="0"/>
    <x v="0"/>
    <x v="0"/>
  </r>
  <r>
    <n v="89029"/>
    <x v="10"/>
    <x v="2"/>
    <n v="318"/>
    <n v="100"/>
    <n v="136.78"/>
    <x v="2"/>
    <d v="2024-08-14T00:00:00"/>
    <d v="2024-08-21T00:00:00"/>
    <x v="1"/>
    <x v="0"/>
    <n v="43496.04"/>
    <x v="0"/>
    <x v="0"/>
    <x v="0"/>
  </r>
  <r>
    <n v="51849"/>
    <x v="6"/>
    <x v="3"/>
    <n v="202"/>
    <n v="30"/>
    <n v="309.56"/>
    <x v="0"/>
    <d v="2024-09-23T00:00:00"/>
    <d v="2024-10-03T00:00:00"/>
    <x v="2"/>
    <x v="0"/>
    <n v="62531.12"/>
    <x v="0"/>
    <x v="0"/>
    <x v="0"/>
  </r>
  <r>
    <n v="85772"/>
    <x v="4"/>
    <x v="0"/>
    <n v="462"/>
    <n v="40"/>
    <n v="289.54000000000002"/>
    <x v="3"/>
    <d v="2024-02-03T00:00:00"/>
    <d v="2024-03-08T00:00:00"/>
    <x v="1"/>
    <x v="0"/>
    <n v="133767.48000000001"/>
    <x v="0"/>
    <x v="0"/>
    <x v="0"/>
  </r>
  <r>
    <n v="88132"/>
    <x v="3"/>
    <x v="2"/>
    <n v="110"/>
    <n v="20"/>
    <n v="353"/>
    <x v="2"/>
    <d v="2024-11-04T00:00:00"/>
    <d v="2024-11-15T00:00:00"/>
    <x v="0"/>
    <x v="0"/>
    <n v="38830"/>
    <x v="0"/>
    <x v="0"/>
    <x v="0"/>
  </r>
  <r>
    <n v="67781"/>
    <x v="3"/>
    <x v="2"/>
    <n v="321"/>
    <n v="30"/>
    <n v="351.56"/>
    <x v="3"/>
    <d v="2024-08-03T00:00:00"/>
    <d v="2024-08-16T00:00:00"/>
    <x v="2"/>
    <x v="0"/>
    <n v="112850.76"/>
    <x v="0"/>
    <x v="0"/>
    <x v="0"/>
  </r>
  <r>
    <n v="63492"/>
    <x v="12"/>
    <x v="0"/>
    <n v="270"/>
    <n v="150"/>
    <n v="194.34"/>
    <x v="4"/>
    <d v="2024-04-30T00:00:00"/>
    <d v="2024-05-27T00:00:00"/>
    <x v="2"/>
    <x v="0"/>
    <n v="52471.8"/>
    <x v="0"/>
    <x v="1"/>
    <x v="0"/>
  </r>
  <r>
    <n v="58481"/>
    <x v="4"/>
    <x v="0"/>
    <n v="136"/>
    <n v="30"/>
    <n v="432.77"/>
    <x v="1"/>
    <d v="2024-05-24T00:00:00"/>
    <d v="2024-06-05T00:00:00"/>
    <x v="0"/>
    <x v="0"/>
    <n v="58856.72"/>
    <x v="0"/>
    <x v="0"/>
    <x v="0"/>
  </r>
  <r>
    <n v="75015"/>
    <x v="0"/>
    <x v="0"/>
    <n v="445"/>
    <n v="50"/>
    <n v="364.15"/>
    <x v="4"/>
    <d v="2024-02-21T00:00:00"/>
    <d v="2024-02-27T00:00:00"/>
    <x v="2"/>
    <x v="0"/>
    <n v="162046.75"/>
    <x v="0"/>
    <x v="0"/>
    <x v="0"/>
  </r>
  <r>
    <n v="21358"/>
    <x v="0"/>
    <x v="0"/>
    <n v="179"/>
    <n v="150"/>
    <n v="261.8"/>
    <x v="0"/>
    <d v="2024-04-30T00:00:00"/>
    <d v="2024-06-07T00:00:00"/>
    <x v="1"/>
    <x v="0"/>
    <n v="46862.200000000004"/>
    <x v="0"/>
    <x v="1"/>
    <x v="0"/>
  </r>
  <r>
    <n v="98104"/>
    <x v="13"/>
    <x v="3"/>
    <n v="204"/>
    <n v="40"/>
    <n v="387.15"/>
    <x v="0"/>
    <d v="2024-09-12T00:00:00"/>
    <d v="2024-10-07T00:00:00"/>
    <x v="2"/>
    <x v="0"/>
    <n v="78978.599999999991"/>
    <x v="0"/>
    <x v="0"/>
    <x v="0"/>
  </r>
  <r>
    <n v="61275"/>
    <x v="7"/>
    <x v="3"/>
    <n v="194"/>
    <n v="150"/>
    <n v="85.28"/>
    <x v="0"/>
    <d v="2024-03-13T00:00:00"/>
    <d v="2024-03-24T00:00:00"/>
    <x v="1"/>
    <x v="0"/>
    <n v="16544.32"/>
    <x v="0"/>
    <x v="1"/>
    <x v="0"/>
  </r>
  <r>
    <n v="46716"/>
    <x v="14"/>
    <x v="4"/>
    <n v="362"/>
    <n v="20"/>
    <n v="432.25"/>
    <x v="0"/>
    <d v="2024-06-10T00:00:00"/>
    <d v="2024-06-27T00:00:00"/>
    <x v="0"/>
    <x v="0"/>
    <n v="156474.5"/>
    <x v="0"/>
    <x v="0"/>
    <x v="0"/>
  </r>
  <r>
    <n v="70615"/>
    <x v="3"/>
    <x v="2"/>
    <n v="0"/>
    <n v="150"/>
    <n v="380.97"/>
    <x v="1"/>
    <d v="2024-05-02T00:00:00"/>
    <d v="2024-06-07T00:00:00"/>
    <x v="2"/>
    <x v="1"/>
    <n v="0"/>
    <x v="67"/>
    <x v="1"/>
    <x v="1"/>
  </r>
  <r>
    <n v="35658"/>
    <x v="7"/>
    <x v="3"/>
    <n v="318"/>
    <n v="30"/>
    <n v="179.28"/>
    <x v="2"/>
    <d v="2024-02-10T00:00:00"/>
    <d v="2024-02-17T00:00:00"/>
    <x v="1"/>
    <x v="0"/>
    <n v="57011.040000000001"/>
    <x v="0"/>
    <x v="0"/>
    <x v="0"/>
  </r>
  <r>
    <n v="40367"/>
    <x v="11"/>
    <x v="4"/>
    <n v="238"/>
    <n v="50"/>
    <n v="426.3"/>
    <x v="3"/>
    <d v="2024-11-27T00:00:00"/>
    <d v="2024-12-09T00:00:00"/>
    <x v="0"/>
    <x v="0"/>
    <n v="101459.40000000001"/>
    <x v="0"/>
    <x v="0"/>
    <x v="0"/>
  </r>
  <r>
    <n v="44902"/>
    <x v="13"/>
    <x v="3"/>
    <n v="205"/>
    <n v="80"/>
    <n v="331.32"/>
    <x v="2"/>
    <d v="2024-12-11T00:00:00"/>
    <d v="2025-01-08T00:00:00"/>
    <x v="2"/>
    <x v="0"/>
    <n v="67920.600000000006"/>
    <x v="0"/>
    <x v="1"/>
    <x v="0"/>
  </r>
  <r>
    <n v="86518"/>
    <x v="11"/>
    <x v="4"/>
    <n v="273"/>
    <n v="80"/>
    <n v="10.31"/>
    <x v="1"/>
    <d v="2024-03-18T00:00:00"/>
    <d v="2024-03-26T00:00:00"/>
    <x v="0"/>
    <x v="0"/>
    <n v="2814.63"/>
    <x v="0"/>
    <x v="0"/>
    <x v="0"/>
  </r>
  <r>
    <n v="31775"/>
    <x v="8"/>
    <x v="1"/>
    <n v="454"/>
    <n v="40"/>
    <n v="251.97"/>
    <x v="1"/>
    <d v="2024-03-27T00:00:00"/>
    <d v="2024-04-11T00:00:00"/>
    <x v="2"/>
    <x v="0"/>
    <n v="114394.38"/>
    <x v="0"/>
    <x v="0"/>
    <x v="0"/>
  </r>
  <r>
    <n v="14521"/>
    <x v="4"/>
    <x v="0"/>
    <n v="138"/>
    <n v="80"/>
    <n v="299.39"/>
    <x v="3"/>
    <d v="2024-08-20T00:00:00"/>
    <d v="2024-09-09T00:00:00"/>
    <x v="1"/>
    <x v="0"/>
    <n v="41315.82"/>
    <x v="0"/>
    <x v="1"/>
    <x v="0"/>
  </r>
  <r>
    <n v="76684"/>
    <x v="2"/>
    <x v="1"/>
    <n v="328"/>
    <n v="80"/>
    <n v="396.72"/>
    <x v="0"/>
    <d v="2024-09-08T00:00:00"/>
    <d v="2024-10-10T00:00:00"/>
    <x v="2"/>
    <x v="0"/>
    <n v="130124.16"/>
    <x v="0"/>
    <x v="0"/>
    <x v="0"/>
  </r>
  <r>
    <n v="69516"/>
    <x v="13"/>
    <x v="3"/>
    <n v="34"/>
    <n v="80"/>
    <n v="254.95"/>
    <x v="0"/>
    <d v="2024-05-18T00:00:00"/>
    <d v="2024-06-03T00:00:00"/>
    <x v="1"/>
    <x v="1"/>
    <n v="8668.2999999999993"/>
    <x v="4"/>
    <x v="1"/>
    <x v="1"/>
  </r>
  <r>
    <n v="23554"/>
    <x v="7"/>
    <x v="3"/>
    <n v="205"/>
    <n v="50"/>
    <n v="251.75"/>
    <x v="4"/>
    <d v="2024-09-10T00:00:00"/>
    <d v="2024-09-22T00:00:00"/>
    <x v="0"/>
    <x v="0"/>
    <n v="51608.75"/>
    <x v="0"/>
    <x v="0"/>
    <x v="0"/>
  </r>
  <r>
    <n v="55562"/>
    <x v="7"/>
    <x v="3"/>
    <n v="224"/>
    <n v="80"/>
    <n v="276.62"/>
    <x v="0"/>
    <d v="2024-05-01T00:00:00"/>
    <d v="2024-05-31T00:00:00"/>
    <x v="1"/>
    <x v="0"/>
    <n v="61962.880000000005"/>
    <x v="0"/>
    <x v="1"/>
    <x v="0"/>
  </r>
  <r>
    <n v="28340"/>
    <x v="13"/>
    <x v="3"/>
    <n v="338"/>
    <n v="30"/>
    <n v="305.10000000000002"/>
    <x v="4"/>
    <d v="2024-06-05T00:00:00"/>
    <d v="2024-06-28T00:00:00"/>
    <x v="2"/>
    <x v="0"/>
    <n v="103123.8"/>
    <x v="0"/>
    <x v="0"/>
    <x v="0"/>
  </r>
  <r>
    <n v="35530"/>
    <x v="9"/>
    <x v="1"/>
    <n v="430"/>
    <n v="20"/>
    <n v="159.53"/>
    <x v="3"/>
    <d v="2024-07-13T00:00:00"/>
    <d v="2024-07-30T00:00:00"/>
    <x v="0"/>
    <x v="0"/>
    <n v="68597.899999999994"/>
    <x v="0"/>
    <x v="0"/>
    <x v="0"/>
  </r>
  <r>
    <n v="81828"/>
    <x v="5"/>
    <x v="2"/>
    <n v="455"/>
    <n v="100"/>
    <n v="375.92"/>
    <x v="1"/>
    <d v="2024-10-14T00:00:00"/>
    <d v="2024-11-22T00:00:00"/>
    <x v="2"/>
    <x v="0"/>
    <n v="171043.6"/>
    <x v="0"/>
    <x v="0"/>
    <x v="0"/>
  </r>
  <r>
    <n v="84349"/>
    <x v="9"/>
    <x v="1"/>
    <n v="364"/>
    <n v="40"/>
    <n v="57.13"/>
    <x v="4"/>
    <d v="2024-03-08T00:00:00"/>
    <d v="2024-04-07T00:00:00"/>
    <x v="0"/>
    <x v="0"/>
    <n v="20795.32"/>
    <x v="0"/>
    <x v="0"/>
    <x v="0"/>
  </r>
  <r>
    <n v="55567"/>
    <x v="15"/>
    <x v="4"/>
    <n v="449"/>
    <n v="30"/>
    <n v="308.38"/>
    <x v="1"/>
    <d v="2024-10-22T00:00:00"/>
    <d v="2024-11-03T00:00:00"/>
    <x v="0"/>
    <x v="0"/>
    <n v="138462.62"/>
    <x v="0"/>
    <x v="0"/>
    <x v="0"/>
  </r>
  <r>
    <n v="61996"/>
    <x v="2"/>
    <x v="1"/>
    <n v="131"/>
    <n v="40"/>
    <n v="160.86000000000001"/>
    <x v="4"/>
    <d v="2024-02-22T00:00:00"/>
    <d v="2024-03-17T00:00:00"/>
    <x v="1"/>
    <x v="0"/>
    <n v="21072.660000000003"/>
    <x v="0"/>
    <x v="0"/>
    <x v="0"/>
  </r>
  <r>
    <n v="63913"/>
    <x v="9"/>
    <x v="1"/>
    <n v="204"/>
    <n v="80"/>
    <n v="205.13"/>
    <x v="4"/>
    <d v="2024-11-27T00:00:00"/>
    <d v="2024-12-17T00:00:00"/>
    <x v="0"/>
    <x v="0"/>
    <n v="41846.519999999997"/>
    <x v="0"/>
    <x v="1"/>
    <x v="0"/>
  </r>
  <r>
    <n v="69919"/>
    <x v="16"/>
    <x v="3"/>
    <n v="350"/>
    <n v="100"/>
    <n v="83.55"/>
    <x v="0"/>
    <d v="2024-01-18T00:00:00"/>
    <d v="2024-02-22T00:00:00"/>
    <x v="0"/>
    <x v="0"/>
    <n v="29242.5"/>
    <x v="0"/>
    <x v="0"/>
    <x v="0"/>
  </r>
  <r>
    <n v="80063"/>
    <x v="4"/>
    <x v="0"/>
    <n v="315"/>
    <n v="80"/>
    <n v="451.64"/>
    <x v="2"/>
    <d v="2024-11-15T00:00:00"/>
    <d v="2024-12-03T00:00:00"/>
    <x v="2"/>
    <x v="0"/>
    <n v="142266.6"/>
    <x v="0"/>
    <x v="0"/>
    <x v="0"/>
  </r>
  <r>
    <n v="53239"/>
    <x v="11"/>
    <x v="4"/>
    <n v="451"/>
    <n v="50"/>
    <n v="127.65"/>
    <x v="2"/>
    <d v="2024-07-31T00:00:00"/>
    <d v="2024-09-06T00:00:00"/>
    <x v="1"/>
    <x v="0"/>
    <n v="57570.15"/>
    <x v="0"/>
    <x v="0"/>
    <x v="0"/>
  </r>
  <r>
    <n v="49028"/>
    <x v="16"/>
    <x v="3"/>
    <n v="121"/>
    <n v="30"/>
    <n v="107.39"/>
    <x v="1"/>
    <d v="2024-03-30T00:00:00"/>
    <d v="2024-04-06T00:00:00"/>
    <x v="2"/>
    <x v="0"/>
    <n v="12994.19"/>
    <x v="0"/>
    <x v="0"/>
    <x v="0"/>
  </r>
  <r>
    <n v="90389"/>
    <x v="12"/>
    <x v="0"/>
    <n v="477"/>
    <n v="30"/>
    <n v="444.36"/>
    <x v="1"/>
    <d v="2024-03-22T00:00:00"/>
    <d v="2024-04-15T00:00:00"/>
    <x v="0"/>
    <x v="0"/>
    <n v="211959.72"/>
    <x v="0"/>
    <x v="0"/>
    <x v="0"/>
  </r>
  <r>
    <n v="86105"/>
    <x v="14"/>
    <x v="4"/>
    <n v="40"/>
    <n v="20"/>
    <n v="420.86"/>
    <x v="0"/>
    <d v="2024-06-19T00:00:00"/>
    <d v="2024-07-12T00:00:00"/>
    <x v="0"/>
    <x v="0"/>
    <n v="16834.400000000001"/>
    <x v="0"/>
    <x v="1"/>
    <x v="0"/>
  </r>
  <r>
    <n v="14174"/>
    <x v="8"/>
    <x v="1"/>
    <n v="270"/>
    <n v="100"/>
    <n v="82.23"/>
    <x v="2"/>
    <d v="2024-09-06T00:00:00"/>
    <d v="2024-09-16T00:00:00"/>
    <x v="2"/>
    <x v="0"/>
    <n v="22202.100000000002"/>
    <x v="0"/>
    <x v="1"/>
    <x v="0"/>
  </r>
  <r>
    <n v="41276"/>
    <x v="10"/>
    <x v="2"/>
    <n v="156"/>
    <n v="80"/>
    <n v="144.41999999999999"/>
    <x v="3"/>
    <d v="2024-11-17T00:00:00"/>
    <d v="2024-12-26T00:00:00"/>
    <x v="2"/>
    <x v="0"/>
    <n v="22529.519999999997"/>
    <x v="0"/>
    <x v="1"/>
    <x v="0"/>
  </r>
  <r>
    <n v="56312"/>
    <x v="5"/>
    <x v="2"/>
    <n v="228"/>
    <n v="30"/>
    <n v="59.26"/>
    <x v="4"/>
    <d v="2024-09-29T00:00:00"/>
    <d v="2024-10-06T00:00:00"/>
    <x v="1"/>
    <x v="0"/>
    <n v="13511.279999999999"/>
    <x v="0"/>
    <x v="0"/>
    <x v="0"/>
  </r>
  <r>
    <n v="12631"/>
    <x v="14"/>
    <x v="4"/>
    <n v="488"/>
    <n v="100"/>
    <n v="218.76"/>
    <x v="1"/>
    <d v="2024-08-09T00:00:00"/>
    <d v="2024-09-11T00:00:00"/>
    <x v="0"/>
    <x v="0"/>
    <n v="106754.87999999999"/>
    <x v="0"/>
    <x v="0"/>
    <x v="0"/>
  </r>
  <r>
    <n v="15599"/>
    <x v="10"/>
    <x v="2"/>
    <n v="156"/>
    <n v="80"/>
    <n v="486.45"/>
    <x v="4"/>
    <d v="2024-08-30T00:00:00"/>
    <d v="2024-10-07T00:00:00"/>
    <x v="2"/>
    <x v="0"/>
    <n v="75886.2"/>
    <x v="0"/>
    <x v="1"/>
    <x v="0"/>
  </r>
  <r>
    <n v="99084"/>
    <x v="6"/>
    <x v="3"/>
    <n v="442"/>
    <n v="20"/>
    <n v="367.73"/>
    <x v="3"/>
    <d v="2024-10-20T00:00:00"/>
    <d v="2024-10-25T00:00:00"/>
    <x v="1"/>
    <x v="0"/>
    <n v="162536.66"/>
    <x v="0"/>
    <x v="0"/>
    <x v="0"/>
  </r>
  <r>
    <n v="10767"/>
    <x v="0"/>
    <x v="0"/>
    <n v="360"/>
    <n v="80"/>
    <n v="273.69"/>
    <x v="4"/>
    <d v="2024-08-02T00:00:00"/>
    <d v="2024-09-06T00:00:00"/>
    <x v="0"/>
    <x v="0"/>
    <n v="98528.4"/>
    <x v="0"/>
    <x v="0"/>
    <x v="0"/>
  </r>
  <r>
    <n v="10744"/>
    <x v="6"/>
    <x v="3"/>
    <n v="185"/>
    <n v="30"/>
    <n v="79.14"/>
    <x v="2"/>
    <d v="2024-10-02T00:00:00"/>
    <d v="2024-10-19T00:00:00"/>
    <x v="0"/>
    <x v="0"/>
    <n v="14640.9"/>
    <x v="0"/>
    <x v="0"/>
    <x v="0"/>
  </r>
  <r>
    <n v="32319"/>
    <x v="5"/>
    <x v="2"/>
    <n v="65"/>
    <n v="100"/>
    <n v="300.2"/>
    <x v="2"/>
    <d v="2024-10-13T00:00:00"/>
    <d v="2024-10-21T00:00:00"/>
    <x v="2"/>
    <x v="1"/>
    <n v="19513"/>
    <x v="40"/>
    <x v="1"/>
    <x v="1"/>
  </r>
  <r>
    <n v="48474"/>
    <x v="2"/>
    <x v="1"/>
    <n v="332"/>
    <n v="80"/>
    <n v="261.58999999999997"/>
    <x v="1"/>
    <d v="2024-11-20T00:00:00"/>
    <d v="2024-12-08T00:00:00"/>
    <x v="0"/>
    <x v="0"/>
    <n v="86847.87999999999"/>
    <x v="0"/>
    <x v="0"/>
    <x v="0"/>
  </r>
  <r>
    <n v="29189"/>
    <x v="15"/>
    <x v="4"/>
    <n v="237"/>
    <n v="20"/>
    <n v="200.05"/>
    <x v="3"/>
    <d v="2024-11-17T00:00:00"/>
    <d v="2024-12-18T00:00:00"/>
    <x v="1"/>
    <x v="0"/>
    <n v="47411.850000000006"/>
    <x v="0"/>
    <x v="0"/>
    <x v="0"/>
  </r>
  <r>
    <n v="61544"/>
    <x v="0"/>
    <x v="0"/>
    <n v="205"/>
    <n v="40"/>
    <n v="114.03"/>
    <x v="1"/>
    <d v="2024-07-13T00:00:00"/>
    <d v="2024-07-30T00:00:00"/>
    <x v="0"/>
    <x v="0"/>
    <n v="23376.15"/>
    <x v="0"/>
    <x v="0"/>
    <x v="0"/>
  </r>
  <r>
    <n v="45016"/>
    <x v="6"/>
    <x v="3"/>
    <n v="452"/>
    <n v="30"/>
    <n v="251.32"/>
    <x v="4"/>
    <d v="2024-06-05T00:00:00"/>
    <d v="2024-06-13T00:00:00"/>
    <x v="1"/>
    <x v="0"/>
    <n v="113596.64"/>
    <x v="0"/>
    <x v="0"/>
    <x v="0"/>
  </r>
  <r>
    <n v="41052"/>
    <x v="11"/>
    <x v="4"/>
    <n v="195"/>
    <n v="80"/>
    <n v="375.36"/>
    <x v="1"/>
    <d v="2024-12-25T00:00:00"/>
    <d v="2025-01-30T00:00:00"/>
    <x v="1"/>
    <x v="0"/>
    <n v="73195.199999999997"/>
    <x v="0"/>
    <x v="1"/>
    <x v="0"/>
  </r>
  <r>
    <n v="13763"/>
    <x v="6"/>
    <x v="3"/>
    <n v="411"/>
    <n v="100"/>
    <n v="27.32"/>
    <x v="3"/>
    <d v="2024-03-28T00:00:00"/>
    <d v="2024-04-18T00:00:00"/>
    <x v="0"/>
    <x v="0"/>
    <n v="11228.52"/>
    <x v="0"/>
    <x v="0"/>
    <x v="0"/>
  </r>
  <r>
    <n v="86323"/>
    <x v="0"/>
    <x v="0"/>
    <n v="437"/>
    <n v="150"/>
    <n v="334.27"/>
    <x v="1"/>
    <d v="2024-01-22T00:00:00"/>
    <d v="2024-01-31T00:00:00"/>
    <x v="0"/>
    <x v="0"/>
    <n v="146075.99"/>
    <x v="0"/>
    <x v="1"/>
    <x v="0"/>
  </r>
  <r>
    <n v="27678"/>
    <x v="9"/>
    <x v="1"/>
    <n v="175"/>
    <n v="100"/>
    <n v="336.53"/>
    <x v="1"/>
    <d v="2024-09-02T00:00:00"/>
    <d v="2024-10-11T00:00:00"/>
    <x v="2"/>
    <x v="0"/>
    <n v="58892.749999999993"/>
    <x v="0"/>
    <x v="1"/>
    <x v="0"/>
  </r>
  <r>
    <n v="61556"/>
    <x v="16"/>
    <x v="3"/>
    <n v="35"/>
    <n v="40"/>
    <n v="445.51"/>
    <x v="0"/>
    <d v="2024-10-08T00:00:00"/>
    <d v="2024-11-02T00:00:00"/>
    <x v="0"/>
    <x v="1"/>
    <n v="15592.85"/>
    <x v="18"/>
    <x v="1"/>
    <x v="1"/>
  </r>
  <r>
    <n v="81678"/>
    <x v="16"/>
    <x v="3"/>
    <n v="272"/>
    <n v="20"/>
    <n v="60.75"/>
    <x v="2"/>
    <d v="2024-01-24T00:00:00"/>
    <d v="2024-03-01T00:00:00"/>
    <x v="0"/>
    <x v="0"/>
    <n v="16524"/>
    <x v="0"/>
    <x v="0"/>
    <x v="0"/>
  </r>
  <r>
    <n v="79963"/>
    <x v="15"/>
    <x v="4"/>
    <n v="122"/>
    <n v="100"/>
    <n v="382.16"/>
    <x v="4"/>
    <d v="2024-06-17T00:00:00"/>
    <d v="2024-07-14T00:00:00"/>
    <x v="0"/>
    <x v="0"/>
    <n v="46623.520000000004"/>
    <x v="0"/>
    <x v="1"/>
    <x v="0"/>
  </r>
  <r>
    <n v="37146"/>
    <x v="7"/>
    <x v="3"/>
    <n v="336"/>
    <n v="100"/>
    <n v="103.27"/>
    <x v="2"/>
    <d v="2024-09-20T00:00:00"/>
    <d v="2024-10-12T00:00:00"/>
    <x v="1"/>
    <x v="0"/>
    <n v="34698.720000000001"/>
    <x v="0"/>
    <x v="0"/>
    <x v="0"/>
  </r>
  <r>
    <n v="34783"/>
    <x v="11"/>
    <x v="4"/>
    <n v="238"/>
    <n v="100"/>
    <n v="28.71"/>
    <x v="2"/>
    <d v="2024-03-27T00:00:00"/>
    <d v="2024-04-28T00:00:00"/>
    <x v="2"/>
    <x v="0"/>
    <n v="6832.9800000000005"/>
    <x v="0"/>
    <x v="1"/>
    <x v="0"/>
  </r>
  <r>
    <n v="23796"/>
    <x v="6"/>
    <x v="3"/>
    <n v="151"/>
    <n v="50"/>
    <n v="365.96"/>
    <x v="0"/>
    <d v="2024-06-09T00:00:00"/>
    <d v="2024-06-15T00:00:00"/>
    <x v="1"/>
    <x v="0"/>
    <n v="55259.96"/>
    <x v="0"/>
    <x v="0"/>
    <x v="0"/>
  </r>
  <r>
    <n v="24743"/>
    <x v="9"/>
    <x v="1"/>
    <n v="283"/>
    <n v="30"/>
    <n v="246.95"/>
    <x v="2"/>
    <d v="2024-06-04T00:00:00"/>
    <d v="2024-06-17T00:00:00"/>
    <x v="0"/>
    <x v="0"/>
    <n v="69886.849999999991"/>
    <x v="0"/>
    <x v="0"/>
    <x v="0"/>
  </r>
  <r>
    <n v="99403"/>
    <x v="9"/>
    <x v="1"/>
    <n v="303"/>
    <n v="100"/>
    <n v="256.25"/>
    <x v="4"/>
    <d v="2024-02-08T00:00:00"/>
    <d v="2024-03-08T00:00:00"/>
    <x v="2"/>
    <x v="0"/>
    <n v="77643.75"/>
    <x v="0"/>
    <x v="0"/>
    <x v="0"/>
  </r>
  <r>
    <n v="43390"/>
    <x v="15"/>
    <x v="4"/>
    <n v="481"/>
    <n v="80"/>
    <n v="124.17"/>
    <x v="3"/>
    <d v="2024-09-09T00:00:00"/>
    <d v="2024-10-10T00:00:00"/>
    <x v="2"/>
    <x v="0"/>
    <n v="59725.770000000004"/>
    <x v="0"/>
    <x v="0"/>
    <x v="0"/>
  </r>
  <r>
    <n v="96224"/>
    <x v="0"/>
    <x v="0"/>
    <n v="488"/>
    <n v="40"/>
    <n v="93.17"/>
    <x v="4"/>
    <d v="2024-10-05T00:00:00"/>
    <d v="2024-10-16T00:00:00"/>
    <x v="1"/>
    <x v="0"/>
    <n v="45466.96"/>
    <x v="0"/>
    <x v="0"/>
    <x v="0"/>
  </r>
  <r>
    <n v="99362"/>
    <x v="13"/>
    <x v="3"/>
    <n v="350"/>
    <n v="100"/>
    <n v="327.74"/>
    <x v="4"/>
    <d v="2024-08-14T00:00:00"/>
    <d v="2024-09-04T00:00:00"/>
    <x v="1"/>
    <x v="0"/>
    <n v="114709"/>
    <x v="0"/>
    <x v="0"/>
    <x v="0"/>
  </r>
  <r>
    <n v="95953"/>
    <x v="7"/>
    <x v="3"/>
    <n v="183"/>
    <n v="20"/>
    <n v="40.369999999999997"/>
    <x v="2"/>
    <d v="2024-09-05T00:00:00"/>
    <d v="2024-10-13T00:00:00"/>
    <x v="1"/>
    <x v="0"/>
    <n v="7387.7099999999991"/>
    <x v="0"/>
    <x v="0"/>
    <x v="0"/>
  </r>
  <r>
    <n v="47879"/>
    <x v="5"/>
    <x v="2"/>
    <n v="260"/>
    <n v="150"/>
    <n v="293.93"/>
    <x v="1"/>
    <d v="2024-11-27T00:00:00"/>
    <d v="2024-12-13T00:00:00"/>
    <x v="2"/>
    <x v="0"/>
    <n v="76421.8"/>
    <x v="0"/>
    <x v="1"/>
    <x v="0"/>
  </r>
  <r>
    <n v="55114"/>
    <x v="2"/>
    <x v="1"/>
    <n v="463"/>
    <n v="50"/>
    <n v="448.26"/>
    <x v="1"/>
    <d v="2024-09-26T00:00:00"/>
    <d v="2024-10-04T00:00:00"/>
    <x v="1"/>
    <x v="0"/>
    <n v="207544.38"/>
    <x v="0"/>
    <x v="0"/>
    <x v="0"/>
  </r>
  <r>
    <n v="70633"/>
    <x v="15"/>
    <x v="4"/>
    <n v="486"/>
    <n v="30"/>
    <n v="42.32"/>
    <x v="2"/>
    <d v="2024-06-02T00:00:00"/>
    <d v="2024-06-10T00:00:00"/>
    <x v="2"/>
    <x v="0"/>
    <n v="20567.52"/>
    <x v="0"/>
    <x v="0"/>
    <x v="0"/>
  </r>
  <r>
    <n v="37172"/>
    <x v="14"/>
    <x v="4"/>
    <n v="406"/>
    <n v="150"/>
    <n v="351.59"/>
    <x v="3"/>
    <d v="2024-04-12T00:00:00"/>
    <d v="2024-05-11T00:00:00"/>
    <x v="0"/>
    <x v="0"/>
    <n v="142745.53999999998"/>
    <x v="0"/>
    <x v="1"/>
    <x v="0"/>
  </r>
  <r>
    <n v="94295"/>
    <x v="6"/>
    <x v="3"/>
    <n v="155"/>
    <n v="40"/>
    <n v="180.83"/>
    <x v="0"/>
    <d v="2024-02-16T00:00:00"/>
    <d v="2024-02-23T00:00:00"/>
    <x v="0"/>
    <x v="0"/>
    <n v="28028.65"/>
    <x v="0"/>
    <x v="0"/>
    <x v="0"/>
  </r>
  <r>
    <n v="87336"/>
    <x v="14"/>
    <x v="4"/>
    <n v="179"/>
    <n v="50"/>
    <n v="318.64999999999998"/>
    <x v="3"/>
    <d v="2024-10-28T00:00:00"/>
    <d v="2024-11-26T00:00:00"/>
    <x v="1"/>
    <x v="0"/>
    <n v="57038.35"/>
    <x v="0"/>
    <x v="0"/>
    <x v="0"/>
  </r>
  <r>
    <n v="12332"/>
    <x v="6"/>
    <x v="3"/>
    <n v="105"/>
    <n v="30"/>
    <n v="406.1"/>
    <x v="4"/>
    <d v="2024-12-09T00:00:00"/>
    <d v="2025-01-17T00:00:00"/>
    <x v="1"/>
    <x v="0"/>
    <n v="42640.5"/>
    <x v="0"/>
    <x v="0"/>
    <x v="0"/>
  </r>
  <r>
    <n v="41775"/>
    <x v="8"/>
    <x v="1"/>
    <n v="153"/>
    <n v="20"/>
    <n v="83.36"/>
    <x v="1"/>
    <d v="2024-05-21T00:00:00"/>
    <d v="2024-05-31T00:00:00"/>
    <x v="1"/>
    <x v="0"/>
    <n v="12754.08"/>
    <x v="0"/>
    <x v="0"/>
    <x v="0"/>
  </r>
  <r>
    <n v="76404"/>
    <x v="9"/>
    <x v="1"/>
    <n v="55"/>
    <n v="80"/>
    <n v="163.09"/>
    <x v="0"/>
    <d v="2024-02-22T00:00:00"/>
    <d v="2024-03-16T00:00:00"/>
    <x v="1"/>
    <x v="1"/>
    <n v="8969.9500000000007"/>
    <x v="11"/>
    <x v="1"/>
    <x v="1"/>
  </r>
  <r>
    <n v="96534"/>
    <x v="11"/>
    <x v="4"/>
    <n v="65"/>
    <n v="50"/>
    <n v="325.23"/>
    <x v="1"/>
    <d v="2024-01-17T00:00:00"/>
    <d v="2024-01-25T00:00:00"/>
    <x v="1"/>
    <x v="0"/>
    <n v="21139.95"/>
    <x v="0"/>
    <x v="1"/>
    <x v="0"/>
  </r>
  <r>
    <n v="78309"/>
    <x v="9"/>
    <x v="1"/>
    <n v="383"/>
    <n v="150"/>
    <n v="83.63"/>
    <x v="0"/>
    <d v="2024-11-09T00:00:00"/>
    <d v="2024-12-08T00:00:00"/>
    <x v="2"/>
    <x v="0"/>
    <n v="32030.289999999997"/>
    <x v="0"/>
    <x v="1"/>
    <x v="0"/>
  </r>
  <r>
    <n v="66648"/>
    <x v="14"/>
    <x v="4"/>
    <n v="48"/>
    <n v="50"/>
    <n v="339.93"/>
    <x v="3"/>
    <d v="2024-12-15T00:00:00"/>
    <d v="2025-01-04T00:00:00"/>
    <x v="1"/>
    <x v="1"/>
    <n v="16316.64"/>
    <x v="6"/>
    <x v="1"/>
    <x v="1"/>
  </r>
  <r>
    <n v="85710"/>
    <x v="4"/>
    <x v="0"/>
    <n v="174"/>
    <n v="150"/>
    <n v="357.43"/>
    <x v="3"/>
    <d v="2024-10-10T00:00:00"/>
    <d v="2024-11-03T00:00:00"/>
    <x v="0"/>
    <x v="0"/>
    <n v="62192.82"/>
    <x v="0"/>
    <x v="1"/>
    <x v="0"/>
  </r>
  <r>
    <n v="25739"/>
    <x v="13"/>
    <x v="3"/>
    <n v="195"/>
    <n v="150"/>
    <n v="35.130000000000003"/>
    <x v="3"/>
    <d v="2024-12-09T00:00:00"/>
    <d v="2025-01-12T00:00:00"/>
    <x v="0"/>
    <x v="0"/>
    <n v="6850.35"/>
    <x v="0"/>
    <x v="1"/>
    <x v="0"/>
  </r>
  <r>
    <n v="28920"/>
    <x v="2"/>
    <x v="1"/>
    <n v="279"/>
    <n v="20"/>
    <n v="120.68"/>
    <x v="3"/>
    <d v="2024-08-31T00:00:00"/>
    <d v="2024-09-19T00:00:00"/>
    <x v="0"/>
    <x v="0"/>
    <n v="33669.72"/>
    <x v="0"/>
    <x v="0"/>
    <x v="0"/>
  </r>
  <r>
    <n v="96679"/>
    <x v="1"/>
    <x v="0"/>
    <n v="271"/>
    <n v="50"/>
    <n v="215.97"/>
    <x v="0"/>
    <d v="2024-02-11T00:00:00"/>
    <d v="2024-02-19T00:00:00"/>
    <x v="2"/>
    <x v="0"/>
    <n v="58527.87"/>
    <x v="0"/>
    <x v="0"/>
    <x v="0"/>
  </r>
  <r>
    <n v="97299"/>
    <x v="2"/>
    <x v="1"/>
    <n v="396"/>
    <n v="100"/>
    <n v="31.67"/>
    <x v="3"/>
    <d v="2024-02-11T00:00:00"/>
    <d v="2024-03-15T00:00:00"/>
    <x v="0"/>
    <x v="0"/>
    <n v="12541.320000000002"/>
    <x v="0"/>
    <x v="0"/>
    <x v="0"/>
  </r>
  <r>
    <n v="25406"/>
    <x v="1"/>
    <x v="0"/>
    <n v="347"/>
    <n v="80"/>
    <n v="228.65"/>
    <x v="3"/>
    <d v="2024-02-04T00:00:00"/>
    <d v="2024-02-26T00:00:00"/>
    <x v="2"/>
    <x v="0"/>
    <n v="79341.55"/>
    <x v="0"/>
    <x v="0"/>
    <x v="0"/>
  </r>
  <r>
    <n v="51474"/>
    <x v="8"/>
    <x v="1"/>
    <n v="447"/>
    <n v="100"/>
    <n v="487.37"/>
    <x v="2"/>
    <d v="2024-11-23T00:00:00"/>
    <d v="2024-12-20T00:00:00"/>
    <x v="0"/>
    <x v="0"/>
    <n v="217854.39"/>
    <x v="0"/>
    <x v="0"/>
    <x v="0"/>
  </r>
  <r>
    <n v="87700"/>
    <x v="16"/>
    <x v="3"/>
    <n v="403"/>
    <n v="40"/>
    <n v="361.87"/>
    <x v="3"/>
    <d v="2024-12-06T00:00:00"/>
    <d v="2024-12-23T00:00:00"/>
    <x v="1"/>
    <x v="0"/>
    <n v="145833.61000000002"/>
    <x v="0"/>
    <x v="0"/>
    <x v="0"/>
  </r>
  <r>
    <n v="34268"/>
    <x v="16"/>
    <x v="3"/>
    <n v="104"/>
    <n v="80"/>
    <n v="394.14"/>
    <x v="0"/>
    <d v="2024-01-04T00:00:00"/>
    <d v="2024-01-30T00:00:00"/>
    <x v="0"/>
    <x v="0"/>
    <n v="40990.559999999998"/>
    <x v="0"/>
    <x v="1"/>
    <x v="0"/>
  </r>
  <r>
    <n v="92163"/>
    <x v="9"/>
    <x v="1"/>
    <n v="271"/>
    <n v="50"/>
    <n v="360.6"/>
    <x v="3"/>
    <d v="2024-08-18T00:00:00"/>
    <d v="2024-09-15T00:00:00"/>
    <x v="2"/>
    <x v="0"/>
    <n v="97722.6"/>
    <x v="0"/>
    <x v="0"/>
    <x v="0"/>
  </r>
  <r>
    <n v="29944"/>
    <x v="13"/>
    <x v="3"/>
    <n v="85"/>
    <n v="80"/>
    <n v="429.02"/>
    <x v="2"/>
    <d v="2024-01-01T00:00:00"/>
    <d v="2024-01-25T00:00:00"/>
    <x v="2"/>
    <x v="0"/>
    <n v="36466.699999999997"/>
    <x v="0"/>
    <x v="1"/>
    <x v="0"/>
  </r>
  <r>
    <n v="12520"/>
    <x v="15"/>
    <x v="4"/>
    <n v="6"/>
    <n v="50"/>
    <n v="240.95"/>
    <x v="1"/>
    <d v="2024-11-05T00:00:00"/>
    <d v="2024-11-14T00:00:00"/>
    <x v="1"/>
    <x v="1"/>
    <n v="1445.6999999999998"/>
    <x v="111"/>
    <x v="1"/>
    <x v="1"/>
  </r>
  <r>
    <n v="74566"/>
    <x v="8"/>
    <x v="1"/>
    <n v="208"/>
    <n v="100"/>
    <n v="391.08"/>
    <x v="0"/>
    <d v="2024-05-24T00:00:00"/>
    <d v="2024-06-18T00:00:00"/>
    <x v="2"/>
    <x v="0"/>
    <n v="81344.639999999999"/>
    <x v="0"/>
    <x v="1"/>
    <x v="0"/>
  </r>
  <r>
    <n v="27259"/>
    <x v="8"/>
    <x v="1"/>
    <n v="64"/>
    <n v="80"/>
    <n v="348.05"/>
    <x v="2"/>
    <d v="2024-03-16T00:00:00"/>
    <d v="2024-03-21T00:00:00"/>
    <x v="2"/>
    <x v="1"/>
    <n v="22275.200000000001"/>
    <x v="91"/>
    <x v="1"/>
    <x v="1"/>
  </r>
  <r>
    <n v="91164"/>
    <x v="4"/>
    <x v="0"/>
    <n v="128"/>
    <n v="100"/>
    <n v="302.10000000000002"/>
    <x v="4"/>
    <d v="2024-04-26T00:00:00"/>
    <d v="2024-05-12T00:00:00"/>
    <x v="0"/>
    <x v="0"/>
    <n v="38668.800000000003"/>
    <x v="0"/>
    <x v="1"/>
    <x v="0"/>
  </r>
  <r>
    <n v="95847"/>
    <x v="16"/>
    <x v="3"/>
    <n v="465"/>
    <n v="50"/>
    <n v="95.3"/>
    <x v="4"/>
    <d v="2024-10-07T00:00:00"/>
    <d v="2024-11-03T00:00:00"/>
    <x v="2"/>
    <x v="0"/>
    <n v="44314.5"/>
    <x v="0"/>
    <x v="0"/>
    <x v="0"/>
  </r>
  <r>
    <n v="89104"/>
    <x v="4"/>
    <x v="0"/>
    <n v="162"/>
    <n v="20"/>
    <n v="366.06"/>
    <x v="2"/>
    <d v="2024-10-07T00:00:00"/>
    <d v="2024-10-31T00:00:00"/>
    <x v="1"/>
    <x v="0"/>
    <n v="59301.72"/>
    <x v="0"/>
    <x v="0"/>
    <x v="0"/>
  </r>
  <r>
    <n v="49826"/>
    <x v="5"/>
    <x v="2"/>
    <n v="149"/>
    <n v="150"/>
    <n v="336.26"/>
    <x v="3"/>
    <d v="2024-07-05T00:00:00"/>
    <d v="2024-07-13T00:00:00"/>
    <x v="1"/>
    <x v="1"/>
    <n v="50102.74"/>
    <x v="32"/>
    <x v="1"/>
    <x v="1"/>
  </r>
  <r>
    <n v="40907"/>
    <x v="0"/>
    <x v="0"/>
    <n v="405"/>
    <n v="30"/>
    <n v="463.85"/>
    <x v="2"/>
    <d v="2024-08-06T00:00:00"/>
    <d v="2024-09-08T00:00:00"/>
    <x v="2"/>
    <x v="0"/>
    <n v="187859.25"/>
    <x v="0"/>
    <x v="0"/>
    <x v="0"/>
  </r>
  <r>
    <n v="69542"/>
    <x v="8"/>
    <x v="1"/>
    <n v="382"/>
    <n v="80"/>
    <n v="6.35"/>
    <x v="3"/>
    <d v="2024-02-05T00:00:00"/>
    <d v="2024-03-15T00:00:00"/>
    <x v="1"/>
    <x v="0"/>
    <n v="2425.6999999999998"/>
    <x v="0"/>
    <x v="0"/>
    <x v="0"/>
  </r>
  <r>
    <n v="97613"/>
    <x v="15"/>
    <x v="4"/>
    <n v="26"/>
    <n v="30"/>
    <n v="20.63"/>
    <x v="1"/>
    <d v="2024-07-30T00:00:00"/>
    <d v="2024-08-14T00:00:00"/>
    <x v="2"/>
    <x v="1"/>
    <n v="536.38"/>
    <x v="64"/>
    <x v="1"/>
    <x v="1"/>
  </r>
  <r>
    <n v="96814"/>
    <x v="2"/>
    <x v="1"/>
    <n v="445"/>
    <n v="80"/>
    <n v="393.71"/>
    <x v="0"/>
    <d v="2024-08-24T00:00:00"/>
    <d v="2024-09-20T00:00:00"/>
    <x v="1"/>
    <x v="0"/>
    <n v="175200.94999999998"/>
    <x v="0"/>
    <x v="0"/>
    <x v="0"/>
  </r>
  <r>
    <n v="79245"/>
    <x v="8"/>
    <x v="1"/>
    <n v="179"/>
    <n v="50"/>
    <n v="342.16"/>
    <x v="0"/>
    <d v="2024-05-10T00:00:00"/>
    <d v="2024-05-16T00:00:00"/>
    <x v="1"/>
    <x v="0"/>
    <n v="61246.640000000007"/>
    <x v="0"/>
    <x v="0"/>
    <x v="0"/>
  </r>
  <r>
    <n v="94436"/>
    <x v="5"/>
    <x v="2"/>
    <n v="339"/>
    <n v="150"/>
    <n v="197.92"/>
    <x v="4"/>
    <d v="2024-12-26T00:00:00"/>
    <d v="2025-01-15T00:00:00"/>
    <x v="2"/>
    <x v="0"/>
    <n v="67094.87999999999"/>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2D54E-B6C3-4FA7-BEF1-6B3F62E002F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G7:AH12" firstHeaderRow="1" firstDataRow="1" firstDataCol="1"/>
  <pivotFields count="15">
    <pivotField dataField="1" compact="0" outline="0" showAll="0"/>
    <pivotField compact="0" outline="0" showAll="0"/>
    <pivotField compact="0" outline="0" showAll="0" countASubtotal="1">
      <items count="6">
        <item x="1"/>
        <item x="2"/>
        <item x="3"/>
        <item x="0"/>
        <item x="4"/>
        <item t="countA"/>
      </items>
    </pivotField>
    <pivotField compact="0" outline="0" showAll="0"/>
    <pivotField compact="0" outline="0" showAll="0"/>
    <pivotField compact="0" outline="0" showAll="0"/>
    <pivotField axis="axisRow" compact="0" outline="0" showAll="0">
      <items count="6">
        <item x="4"/>
        <item x="2"/>
        <item x="3"/>
        <item x="0"/>
        <item x="1"/>
        <item t="default"/>
      </items>
    </pivotField>
    <pivotField compact="0" numFmtId="164" outline="0" showAll="0"/>
    <pivotField compact="0" numFmtId="164" outline="0" showAll="0"/>
    <pivotField compact="0" outline="0" showAll="0"/>
    <pivotField compact="0" outline="0" showAll="0"/>
    <pivotField compact="0" numFmtId="166" outline="0" showAll="0"/>
    <pivotField compact="0" outline="0" showAll="0"/>
    <pivotField compact="0" outline="0" showAll="0"/>
    <pivotField compact="0" outline="0" showAll="0"/>
  </pivotFields>
  <rowFields count="1">
    <field x="6"/>
  </rowFields>
  <rowItems count="5">
    <i>
      <x/>
    </i>
    <i>
      <x v="1"/>
    </i>
    <i>
      <x v="2"/>
    </i>
    <i>
      <x v="3"/>
    </i>
    <i>
      <x v="4"/>
    </i>
  </rowItems>
  <colItems count="1">
    <i/>
  </colItems>
  <dataFields count="1">
    <dataField name="Total Product" fld="0" subtotal="count" baseField="6" baseItem="0"/>
  </dataFields>
  <formats count="1">
    <format dxfId="10">
      <pivotArea outline="0" collapsedLevelsAreSubtotals="1" fieldPosition="0"/>
    </format>
  </formats>
  <chartFormats count="2">
    <chartFormat chart="15" format="8"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D51B9-189F-4D5E-A084-A66ACC3A801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S8:AT11" firstHeaderRow="1" firstDataRow="1" firstDataCol="1"/>
  <pivotFields count="15">
    <pivotField compact="0" outline="0" showAll="0"/>
    <pivotField compact="0" outline="0" showAll="0"/>
    <pivotField compact="0" outline="0" showAll="0" countASubtotal="1"/>
    <pivotField dataField="1" compact="0" outline="0" showAll="0"/>
    <pivotField compact="0" outline="0" showAll="0"/>
    <pivotField compact="0" outline="0" showAll="0"/>
    <pivotField compact="0" outline="0" showAll="0"/>
    <pivotField compact="0" numFmtId="164" outline="0" showAll="0"/>
    <pivotField compact="0" numFmtId="164" outline="0" showAll="0"/>
    <pivotField axis="axisRow" compact="0" outline="0" showAll="0">
      <items count="4">
        <item x="0"/>
        <item x="2"/>
        <item x="1"/>
        <item t="default"/>
      </items>
    </pivotField>
    <pivotField compact="0" outline="0" showAll="0"/>
    <pivotField compact="0" numFmtId="166" outline="0" showAll="0"/>
    <pivotField compact="0" outline="0" showAll="0"/>
    <pivotField compact="0" outline="0" showAll="0"/>
    <pivotField compact="0" outline="0" showAll="0"/>
  </pivotFields>
  <rowFields count="1">
    <field x="9"/>
  </rowFields>
  <rowItems count="3">
    <i>
      <x/>
    </i>
    <i>
      <x v="1"/>
    </i>
    <i>
      <x v="2"/>
    </i>
  </rowItems>
  <colItems count="1">
    <i/>
  </colItems>
  <dataFields count="1">
    <dataField name="Count of CurrentStock" fld="3" subtotal="count" baseField="9"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E6500-1789-4E0E-A8C0-96C95AB9B5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G8:BH14" firstHeaderRow="1" firstDataRow="1" firstDataCol="1"/>
  <pivotFields count="15">
    <pivotField showAll="0"/>
    <pivotField showAll="0"/>
    <pivotField axis="axisRow"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showAll="0"/>
    <pivotField dataField="1" numFmtId="166" showAll="0"/>
    <pivotField showAll="0"/>
    <pivotField showAll="0"/>
    <pivotField showAll="0"/>
  </pivotFields>
  <rowFields count="1">
    <field x="2"/>
  </rowFields>
  <rowItems count="6">
    <i>
      <x/>
    </i>
    <i>
      <x v="1"/>
    </i>
    <i>
      <x v="2"/>
    </i>
    <i>
      <x v="3"/>
    </i>
    <i>
      <x v="4"/>
    </i>
    <i t="grand">
      <x/>
    </i>
  </rowItems>
  <colItems count="1">
    <i/>
  </colItems>
  <dataFields count="1">
    <dataField name="Sum of Stock value" fld="11" baseField="0" baseItem="0" numFmtId="166"/>
  </dataFields>
  <chartFormats count="1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4"/>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 chart="8" format="5">
      <pivotArea type="data" outline="0" fieldPosition="0">
        <references count="2">
          <reference field="4294967294" count="1" selected="0">
            <x v="0"/>
          </reference>
          <reference field="2" count="1" selected="0">
            <x v="2"/>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0"/>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 chart="11" format="15">
      <pivotArea type="data" outline="0" fieldPosition="0">
        <references count="2">
          <reference field="4294967294" count="1" selected="0">
            <x v="0"/>
          </reference>
          <reference field="2" count="1" selected="0">
            <x v="2"/>
          </reference>
        </references>
      </pivotArea>
    </chartFormat>
    <chartFormat chart="11" format="16">
      <pivotArea type="data" outline="0" fieldPosition="0">
        <references count="2">
          <reference field="4294967294" count="1" selected="0">
            <x v="0"/>
          </reference>
          <reference field="2" count="1" selected="0">
            <x v="3"/>
          </reference>
        </references>
      </pivotArea>
    </chartFormat>
    <chartFormat chart="11"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1F3D2-3A08-45AA-9EED-DC577CDBD82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7">
  <location ref="Z10:AA15" firstHeaderRow="1" firstDataRow="1" firstDataCol="1" rowPageCount="1" colPageCount="1"/>
  <pivotFields count="15">
    <pivotField compact="0" outline="0" showAll="0"/>
    <pivotField compact="0" outline="0" showAll="0"/>
    <pivotField axis="axisRow" compact="0" outline="0" showAll="0" sortType="descending" countASubtotal="1">
      <items count="6">
        <item x="1"/>
        <item x="2"/>
        <item x="3"/>
        <item x="0"/>
        <item x="4"/>
        <item t="countA"/>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axis="axisPage" compact="0" outline="0" showAll="0">
      <items count="3">
        <item x="0"/>
        <item x="1"/>
        <item t="default"/>
      </items>
    </pivotField>
    <pivotField compact="0" numFmtId="166" outline="0" showAll="0"/>
    <pivotField compact="0" outline="0" showAll="0"/>
    <pivotField compact="0" outline="0" showAll="0"/>
    <pivotField compact="0" outline="0" showAll="0"/>
  </pivotFields>
  <rowFields count="1">
    <field x="2"/>
  </rowFields>
  <rowItems count="5">
    <i>
      <x v="1"/>
    </i>
    <i>
      <x v="2"/>
    </i>
    <i>
      <x/>
    </i>
    <i>
      <x v="3"/>
    </i>
    <i>
      <x v="4"/>
    </i>
  </rowItems>
  <colItems count="1">
    <i/>
  </colItems>
  <pageFields count="1">
    <pageField fld="10" item="1" hier="-1"/>
  </pageFields>
  <dataFields count="1">
    <dataField name="Total products" fld="5" subtotal="count" baseField="2" baseItem="0"/>
  </dataFields>
  <formats count="1">
    <format dxfId="12">
      <pivotArea outline="0" collapsedLevelsAreSubtotals="1" fieldPosition="0"/>
    </format>
  </formats>
  <chartFormats count="8">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4"/>
          </reference>
        </references>
      </pivotArea>
    </chartFormat>
    <chartFormat chart="15" format="4">
      <pivotArea type="data" outline="0" fieldPosition="0">
        <references count="2">
          <reference field="4294967294" count="1" selected="0">
            <x v="0"/>
          </reference>
          <reference field="2" count="1" selected="0">
            <x v="0"/>
          </reference>
        </references>
      </pivotArea>
    </chartFormat>
    <chartFormat chart="15" format="5">
      <pivotArea type="data" outline="0" fieldPosition="0">
        <references count="2">
          <reference field="4294967294" count="1" selected="0">
            <x v="0"/>
          </reference>
          <reference field="2" count="1" selected="0">
            <x v="1"/>
          </reference>
        </references>
      </pivotArea>
    </chartFormat>
    <chartFormat chart="15" format="6">
      <pivotArea type="data" outline="0" fieldPosition="0">
        <references count="2">
          <reference field="4294967294" count="1" selected="0">
            <x v="0"/>
          </reference>
          <reference field="2" count="1" selected="0">
            <x v="2"/>
          </reference>
        </references>
      </pivotArea>
    </chartFormat>
    <chartFormat chart="15" format="7">
      <pivotArea type="data" outline="0" fieldPosition="0">
        <references count="2">
          <reference field="4294967294" count="1" selected="0">
            <x v="0"/>
          </reference>
          <reference field="2" count="1" selected="0">
            <x v="3"/>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22ECF6-269B-41CF-9B80-E7A500F61FC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D26" firstHeaderRow="1" firstDataRow="1" firstDataCol="0"/>
  <pivotFields count="15">
    <pivotField showAll="0"/>
    <pivotField showAll="0"/>
    <pivotField showAll="0">
      <items count="6">
        <item x="1"/>
        <item x="2"/>
        <item x="3"/>
        <item x="0"/>
        <item x="4"/>
        <item t="default"/>
      </items>
    </pivotField>
    <pivotField dataField="1" showAll="0"/>
    <pivotField showAll="0"/>
    <pivotField showAll="0"/>
    <pivotField showAll="0">
      <items count="6">
        <item x="4"/>
        <item x="2"/>
        <item x="3"/>
        <item x="0"/>
        <item x="1"/>
        <item t="default"/>
      </items>
    </pivotField>
    <pivotField numFmtId="164" showAll="0"/>
    <pivotField numFmtId="164" showAll="0"/>
    <pivotField showAll="0"/>
    <pivotField showAll="0"/>
    <pivotField numFmtId="166" showAll="0"/>
    <pivotField showAll="0"/>
    <pivotField showAll="0"/>
    <pivotField showAll="0"/>
  </pivotFields>
  <rowItems count="1">
    <i/>
  </rowItems>
  <colItems count="1">
    <i/>
  </colItems>
  <dataFields count="1">
    <dataField name="Sum of CurrentStock" fld="3"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8D861F-4E02-49A1-B19E-B711E38289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K7" firstHeaderRow="1" firstDataRow="1" firstDataCol="0"/>
  <pivotFields count="15">
    <pivotField showAll="0"/>
    <pivotField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showAll="0"/>
    <pivotField dataField="1" numFmtId="166" showAll="0"/>
    <pivotField showAll="0"/>
    <pivotField showAll="0"/>
    <pivotField showAll="0"/>
  </pivotFields>
  <rowItems count="1">
    <i/>
  </rowItems>
  <colItems count="1">
    <i/>
  </colItems>
  <dataFields count="1">
    <dataField name="Sum of Stock value" fld="11" baseField="0" baseItem="0" numFmtId="167"/>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96347F-C32C-4624-91AD-6AF7F3EC3B5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Z8:BB13" firstHeaderRow="0" firstDataRow="1" firstDataCol="1" rowPageCount="1" colPageCount="1"/>
  <pivotFields count="15">
    <pivotField compact="0" outline="0" showAll="0"/>
    <pivotField axis="axisRow" compact="0" outline="0" showAll="0" measureFilter="1" sortType="ascending">
      <items count="18">
        <item x="13"/>
        <item x="11"/>
        <item x="1"/>
        <item x="7"/>
        <item x="3"/>
        <item x="6"/>
        <item x="9"/>
        <item x="14"/>
        <item x="4"/>
        <item x="15"/>
        <item x="12"/>
        <item x="10"/>
        <item x="16"/>
        <item x="2"/>
        <item x="8"/>
        <item x="0"/>
        <item x="5"/>
        <item t="default"/>
      </items>
      <autoSortScope>
        <pivotArea dataOnly="0" outline="0" fieldPosition="0">
          <references count="1">
            <reference field="4294967294" count="1" selected="0">
              <x v="0"/>
            </reference>
          </references>
        </pivotArea>
      </autoSortScope>
    </pivotField>
    <pivotField compact="0" outline="0" showAll="0" countASubtotal="1">
      <items count="6">
        <item x="1"/>
        <item x="2"/>
        <item x="3"/>
        <item x="0"/>
        <item x="4"/>
        <item t="countA"/>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outline="0" showAll="0"/>
    <pivotField dataField="1" compact="0" numFmtId="166" outline="0" showAll="0"/>
    <pivotField dataField="1" compact="0" outline="0" showAll="0">
      <items count="130">
        <item x="32"/>
        <item x="6"/>
        <item x="47"/>
        <item x="64"/>
        <item x="18"/>
        <item x="48"/>
        <item x="43"/>
        <item x="44"/>
        <item x="79"/>
        <item x="60"/>
        <item x="52"/>
        <item x="50"/>
        <item x="37"/>
        <item x="46"/>
        <item x="119"/>
        <item x="91"/>
        <item x="14"/>
        <item x="12"/>
        <item x="98"/>
        <item x="53"/>
        <item x="28"/>
        <item x="23"/>
        <item x="75"/>
        <item x="69"/>
        <item x="11"/>
        <item x="61"/>
        <item x="36"/>
        <item x="73"/>
        <item x="56"/>
        <item x="68"/>
        <item x="70"/>
        <item x="31"/>
        <item x="84"/>
        <item x="38"/>
        <item x="40"/>
        <item x="86"/>
        <item x="65"/>
        <item x="42"/>
        <item x="27"/>
        <item x="9"/>
        <item x="113"/>
        <item x="24"/>
        <item x="94"/>
        <item x="111"/>
        <item x="15"/>
        <item x="4"/>
        <item x="83"/>
        <item x="39"/>
        <item x="118"/>
        <item x="77"/>
        <item x="30"/>
        <item x="97"/>
        <item x="89"/>
        <item x="5"/>
        <item x="22"/>
        <item x="110"/>
        <item x="82"/>
        <item x="1"/>
        <item x="55"/>
        <item x="33"/>
        <item x="57"/>
        <item x="115"/>
        <item x="90"/>
        <item x="106"/>
        <item x="2"/>
        <item x="62"/>
        <item x="26"/>
        <item x="29"/>
        <item x="109"/>
        <item x="92"/>
        <item x="74"/>
        <item x="16"/>
        <item x="87"/>
        <item x="20"/>
        <item x="10"/>
        <item x="107"/>
        <item x="58"/>
        <item x="117"/>
        <item x="81"/>
        <item x="105"/>
        <item x="49"/>
        <item x="13"/>
        <item x="123"/>
        <item x="59"/>
        <item x="122"/>
        <item x="34"/>
        <item x="41"/>
        <item x="8"/>
        <item x="25"/>
        <item x="108"/>
        <item x="7"/>
        <item x="102"/>
        <item x="104"/>
        <item x="124"/>
        <item x="96"/>
        <item x="45"/>
        <item x="126"/>
        <item x="125"/>
        <item x="114"/>
        <item x="71"/>
        <item x="17"/>
        <item x="116"/>
        <item x="95"/>
        <item x="3"/>
        <item x="85"/>
        <item x="112"/>
        <item x="63"/>
        <item x="128"/>
        <item x="35"/>
        <item x="72"/>
        <item x="54"/>
        <item x="78"/>
        <item x="100"/>
        <item x="103"/>
        <item x="99"/>
        <item x="101"/>
        <item x="93"/>
        <item x="88"/>
        <item x="121"/>
        <item x="120"/>
        <item x="127"/>
        <item x="66"/>
        <item x="19"/>
        <item x="76"/>
        <item x="51"/>
        <item x="21"/>
        <item x="80"/>
        <item x="67"/>
        <item x="0"/>
        <item t="default"/>
      </items>
    </pivotField>
    <pivotField compact="0" outline="0" showAll="0"/>
    <pivotField axis="axisPage" compact="0" outline="0" multipleItemSelectionAllowed="1" showAll="0">
      <items count="3">
        <item h="1" x="0"/>
        <item x="1"/>
        <item t="default"/>
      </items>
    </pivotField>
  </pivotFields>
  <rowFields count="1">
    <field x="1"/>
  </rowFields>
  <rowItems count="5">
    <i>
      <x v="10"/>
    </i>
    <i>
      <x v="12"/>
    </i>
    <i>
      <x v="6"/>
    </i>
    <i>
      <x v="9"/>
    </i>
    <i>
      <x v="16"/>
    </i>
  </rowItems>
  <colFields count="1">
    <field x="-2"/>
  </colFields>
  <colItems count="2">
    <i>
      <x/>
    </i>
    <i i="1">
      <x v="1"/>
    </i>
  </colItems>
  <pageFields count="1">
    <pageField fld="14" hier="-1"/>
  </pageFields>
  <dataFields count="2">
    <dataField name="Total Products" fld="12" subtotal="count" baseField="1" baseItem="0"/>
    <dataField name="Sum of Stock value" fld="11" baseField="0" baseItem="0" numFmtId="166"/>
  </dataFields>
  <formats count="1">
    <format dxfId="15">
      <pivotArea outline="0" collapsedLevelsAreSubtotals="1" fieldPosition="0"/>
    </format>
  </formats>
  <pivotTableStyleInfo name="PivotStyleLight16" showRowHeaders="1" showColHeaders="1" showRowStripes="0" showColStripes="0" showLastColumn="1"/>
  <filters count="1">
    <filter fld="1"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991B01-B535-4CED-8FFA-3844C8A4B75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T6:U23" firstHeaderRow="1" firstDataRow="1" firstDataCol="1"/>
  <pivotFields count="15">
    <pivotField compact="0" outline="0" showAll="0"/>
    <pivotField axis="axisRow" compact="0" outline="0" showAll="0" sortType="descending">
      <items count="18">
        <item x="5"/>
        <item x="0"/>
        <item x="8"/>
        <item x="2"/>
        <item x="16"/>
        <item x="10"/>
        <item x="12"/>
        <item x="15"/>
        <item x="4"/>
        <item x="14"/>
        <item x="9"/>
        <item x="6"/>
        <item x="3"/>
        <item x="7"/>
        <item x="1"/>
        <item x="11"/>
        <item x="13"/>
        <item t="default"/>
      </items>
      <autoSortScope>
        <pivotArea dataOnly="0" outline="0" fieldPosition="0">
          <references count="1">
            <reference field="4294967294" count="1" selected="0">
              <x v="0"/>
            </reference>
          </references>
        </pivotArea>
      </autoSortScope>
    </pivotField>
    <pivotField compact="0" outline="0" showAll="0" countASubtotal="1">
      <items count="6">
        <item x="1"/>
        <item x="2"/>
        <item x="3"/>
        <item x="0"/>
        <item x="4"/>
        <item t="countA"/>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outline="0" showAll="0"/>
    <pivotField compact="0" numFmtId="166" outline="0" showAll="0"/>
    <pivotField dataField="1" compact="0" outline="0" showAll="0"/>
    <pivotField compact="0" outline="0" showAll="0"/>
    <pivotField compact="0" outline="0" showAll="0"/>
  </pivotFields>
  <rowFields count="1">
    <field x="1"/>
  </rowFields>
  <rowItems count="17">
    <i>
      <x v="15"/>
    </i>
    <i>
      <x v="12"/>
    </i>
    <i>
      <x v="4"/>
    </i>
    <i>
      <x v="8"/>
    </i>
    <i>
      <x v="3"/>
    </i>
    <i>
      <x v="7"/>
    </i>
    <i>
      <x v="16"/>
    </i>
    <i>
      <x v="13"/>
    </i>
    <i>
      <x v="9"/>
    </i>
    <i>
      <x v="2"/>
    </i>
    <i>
      <x v="14"/>
    </i>
    <i>
      <x v="5"/>
    </i>
    <i>
      <x v="10"/>
    </i>
    <i>
      <x v="11"/>
    </i>
    <i>
      <x/>
    </i>
    <i>
      <x v="1"/>
    </i>
    <i>
      <x v="6"/>
    </i>
  </rowItems>
  <colItems count="1">
    <i/>
  </colItems>
  <dataFields count="1">
    <dataField name="Max of Shortage" fld="12" subtotal="max" baseField="1" baseItem="15" numFmtId="37"/>
  </dataFields>
  <formats count="1">
    <format dxfId="16">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980A4C-2511-47A1-A1BA-36FDB074C9D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6:M11" firstHeaderRow="1" firstDataRow="1" firstDataCol="1"/>
  <pivotFields count="15">
    <pivotField compact="0" outline="0" showAll="0"/>
    <pivotField compact="0" outline="0" showAll="0"/>
    <pivotField axis="axisRow" compact="0" outline="0" showAll="0" countASubtotal="1">
      <items count="6">
        <item x="1"/>
        <item x="2"/>
        <item x="3"/>
        <item x="0"/>
        <item x="4"/>
        <item t="countA"/>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outline="0" showAll="0"/>
    <pivotField compact="0" numFmtId="166" outline="0" showAll="0"/>
    <pivotField compact="0" outline="0" showAll="0"/>
    <pivotField compact="0" outline="0" showAll="0"/>
    <pivotField compact="0" outline="0" showAll="0"/>
  </pivotFields>
  <rowFields count="1">
    <field x="2"/>
  </rowFields>
  <rowItems count="5">
    <i>
      <x/>
    </i>
    <i>
      <x v="1"/>
    </i>
    <i>
      <x v="2"/>
    </i>
    <i>
      <x v="3"/>
    </i>
    <i>
      <x v="4"/>
    </i>
  </rowItems>
  <colItems count="1">
    <i/>
  </colItem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EE921F-F42F-4CFE-8A16-C62E6ACC09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9" firstHeaderRow="1" firstDataRow="1" firstDataCol="1"/>
  <pivotFields count="15">
    <pivotField showAll="0"/>
    <pivotField dataField="1" showAll="0"/>
    <pivotField showAll="0">
      <items count="6">
        <item x="1"/>
        <item x="2"/>
        <item x="3"/>
        <item x="0"/>
        <item x="4"/>
        <item t="default"/>
      </items>
    </pivotField>
    <pivotField showAll="0"/>
    <pivotField showAll="0"/>
    <pivotField showAll="0"/>
    <pivotField showAll="0">
      <items count="6">
        <item x="4"/>
        <item x="2"/>
        <item x="3"/>
        <item x="0"/>
        <item x="1"/>
        <item t="default"/>
      </items>
    </pivotField>
    <pivotField numFmtId="164" showAll="0"/>
    <pivotField numFmtId="164" showAll="0"/>
    <pivotField showAll="0"/>
    <pivotField axis="axisRow" showAll="0">
      <items count="3">
        <item x="0"/>
        <item x="1"/>
        <item t="default"/>
      </items>
    </pivotField>
    <pivotField numFmtId="166" showAll="0"/>
    <pivotField showAll="0"/>
    <pivotField showAll="0"/>
    <pivotField showAll="0"/>
  </pivotFields>
  <rowFields count="1">
    <field x="10"/>
  </rowFields>
  <rowItems count="3">
    <i>
      <x/>
    </i>
    <i>
      <x v="1"/>
    </i>
    <i t="grand">
      <x/>
    </i>
  </rowItems>
  <colItems count="1">
    <i/>
  </colItems>
  <dataFields count="1">
    <dataField name="Count of ProductName" fld="1" subtotal="count"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7C706C-969A-445B-9E58-3C6F25D723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15">
    <pivotField showAll="0"/>
    <pivotField dataField="1" showAll="0"/>
    <pivotField showAll="0"/>
    <pivotField showAll="0"/>
    <pivotField showAll="0"/>
    <pivotField showAll="0"/>
    <pivotField showAll="0"/>
    <pivotField numFmtId="164" showAll="0"/>
    <pivotField numFmtId="164" showAll="0"/>
    <pivotField showAll="0"/>
    <pivotField showAll="0"/>
    <pivotField numFmtId="166" showAll="0"/>
    <pivotField showAll="0"/>
    <pivotField showAll="0"/>
    <pivotField showAll="0"/>
  </pivotFields>
  <rowItems count="1">
    <i/>
  </rowItems>
  <colItems count="1">
    <i/>
  </colItems>
  <dataFields count="1">
    <dataField name="Count of ProductName" fld="1" subtotal="count" baseField="0" baseItem="0" numFmtId="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449E72-400B-45EF-B933-B399EFE6397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6:Q7" firstHeaderRow="1" firstDataRow="1" firstDataCol="0"/>
  <pivotFields count="15">
    <pivotField compact="0" outline="0" showAll="0"/>
    <pivotField compact="0" outline="0" showAll="0"/>
    <pivotField compact="0" outline="0" showAll="0" countASubtotal="1">
      <items count="6">
        <item x="1"/>
        <item x="2"/>
        <item x="3"/>
        <item x="0"/>
        <item x="4"/>
        <item t="countA"/>
      </items>
    </pivotField>
    <pivotField compact="0" outline="0" showAll="0"/>
    <pivotField dataField="1"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outline="0" showAll="0"/>
    <pivotField compact="0" numFmtId="166" outline="0" showAll="0"/>
    <pivotField compact="0" outline="0" showAll="0"/>
    <pivotField compact="0" outline="0" showAll="0"/>
    <pivotField compact="0" outline="0" showAll="0"/>
  </pivotFields>
  <rowItems count="1">
    <i/>
  </rowItems>
  <colItems count="1">
    <i/>
  </colItems>
  <dataFields count="1">
    <dataField name="Average of ReorderLevel" fld="4" subtotal="average" baseField="0" baseItem="0" numFmtId="168"/>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7F3C53-77DC-4D5E-BFFC-218B441D329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M7:AN9" firstHeaderRow="1" firstDataRow="1" firstDataCol="1"/>
  <pivotFields count="15">
    <pivotField compact="0" outline="0" showAll="0"/>
    <pivotField compact="0" outline="0" showAll="0"/>
    <pivotField compact="0" outline="0" showAll="0" countASubtotal="1">
      <items count="6">
        <item x="1"/>
        <item x="2"/>
        <item x="3"/>
        <item x="0"/>
        <item x="4"/>
        <item t="countA"/>
      </items>
    </pivotField>
    <pivotField compact="0" outline="0" showAll="0"/>
    <pivotField compact="0" outline="0" showAll="0"/>
    <pivotField compact="0" outline="0" showAll="0"/>
    <pivotField compact="0" outline="0" showAll="0">
      <items count="6">
        <item x="4"/>
        <item x="2"/>
        <item x="3"/>
        <item x="0"/>
        <item x="1"/>
        <item t="default"/>
      </items>
    </pivotField>
    <pivotField compact="0" numFmtId="164" outline="0" showAll="0"/>
    <pivotField compact="0" numFmtId="164" outline="0" showAll="0"/>
    <pivotField compact="0" outline="0" showAll="0"/>
    <pivotField compact="0" outline="0" showAll="0"/>
    <pivotField compact="0" numFmtId="166" outline="0" showAll="0"/>
    <pivotField compact="0" outline="0" showAll="0"/>
    <pivotField axis="axisRow" dataField="1" compact="0" outline="0" showAll="0">
      <items count="3">
        <item x="1"/>
        <item x="0"/>
        <item t="default"/>
      </items>
    </pivotField>
    <pivotField compact="0" outline="0" showAll="0"/>
  </pivotFields>
  <rowFields count="1">
    <field x="13"/>
  </rowFields>
  <rowItems count="2">
    <i>
      <x/>
    </i>
    <i>
      <x v="1"/>
    </i>
  </rowItems>
  <colItems count="1">
    <i/>
  </colItems>
  <dataFields count="1">
    <dataField name="Total products" fld="13" subtotal="count" baseField="13"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5B5DCE2-01DF-4EF1-B8A6-5D04A699F9DC}" sourceName="Supplier">
  <pivotTables>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99142794">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CCBF1F-47E3-4AF2-8D32-28AAF9252503}" sourceName="Category">
  <pivotTables>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099142794">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491EAE69-4D6A-4C99-9495-AB0D08310983}" cache="Slicer_Supplier" caption="Supplier" style="SlicerStyleLight1 2" rowHeight="234950"/>
  <slicer name="Category" xr10:uid="{5980F4FF-FF6E-45D8-A3FE-9C6AD3919C15}" cache="Slicer_Category" caption="Category" startItem="1"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7B6089-65B2-4DA1-8BD9-693ABF367523}" name="Table1" displayName="Table1" ref="A1:O3001" totalsRowShown="0" headerRowDxfId="9" headerRowBorderDxfId="8" tableBorderDxfId="7">
  <autoFilter ref="A1:O3001" xr:uid="{C67B6089-65B2-4DA1-8BD9-693ABF367523}"/>
  <tableColumns count="15">
    <tableColumn id="1" xr3:uid="{1BDFBBA3-60FC-4E27-8454-0CB3840A180E}" name="ProductID"/>
    <tableColumn id="2" xr3:uid="{F83BF479-121B-4F3A-8F41-747229C430FF}" name="ProductName"/>
    <tableColumn id="3" xr3:uid="{8371FC57-B656-4BC2-A64A-8EA8BE64B51F}" name="Category"/>
    <tableColumn id="4" xr3:uid="{896C69C6-268F-48E6-B86B-D1D433FC80BD}" name="CurrentStock"/>
    <tableColumn id="5" xr3:uid="{DFB72388-00E9-4C13-85E6-9B53C7A14B8B}" name="ReorderLevel"/>
    <tableColumn id="6" xr3:uid="{3FDB2098-5396-4700-A5A9-B0794FF418AB}" name="UnitPrice"/>
    <tableColumn id="7" xr3:uid="{9AC3DD21-5E04-4ACD-86E4-A8165DBAF3D7}" name="Supplier"/>
    <tableColumn id="8" xr3:uid="{D544524C-1235-447B-809B-CD0E2004740E}" name="LastRestockDate" dataDxfId="6"/>
    <tableColumn id="9" xr3:uid="{19E35BAA-8137-4EF1-9DCF-82EC0502FB8C}" name="NextRestockDate" dataDxfId="5"/>
    <tableColumn id="10" xr3:uid="{01FDD6C3-9E08-4D39-A7C3-11081C502F7E}" name="WarehouseLocation"/>
    <tableColumn id="11" xr3:uid="{BC45B956-3A5C-45FB-9691-FF73A4544590}" name="Is reorder?" dataDxfId="4">
      <calculatedColumnFormula>Table1[[#This Row],[CurrentStock]]&lt;Table1[[#This Row],[ReorderLevel]]</calculatedColumnFormula>
    </tableColumn>
    <tableColumn id="12" xr3:uid="{11349E9E-3C05-4C44-AD71-C2E0F61BDEBA}" name="Stock value" dataDxfId="3" dataCellStyle="Comma">
      <calculatedColumnFormula>Table1[[#This Row],[CurrentStock]]*Table1[[#This Row],[UnitPrice]]</calculatedColumnFormula>
    </tableColumn>
    <tableColumn id="13" xr3:uid="{26DC72BE-2C82-418D-9910-8AD61B9C7627}" name="Shortage" dataDxfId="2">
      <calculatedColumnFormula>IF(Table1[[#This Row],[ReorderLevel]]-Table1[[#This Row],[CurrentStock]]&gt;0,Table1[[#This Row],[ReorderLevel]]-Table1[[#This Row],[CurrentStock]],"")</calculatedColumnFormula>
    </tableColumn>
    <tableColumn id="14" xr3:uid="{6DE88326-DF43-465C-A207-5A8D8CDF8085}" name="Overstocked" dataDxfId="1">
      <calculatedColumnFormula>IF(Table1[[#This Row],[CurrentStock]]&gt;Table1[[#This Row],[ReorderLevel]]*3,"Over Stock","Okay")</calculatedColumnFormula>
    </tableColumn>
    <tableColumn id="15" xr3:uid="{E5558542-9994-45C5-98E3-AF2A643E6090}" name="Reorder Products" dataDxfId="0">
      <calculatedColumnFormula>IF(Table1[[#This Row],[CurrentStock]]&lt;Table1[[#This Row],[ReorderLevel]],"Reorder","Okay")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4A48-CC61-4C9A-A875-BD14DE5BCB9C}">
  <dimension ref="D4:BH27"/>
  <sheetViews>
    <sheetView topLeftCell="N1" zoomScale="104" zoomScaleNormal="130" workbookViewId="0">
      <selection activeCell="T14" sqref="T14"/>
    </sheetView>
  </sheetViews>
  <sheetFormatPr defaultRowHeight="14.4" x14ac:dyDescent="0.3"/>
  <cols>
    <col min="1" max="1" width="7.6640625" customWidth="1"/>
    <col min="3" max="3" width="20.6640625" bestFit="1" customWidth="1"/>
    <col min="4" max="4" width="18.6640625" bestFit="1" customWidth="1"/>
    <col min="7" max="7" width="12.6640625" bestFit="1" customWidth="1"/>
    <col min="8" max="8" width="20.6640625" bestFit="1" customWidth="1"/>
    <col min="11" max="11" width="17.33203125" bestFit="1" customWidth="1"/>
    <col min="12" max="12" width="15" bestFit="1" customWidth="1"/>
    <col min="13" max="13" width="15.6640625" bestFit="1" customWidth="1"/>
    <col min="17" max="17" width="22.21875" bestFit="1" customWidth="1"/>
    <col min="20" max="20" width="14.88671875" bestFit="1" customWidth="1"/>
    <col min="21" max="21" width="15" bestFit="1" customWidth="1"/>
    <col min="22" max="22" width="16" bestFit="1" customWidth="1"/>
    <col min="26" max="26" width="15.6640625" bestFit="1" customWidth="1"/>
    <col min="27" max="27" width="13.21875" bestFit="1" customWidth="1"/>
    <col min="33" max="33" width="15.21875" bestFit="1" customWidth="1"/>
    <col min="34" max="34" width="12.33203125" bestFit="1" customWidth="1"/>
    <col min="39" max="39" width="13.88671875" bestFit="1" customWidth="1"/>
    <col min="40" max="40" width="13.21875" bestFit="1" customWidth="1"/>
    <col min="45" max="45" width="20.21875" bestFit="1" customWidth="1"/>
    <col min="46" max="46" width="20" bestFit="1" customWidth="1"/>
    <col min="52" max="52" width="15.44140625" bestFit="1" customWidth="1"/>
    <col min="53" max="53" width="13.21875" bestFit="1" customWidth="1"/>
    <col min="54" max="54" width="17.33203125" bestFit="1" customWidth="1"/>
    <col min="59" max="59" width="15.6640625" bestFit="1" customWidth="1"/>
    <col min="60" max="61" width="17.33203125" bestFit="1" customWidth="1"/>
  </cols>
  <sheetData>
    <row r="4" spans="4:60" x14ac:dyDescent="0.3">
      <c r="D4" s="3" t="s">
        <v>40</v>
      </c>
      <c r="G4" s="3" t="s">
        <v>42</v>
      </c>
      <c r="K4" s="3" t="s">
        <v>53</v>
      </c>
      <c r="M4" s="3" t="s">
        <v>56</v>
      </c>
      <c r="O4" s="3"/>
      <c r="Q4" s="3" t="s">
        <v>58</v>
      </c>
      <c r="T4" s="3" t="s">
        <v>60</v>
      </c>
    </row>
    <row r="5" spans="4:60" x14ac:dyDescent="0.3">
      <c r="Z5" s="3" t="s">
        <v>64</v>
      </c>
      <c r="AG5" s="3" t="s">
        <v>65</v>
      </c>
      <c r="AM5" s="3" t="s">
        <v>66</v>
      </c>
      <c r="AS5" t="s">
        <v>74</v>
      </c>
      <c r="AZ5" s="3" t="s">
        <v>76</v>
      </c>
      <c r="BA5" s="3"/>
      <c r="BB5" s="3"/>
      <c r="BG5" t="s">
        <v>79</v>
      </c>
    </row>
    <row r="6" spans="4:60" x14ac:dyDescent="0.3">
      <c r="D6" t="s">
        <v>41</v>
      </c>
      <c r="G6" s="5" t="s">
        <v>44</v>
      </c>
      <c r="H6" t="s">
        <v>41</v>
      </c>
      <c r="K6" t="s">
        <v>55</v>
      </c>
      <c r="M6" s="5" t="s">
        <v>2</v>
      </c>
      <c r="N6">
        <f>COUNTA(M7:M11)</f>
        <v>5</v>
      </c>
      <c r="Q6" t="s">
        <v>59</v>
      </c>
      <c r="T6" s="5" t="s">
        <v>1</v>
      </c>
      <c r="U6" t="s">
        <v>62</v>
      </c>
      <c r="AZ6" s="5" t="s">
        <v>78</v>
      </c>
      <c r="BA6" t="s">
        <v>77</v>
      </c>
    </row>
    <row r="7" spans="4:60" x14ac:dyDescent="0.3">
      <c r="D7" s="4">
        <v>3000</v>
      </c>
      <c r="G7" s="6" t="s">
        <v>46</v>
      </c>
      <c r="H7" s="4">
        <v>2571</v>
      </c>
      <c r="K7" s="10">
        <v>187418229.16999966</v>
      </c>
      <c r="M7" t="s">
        <v>28</v>
      </c>
      <c r="Q7" s="11">
        <v>67.94</v>
      </c>
      <c r="T7" t="s">
        <v>21</v>
      </c>
      <c r="U7" s="12">
        <v>150</v>
      </c>
      <c r="AG7" s="5" t="s">
        <v>6</v>
      </c>
      <c r="AH7" t="s">
        <v>82</v>
      </c>
      <c r="AM7" s="5" t="s">
        <v>67</v>
      </c>
      <c r="AN7" t="s">
        <v>63</v>
      </c>
    </row>
    <row r="8" spans="4:60" x14ac:dyDescent="0.3">
      <c r="G8" s="6" t="s">
        <v>47</v>
      </c>
      <c r="H8" s="4">
        <v>429</v>
      </c>
      <c r="M8" t="s">
        <v>29</v>
      </c>
      <c r="T8" t="s">
        <v>13</v>
      </c>
      <c r="U8" s="12">
        <v>150</v>
      </c>
      <c r="Z8" s="5" t="s">
        <v>43</v>
      </c>
      <c r="AA8" t="s">
        <v>47</v>
      </c>
      <c r="AG8" t="s">
        <v>36</v>
      </c>
      <c r="AH8" s="12">
        <v>563</v>
      </c>
      <c r="AM8" t="s">
        <v>68</v>
      </c>
      <c r="AN8" s="12">
        <v>1209</v>
      </c>
      <c r="AS8" s="5" t="s">
        <v>9</v>
      </c>
      <c r="AT8" t="s">
        <v>75</v>
      </c>
      <c r="AZ8" s="5" t="s">
        <v>1</v>
      </c>
      <c r="BA8" t="s">
        <v>71</v>
      </c>
      <c r="BB8" t="s">
        <v>55</v>
      </c>
      <c r="BG8" s="5" t="s">
        <v>44</v>
      </c>
      <c r="BH8" t="s">
        <v>55</v>
      </c>
    </row>
    <row r="9" spans="4:60" x14ac:dyDescent="0.3">
      <c r="G9" s="6" t="s">
        <v>45</v>
      </c>
      <c r="H9" s="4">
        <v>3000</v>
      </c>
      <c r="K9" s="10">
        <f>GETPIVOTDATA("Stock value",$K$6)</f>
        <v>187418229.16999966</v>
      </c>
      <c r="M9" t="s">
        <v>30</v>
      </c>
      <c r="T9" t="s">
        <v>26</v>
      </c>
      <c r="U9" s="12">
        <v>149</v>
      </c>
      <c r="AG9" t="s">
        <v>34</v>
      </c>
      <c r="AH9" s="12">
        <v>611</v>
      </c>
      <c r="AM9" t="s">
        <v>69</v>
      </c>
      <c r="AN9" s="12">
        <v>1791</v>
      </c>
      <c r="AS9" t="s">
        <v>37</v>
      </c>
      <c r="AT9" s="12">
        <v>984</v>
      </c>
      <c r="AZ9" t="s">
        <v>22</v>
      </c>
      <c r="BA9" s="12">
        <v>20</v>
      </c>
      <c r="BB9" s="12">
        <v>339641.05</v>
      </c>
      <c r="BG9" s="6" t="s">
        <v>28</v>
      </c>
      <c r="BH9" s="14">
        <v>37472928.670000032</v>
      </c>
    </row>
    <row r="10" spans="4:60" x14ac:dyDescent="0.3">
      <c r="M10" t="s">
        <v>27</v>
      </c>
      <c r="T10" t="s">
        <v>14</v>
      </c>
      <c r="U10" s="12">
        <v>149</v>
      </c>
      <c r="Z10" s="5" t="s">
        <v>2</v>
      </c>
      <c r="AA10" t="s">
        <v>63</v>
      </c>
      <c r="AG10" t="s">
        <v>35</v>
      </c>
      <c r="AH10" s="12">
        <v>613</v>
      </c>
      <c r="AS10" t="s">
        <v>39</v>
      </c>
      <c r="AT10" s="12">
        <v>1011</v>
      </c>
      <c r="AZ10" t="s">
        <v>26</v>
      </c>
      <c r="BA10" s="12">
        <v>25</v>
      </c>
      <c r="BB10" s="12">
        <v>330064.3</v>
      </c>
      <c r="BG10" s="6" t="s">
        <v>29</v>
      </c>
      <c r="BH10" s="14">
        <v>36951937.289999984</v>
      </c>
    </row>
    <row r="11" spans="4:60" x14ac:dyDescent="0.3">
      <c r="M11" t="s">
        <v>31</v>
      </c>
      <c r="T11" t="s">
        <v>12</v>
      </c>
      <c r="U11" s="12">
        <v>148</v>
      </c>
      <c r="Z11" t="s">
        <v>29</v>
      </c>
      <c r="AA11" s="12">
        <v>95</v>
      </c>
      <c r="AG11" t="s">
        <v>32</v>
      </c>
      <c r="AH11" s="12">
        <v>585</v>
      </c>
      <c r="AS11" t="s">
        <v>38</v>
      </c>
      <c r="AT11" s="12">
        <v>1005</v>
      </c>
      <c r="AZ11" t="s">
        <v>19</v>
      </c>
      <c r="BA11" s="12">
        <v>30</v>
      </c>
      <c r="BB11" s="12">
        <v>344374.37</v>
      </c>
      <c r="BG11" s="6" t="s">
        <v>30</v>
      </c>
      <c r="BH11" s="14">
        <v>38950744.630000055</v>
      </c>
    </row>
    <row r="12" spans="4:60" x14ac:dyDescent="0.3">
      <c r="T12" t="s">
        <v>25</v>
      </c>
      <c r="U12" s="12">
        <v>148</v>
      </c>
      <c r="Z12" t="s">
        <v>30</v>
      </c>
      <c r="AA12" s="12">
        <v>95</v>
      </c>
      <c r="AG12" t="s">
        <v>33</v>
      </c>
      <c r="AH12" s="12">
        <v>628</v>
      </c>
      <c r="AZ12" t="s">
        <v>25</v>
      </c>
      <c r="BA12" s="12">
        <v>36</v>
      </c>
      <c r="BB12" s="12">
        <v>335037.2900000001</v>
      </c>
      <c r="BG12" s="6" t="s">
        <v>27</v>
      </c>
      <c r="BH12" s="14">
        <v>38499755.269999944</v>
      </c>
    </row>
    <row r="13" spans="4:60" x14ac:dyDescent="0.3">
      <c r="G13" t="s">
        <v>48</v>
      </c>
      <c r="H13" t="s">
        <v>49</v>
      </c>
      <c r="T13" t="s">
        <v>23</v>
      </c>
      <c r="U13" s="12">
        <v>144</v>
      </c>
      <c r="Z13" t="s">
        <v>28</v>
      </c>
      <c r="AA13" s="12">
        <v>86</v>
      </c>
      <c r="AM13" t="s">
        <v>70</v>
      </c>
      <c r="AN13" t="s">
        <v>49</v>
      </c>
      <c r="AZ13" t="s">
        <v>15</v>
      </c>
      <c r="BA13" s="12">
        <v>42</v>
      </c>
      <c r="BB13" s="12">
        <v>585927.86000000034</v>
      </c>
      <c r="BG13" s="6" t="s">
        <v>31</v>
      </c>
      <c r="BH13" s="14">
        <v>35542863.31000001</v>
      </c>
    </row>
    <row r="14" spans="4:60" x14ac:dyDescent="0.3">
      <c r="G14" t="s">
        <v>50</v>
      </c>
      <c r="H14">
        <f>GETPIVOTDATA("ProductName",$G$6,"Is reorder?",FALSE)</f>
        <v>2571</v>
      </c>
      <c r="T14" t="s">
        <v>17</v>
      </c>
      <c r="U14" s="12">
        <v>142</v>
      </c>
      <c r="Z14" t="s">
        <v>27</v>
      </c>
      <c r="AA14" s="12">
        <v>78</v>
      </c>
      <c r="AM14" t="s">
        <v>71</v>
      </c>
      <c r="AN14">
        <f>GETPIVOTDATA("ProductName",$D$6)</f>
        <v>3000</v>
      </c>
      <c r="BG14" s="6" t="s">
        <v>45</v>
      </c>
      <c r="BH14" s="14">
        <v>187418229.17000002</v>
      </c>
    </row>
    <row r="15" spans="4:60" x14ac:dyDescent="0.3">
      <c r="G15" t="s">
        <v>51</v>
      </c>
      <c r="H15">
        <f>GETPIVOTDATA("ProductName",$G$6,"Is reorder?",TRUE)</f>
        <v>429</v>
      </c>
      <c r="T15" t="s">
        <v>24</v>
      </c>
      <c r="U15" s="12">
        <v>137</v>
      </c>
      <c r="Z15" t="s">
        <v>31</v>
      </c>
      <c r="AA15" s="12">
        <v>75</v>
      </c>
      <c r="AM15" t="s">
        <v>72</v>
      </c>
      <c r="AN15">
        <f>GETPIVOTDATA("Overstocked",$AM$7,"Overstocked","Over Stock")</f>
        <v>1791</v>
      </c>
    </row>
    <row r="16" spans="4:60" x14ac:dyDescent="0.3">
      <c r="G16" t="s">
        <v>52</v>
      </c>
      <c r="H16" s="7">
        <f>H15/GETPIVOTDATA("ProductName",$G$6)</f>
        <v>0.14299999999999999</v>
      </c>
      <c r="I16" t="s">
        <v>57</v>
      </c>
      <c r="T16" t="s">
        <v>18</v>
      </c>
      <c r="U16" s="12">
        <v>136</v>
      </c>
      <c r="AM16" t="s">
        <v>73</v>
      </c>
      <c r="AN16" s="13">
        <f>AN15/AN14</f>
        <v>0.59699999999999998</v>
      </c>
    </row>
    <row r="17" spans="4:53" x14ac:dyDescent="0.3">
      <c r="T17" t="s">
        <v>11</v>
      </c>
      <c r="U17" s="12">
        <v>135</v>
      </c>
      <c r="Z17" s="12">
        <f>SUM(AA11:AA15)</f>
        <v>429</v>
      </c>
    </row>
    <row r="18" spans="4:53" x14ac:dyDescent="0.3">
      <c r="T18" t="s">
        <v>20</v>
      </c>
      <c r="U18" s="12">
        <v>134</v>
      </c>
      <c r="Z18" t="str">
        <f>Z17 &amp;" Products Have Most Low-Stock"</f>
        <v>429 Products Have Most Low-Stock</v>
      </c>
      <c r="AZ18" t="s">
        <v>81</v>
      </c>
      <c r="BA18">
        <v>1</v>
      </c>
    </row>
    <row r="19" spans="4:53" x14ac:dyDescent="0.3">
      <c r="G19" t="str">
        <f>TEXT(H16,"0.0%")&amp;" are Below Reorder Level"</f>
        <v>14.3% are Below Reorder Level</v>
      </c>
      <c r="T19" t="s">
        <v>19</v>
      </c>
      <c r="U19" s="12">
        <v>134</v>
      </c>
    </row>
    <row r="20" spans="4:53" x14ac:dyDescent="0.3">
      <c r="T20" t="s">
        <v>16</v>
      </c>
      <c r="U20" s="12">
        <v>121</v>
      </c>
      <c r="AM20" t="str">
        <f>TEXT(AN16,"0.0%")&amp;" of Products are Overstocked"</f>
        <v>59.7% of Products are Overstocked</v>
      </c>
    </row>
    <row r="21" spans="4:53" x14ac:dyDescent="0.3">
      <c r="T21" t="s">
        <v>15</v>
      </c>
      <c r="U21" s="12">
        <v>119</v>
      </c>
    </row>
    <row r="22" spans="4:53" x14ac:dyDescent="0.3">
      <c r="T22" t="s">
        <v>10</v>
      </c>
      <c r="U22" s="12">
        <v>119</v>
      </c>
      <c r="AZ22" t="str" cm="1">
        <f t="array" ref="AZ22:AZ27">AZ8:AZ13</f>
        <v>ProductName</v>
      </c>
      <c r="BA22" t="str">
        <f>IF($BA$18 = 1, BA8, BB8)</f>
        <v>Total Products</v>
      </c>
    </row>
    <row r="23" spans="4:53" x14ac:dyDescent="0.3">
      <c r="T23" t="s">
        <v>22</v>
      </c>
      <c r="U23" s="12">
        <v>98</v>
      </c>
      <c r="AZ23" t="str">
        <v>Floor Tiles</v>
      </c>
      <c r="BA23">
        <f t="shared" ref="BA23:BA27" si="0">IF($BA$18 = 1, BA9, BB9)</f>
        <v>20</v>
      </c>
    </row>
    <row r="24" spans="4:53" x14ac:dyDescent="0.3">
      <c r="AZ24" t="str">
        <v>Door Frame</v>
      </c>
      <c r="BA24">
        <f t="shared" si="0"/>
        <v>25</v>
      </c>
    </row>
    <row r="25" spans="4:53" x14ac:dyDescent="0.3">
      <c r="D25" t="s">
        <v>80</v>
      </c>
      <c r="AZ25" t="str">
        <v>Roofing Sheet</v>
      </c>
      <c r="BA25">
        <f t="shared" si="0"/>
        <v>30</v>
      </c>
    </row>
    <row r="26" spans="4:53" x14ac:dyDescent="0.3">
      <c r="D26" s="4">
        <v>752421</v>
      </c>
      <c r="AZ26" t="str">
        <v>Kitchen Sink</v>
      </c>
      <c r="BA26">
        <f t="shared" si="0"/>
        <v>36</v>
      </c>
    </row>
    <row r="27" spans="4:53" x14ac:dyDescent="0.3">
      <c r="AZ27" t="str">
        <v>Bulb Pack</v>
      </c>
      <c r="BA27">
        <f t="shared" si="0"/>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6024-ED97-43B6-B283-3366756C6EC4}">
  <dimension ref="A1"/>
  <sheetViews>
    <sheetView showGridLines="0" showRowColHeaders="0" tabSelected="1" topLeftCell="A3" zoomScale="79" zoomScaleNormal="115" workbookViewId="0">
      <selection activeCell="Y18" sqref="Y18"/>
    </sheetView>
  </sheetViews>
  <sheetFormatPr defaultRowHeight="14.4" x14ac:dyDescent="0.3"/>
  <cols>
    <col min="1" max="16384" width="8.88671875" style="15"/>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8" r:id="rId3" name="Option Button 4">
              <controlPr defaultSize="0" autoFill="0" autoLine="0" autoPict="0">
                <anchor moveWithCells="1">
                  <from>
                    <xdr:col>11</xdr:col>
                    <xdr:colOff>457200</xdr:colOff>
                    <xdr:row>16</xdr:row>
                    <xdr:rowOff>144780</xdr:rowOff>
                  </from>
                  <to>
                    <xdr:col>13</xdr:col>
                    <xdr:colOff>144780</xdr:colOff>
                    <xdr:row>17</xdr:row>
                    <xdr:rowOff>175260</xdr:rowOff>
                  </to>
                </anchor>
              </controlPr>
            </control>
          </mc:Choice>
        </mc:AlternateContent>
        <mc:AlternateContent xmlns:mc="http://schemas.openxmlformats.org/markup-compatibility/2006">
          <mc:Choice Requires="x14">
            <control shapeId="1029" r:id="rId4" name="Option Button 5">
              <controlPr defaultSize="0" autoFill="0" autoLine="0" autoPict="0">
                <anchor moveWithCells="1">
                  <from>
                    <xdr:col>13</xdr:col>
                    <xdr:colOff>480060</xdr:colOff>
                    <xdr:row>16</xdr:row>
                    <xdr:rowOff>144780</xdr:rowOff>
                  </from>
                  <to>
                    <xdr:col>15</xdr:col>
                    <xdr:colOff>167640</xdr:colOff>
                    <xdr:row>17</xdr:row>
                    <xdr:rowOff>175260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1"/>
  <sheetViews>
    <sheetView workbookViewId="0">
      <selection activeCell="N6" sqref="N6"/>
    </sheetView>
  </sheetViews>
  <sheetFormatPr defaultRowHeight="14.4" x14ac:dyDescent="0.3"/>
  <cols>
    <col min="1" max="1" width="13.88671875" bestFit="1" customWidth="1"/>
    <col min="2" max="2" width="17.109375" bestFit="1" customWidth="1"/>
    <col min="3" max="3" width="15.5546875" bestFit="1" customWidth="1"/>
    <col min="4" max="5" width="16.44140625" bestFit="1" customWidth="1"/>
    <col min="6" max="6" width="13.109375" bestFit="1" customWidth="1"/>
    <col min="7" max="7" width="15.109375" bestFit="1" customWidth="1"/>
    <col min="8" max="8" width="19.33203125" bestFit="1" customWidth="1"/>
    <col min="9" max="9" width="19.88671875" bestFit="1" customWidth="1"/>
    <col min="10" max="10" width="22.44140625" bestFit="1" customWidth="1"/>
    <col min="12" max="12" width="15.109375" style="9" bestFit="1" customWidth="1"/>
    <col min="13" max="13" width="13" bestFit="1" customWidth="1"/>
    <col min="14" max="14" width="15.77734375" bestFit="1" customWidth="1"/>
    <col min="15" max="15" width="20.109375" bestFit="1" customWidth="1"/>
  </cols>
  <sheetData>
    <row r="1" spans="1:15" x14ac:dyDescent="0.3">
      <c r="A1" s="2" t="s">
        <v>0</v>
      </c>
      <c r="B1" s="2" t="s">
        <v>1</v>
      </c>
      <c r="C1" s="2" t="s">
        <v>2</v>
      </c>
      <c r="D1" s="2" t="s">
        <v>3</v>
      </c>
      <c r="E1" s="2" t="s">
        <v>4</v>
      </c>
      <c r="F1" s="2" t="s">
        <v>5</v>
      </c>
      <c r="G1" s="2" t="s">
        <v>6</v>
      </c>
      <c r="H1" s="2" t="s">
        <v>7</v>
      </c>
      <c r="I1" s="2" t="s">
        <v>8</v>
      </c>
      <c r="J1" s="2" t="s">
        <v>9</v>
      </c>
      <c r="K1" s="2" t="s">
        <v>43</v>
      </c>
      <c r="L1" s="8" t="s">
        <v>54</v>
      </c>
      <c r="M1" s="2" t="s">
        <v>61</v>
      </c>
      <c r="N1" s="2" t="s">
        <v>67</v>
      </c>
      <c r="O1" s="2" t="s">
        <v>78</v>
      </c>
    </row>
    <row r="2" spans="1:15" x14ac:dyDescent="0.3">
      <c r="A2">
        <v>47194</v>
      </c>
      <c r="B2" t="s">
        <v>10</v>
      </c>
      <c r="C2" t="s">
        <v>27</v>
      </c>
      <c r="D2">
        <v>270</v>
      </c>
      <c r="E2">
        <v>40</v>
      </c>
      <c r="F2">
        <v>390.95</v>
      </c>
      <c r="G2" t="s">
        <v>32</v>
      </c>
      <c r="H2" s="1">
        <v>45312</v>
      </c>
      <c r="I2" s="1">
        <v>45335</v>
      </c>
      <c r="J2" t="s">
        <v>37</v>
      </c>
      <c r="K2" t="b">
        <f>Table1[[#This Row],[CurrentStock]]&lt;Table1[[#This Row],[ReorderLevel]]</f>
        <v>0</v>
      </c>
      <c r="L2" s="9">
        <f>Table1[[#This Row],[CurrentStock]]*Table1[[#This Row],[UnitPrice]]</f>
        <v>105556.5</v>
      </c>
      <c r="M2" t="str">
        <f>IF(Table1[[#This Row],[ReorderLevel]]-Table1[[#This Row],[CurrentStock]]&gt;0,Table1[[#This Row],[ReorderLevel]]-Table1[[#This Row],[CurrentStock]],"")</f>
        <v/>
      </c>
      <c r="N2" t="str">
        <f>IF(Table1[[#This Row],[CurrentStock]]&gt;Table1[[#This Row],[ReorderLevel]]*3,"Over Stock","Okay")</f>
        <v>Over Stock</v>
      </c>
      <c r="O2" t="str">
        <f>IF(Table1[[#This Row],[CurrentStock]]&lt;Table1[[#This Row],[ReorderLevel]],"Reorder","Okay")</f>
        <v>Okay</v>
      </c>
    </row>
    <row r="3" spans="1:15" x14ac:dyDescent="0.3">
      <c r="A3">
        <v>72955</v>
      </c>
      <c r="B3" t="s">
        <v>11</v>
      </c>
      <c r="C3" t="s">
        <v>27</v>
      </c>
      <c r="D3">
        <v>151</v>
      </c>
      <c r="E3">
        <v>40</v>
      </c>
      <c r="F3">
        <v>15.19</v>
      </c>
      <c r="G3" t="s">
        <v>33</v>
      </c>
      <c r="H3" s="1">
        <v>45549</v>
      </c>
      <c r="I3" s="1">
        <v>45577</v>
      </c>
      <c r="J3" t="s">
        <v>37</v>
      </c>
      <c r="K3" t="b">
        <f>Table1[[#This Row],[CurrentStock]]&lt;Table1[[#This Row],[ReorderLevel]]</f>
        <v>0</v>
      </c>
      <c r="L3" s="9">
        <f>Table1[[#This Row],[CurrentStock]]*Table1[[#This Row],[UnitPrice]]</f>
        <v>2293.69</v>
      </c>
      <c r="M3" t="str">
        <f>IF(Table1[[#This Row],[ReorderLevel]]-Table1[[#This Row],[CurrentStock]]&gt;0,Table1[[#This Row],[ReorderLevel]]-Table1[[#This Row],[CurrentStock]],"")</f>
        <v/>
      </c>
      <c r="N3" t="str">
        <f>IF(Table1[[#This Row],[CurrentStock]]&gt;Table1[[#This Row],[ReorderLevel]]*3,"Over Stock","Okay")</f>
        <v>Over Stock</v>
      </c>
      <c r="O3" t="str">
        <f>IF(Table1[[#This Row],[CurrentStock]]&lt;Table1[[#This Row],[ReorderLevel]],"Reorder","Okay")</f>
        <v>Okay</v>
      </c>
    </row>
    <row r="4" spans="1:15" x14ac:dyDescent="0.3">
      <c r="A4">
        <v>35658</v>
      </c>
      <c r="B4" t="s">
        <v>12</v>
      </c>
      <c r="C4" t="s">
        <v>28</v>
      </c>
      <c r="D4">
        <v>21</v>
      </c>
      <c r="E4">
        <v>80</v>
      </c>
      <c r="F4">
        <v>218.81</v>
      </c>
      <c r="G4" t="s">
        <v>33</v>
      </c>
      <c r="H4" s="1">
        <v>45340</v>
      </c>
      <c r="I4" s="1">
        <v>45371</v>
      </c>
      <c r="J4" t="s">
        <v>38</v>
      </c>
      <c r="K4" t="b">
        <f>Table1[[#This Row],[CurrentStock]]&lt;Table1[[#This Row],[ReorderLevel]]</f>
        <v>1</v>
      </c>
      <c r="L4" s="9">
        <f>Table1[[#This Row],[CurrentStock]]*Table1[[#This Row],[UnitPrice]]</f>
        <v>4595.01</v>
      </c>
      <c r="M4">
        <f>IF(Table1[[#This Row],[ReorderLevel]]-Table1[[#This Row],[CurrentStock]]&gt;0,Table1[[#This Row],[ReorderLevel]]-Table1[[#This Row],[CurrentStock]],"")</f>
        <v>59</v>
      </c>
      <c r="N4" t="str">
        <f>IF(Table1[[#This Row],[CurrentStock]]&gt;Table1[[#This Row],[ReorderLevel]]*3,"Over Stock","Okay")</f>
        <v>Okay</v>
      </c>
      <c r="O4" t="str">
        <f>IF(Table1[[#This Row],[CurrentStock]]&lt;Table1[[#This Row],[ReorderLevel]],"Reorder","Okay")</f>
        <v>Reorder</v>
      </c>
    </row>
    <row r="5" spans="1:15" x14ac:dyDescent="0.3">
      <c r="A5">
        <v>90038</v>
      </c>
      <c r="B5" t="s">
        <v>13</v>
      </c>
      <c r="C5" t="s">
        <v>29</v>
      </c>
      <c r="D5">
        <v>243</v>
      </c>
      <c r="E5">
        <v>20</v>
      </c>
      <c r="F5">
        <v>27.99</v>
      </c>
      <c r="G5" t="s">
        <v>33</v>
      </c>
      <c r="H5" s="1">
        <v>45598</v>
      </c>
      <c r="I5" s="1">
        <v>45609</v>
      </c>
      <c r="J5" t="s">
        <v>37</v>
      </c>
      <c r="K5" t="b">
        <f>Table1[[#This Row],[CurrentStock]]&lt;Table1[[#This Row],[ReorderLevel]]</f>
        <v>0</v>
      </c>
      <c r="L5" s="9">
        <f>Table1[[#This Row],[CurrentStock]]*Table1[[#This Row],[UnitPrice]]</f>
        <v>6801.57</v>
      </c>
      <c r="M5" t="str">
        <f>IF(Table1[[#This Row],[ReorderLevel]]-Table1[[#This Row],[CurrentStock]]&gt;0,Table1[[#This Row],[ReorderLevel]]-Table1[[#This Row],[CurrentStock]],"")</f>
        <v/>
      </c>
      <c r="N5" t="str">
        <f>IF(Table1[[#This Row],[CurrentStock]]&gt;Table1[[#This Row],[ReorderLevel]]*3,"Over Stock","Okay")</f>
        <v>Over Stock</v>
      </c>
      <c r="O5" t="str">
        <f>IF(Table1[[#This Row],[CurrentStock]]&lt;Table1[[#This Row],[ReorderLevel]],"Reorder","Okay")</f>
        <v>Okay</v>
      </c>
    </row>
    <row r="6" spans="1:15" x14ac:dyDescent="0.3">
      <c r="A6">
        <v>33483</v>
      </c>
      <c r="B6" t="s">
        <v>14</v>
      </c>
      <c r="C6" t="s">
        <v>27</v>
      </c>
      <c r="D6">
        <v>241</v>
      </c>
      <c r="E6">
        <v>30</v>
      </c>
      <c r="F6">
        <v>155.78</v>
      </c>
      <c r="G6" t="s">
        <v>34</v>
      </c>
      <c r="H6" s="1">
        <v>45344</v>
      </c>
      <c r="I6" s="1">
        <v>45350</v>
      </c>
      <c r="J6" t="s">
        <v>37</v>
      </c>
      <c r="K6" t="b">
        <f>Table1[[#This Row],[CurrentStock]]&lt;Table1[[#This Row],[ReorderLevel]]</f>
        <v>0</v>
      </c>
      <c r="L6" s="9">
        <f>Table1[[#This Row],[CurrentStock]]*Table1[[#This Row],[UnitPrice]]</f>
        <v>37542.980000000003</v>
      </c>
      <c r="M6" t="str">
        <f>IF(Table1[[#This Row],[ReorderLevel]]-Table1[[#This Row],[CurrentStock]]&gt;0,Table1[[#This Row],[ReorderLevel]]-Table1[[#This Row],[CurrentStock]],"")</f>
        <v/>
      </c>
      <c r="N6" t="str">
        <f>IF(Table1[[#This Row],[CurrentStock]]&gt;Table1[[#This Row],[ReorderLevel]]*3,"Over Stock","Okay")</f>
        <v>Over Stock</v>
      </c>
      <c r="O6" t="str">
        <f>IF(Table1[[#This Row],[CurrentStock]]&lt;Table1[[#This Row],[ReorderLevel]],"Reorder","Okay")</f>
        <v>Okay</v>
      </c>
    </row>
    <row r="7" spans="1:15" x14ac:dyDescent="0.3">
      <c r="A7">
        <v>88953</v>
      </c>
      <c r="B7" t="s">
        <v>15</v>
      </c>
      <c r="C7" t="s">
        <v>29</v>
      </c>
      <c r="D7">
        <v>80</v>
      </c>
      <c r="E7">
        <v>50</v>
      </c>
      <c r="F7">
        <v>95.21</v>
      </c>
      <c r="G7" t="s">
        <v>34</v>
      </c>
      <c r="H7" s="1">
        <v>45293</v>
      </c>
      <c r="I7" s="1">
        <v>45303</v>
      </c>
      <c r="J7" t="s">
        <v>39</v>
      </c>
      <c r="K7" t="b">
        <f>Table1[[#This Row],[CurrentStock]]&lt;Table1[[#This Row],[ReorderLevel]]</f>
        <v>0</v>
      </c>
      <c r="L7" s="9">
        <f>Table1[[#This Row],[CurrentStock]]*Table1[[#This Row],[UnitPrice]]</f>
        <v>7616.7999999999993</v>
      </c>
      <c r="M7" t="str">
        <f>IF(Table1[[#This Row],[ReorderLevel]]-Table1[[#This Row],[CurrentStock]]&gt;0,Table1[[#This Row],[ReorderLevel]]-Table1[[#This Row],[CurrentStock]],"")</f>
        <v/>
      </c>
      <c r="N7" t="str">
        <f>IF(Table1[[#This Row],[CurrentStock]]&gt;Table1[[#This Row],[ReorderLevel]]*3,"Over Stock","Okay")</f>
        <v>Okay</v>
      </c>
      <c r="O7" t="str">
        <f>IF(Table1[[#This Row],[CurrentStock]]&lt;Table1[[#This Row],[ReorderLevel]],"Reorder","Okay")</f>
        <v>Okay</v>
      </c>
    </row>
    <row r="8" spans="1:15" x14ac:dyDescent="0.3">
      <c r="A8">
        <v>42606</v>
      </c>
      <c r="B8" t="s">
        <v>16</v>
      </c>
      <c r="C8" t="s">
        <v>30</v>
      </c>
      <c r="D8">
        <v>401</v>
      </c>
      <c r="E8">
        <v>30</v>
      </c>
      <c r="F8">
        <v>227.63</v>
      </c>
      <c r="G8" t="s">
        <v>34</v>
      </c>
      <c r="H8" s="1">
        <v>45493</v>
      </c>
      <c r="I8" s="1">
        <v>45511</v>
      </c>
      <c r="J8" t="s">
        <v>37</v>
      </c>
      <c r="K8" t="b">
        <f>Table1[[#This Row],[CurrentStock]]&lt;Table1[[#This Row],[ReorderLevel]]</f>
        <v>0</v>
      </c>
      <c r="L8" s="9">
        <f>Table1[[#This Row],[CurrentStock]]*Table1[[#This Row],[UnitPrice]]</f>
        <v>91279.63</v>
      </c>
      <c r="M8" t="str">
        <f>IF(Table1[[#This Row],[ReorderLevel]]-Table1[[#This Row],[CurrentStock]]&gt;0,Table1[[#This Row],[ReorderLevel]]-Table1[[#This Row],[CurrentStock]],"")</f>
        <v/>
      </c>
      <c r="N8" t="str">
        <f>IF(Table1[[#This Row],[CurrentStock]]&gt;Table1[[#This Row],[ReorderLevel]]*3,"Over Stock","Okay")</f>
        <v>Over Stock</v>
      </c>
      <c r="O8" t="str">
        <f>IF(Table1[[#This Row],[CurrentStock]]&lt;Table1[[#This Row],[ReorderLevel]],"Reorder","Okay")</f>
        <v>Okay</v>
      </c>
    </row>
    <row r="9" spans="1:15" x14ac:dyDescent="0.3">
      <c r="A9">
        <v>73704</v>
      </c>
      <c r="B9" t="s">
        <v>17</v>
      </c>
      <c r="C9" t="s">
        <v>30</v>
      </c>
      <c r="D9">
        <v>236</v>
      </c>
      <c r="E9">
        <v>30</v>
      </c>
      <c r="F9">
        <v>272.14999999999998</v>
      </c>
      <c r="G9" t="s">
        <v>34</v>
      </c>
      <c r="H9" s="1">
        <v>45571</v>
      </c>
      <c r="I9" s="1">
        <v>45601</v>
      </c>
      <c r="J9" t="s">
        <v>37</v>
      </c>
      <c r="K9" t="b">
        <f>Table1[[#This Row],[CurrentStock]]&lt;Table1[[#This Row],[ReorderLevel]]</f>
        <v>0</v>
      </c>
      <c r="L9" s="9">
        <f>Table1[[#This Row],[CurrentStock]]*Table1[[#This Row],[UnitPrice]]</f>
        <v>64227.399999999994</v>
      </c>
      <c r="M9" t="str">
        <f>IF(Table1[[#This Row],[ReorderLevel]]-Table1[[#This Row],[CurrentStock]]&gt;0,Table1[[#This Row],[ReorderLevel]]-Table1[[#This Row],[CurrentStock]],"")</f>
        <v/>
      </c>
      <c r="N9" t="str">
        <f>IF(Table1[[#This Row],[CurrentStock]]&gt;Table1[[#This Row],[ReorderLevel]]*3,"Over Stock","Okay")</f>
        <v>Over Stock</v>
      </c>
      <c r="O9" t="str">
        <f>IF(Table1[[#This Row],[CurrentStock]]&lt;Table1[[#This Row],[ReorderLevel]],"Reorder","Okay")</f>
        <v>Okay</v>
      </c>
    </row>
    <row r="10" spans="1:15" x14ac:dyDescent="0.3">
      <c r="A10">
        <v>72592</v>
      </c>
      <c r="B10" t="s">
        <v>18</v>
      </c>
      <c r="C10" t="s">
        <v>28</v>
      </c>
      <c r="D10">
        <v>14</v>
      </c>
      <c r="E10">
        <v>80</v>
      </c>
      <c r="F10">
        <v>41.9</v>
      </c>
      <c r="G10" t="s">
        <v>34</v>
      </c>
      <c r="H10" s="1">
        <v>45618</v>
      </c>
      <c r="I10" s="1">
        <v>45631</v>
      </c>
      <c r="J10" t="s">
        <v>38</v>
      </c>
      <c r="K10" t="b">
        <f>Table1[[#This Row],[CurrentStock]]&lt;Table1[[#This Row],[ReorderLevel]]</f>
        <v>1</v>
      </c>
      <c r="L10" s="9">
        <f>Table1[[#This Row],[CurrentStock]]*Table1[[#This Row],[UnitPrice]]</f>
        <v>586.6</v>
      </c>
      <c r="M10">
        <f>IF(Table1[[#This Row],[ReorderLevel]]-Table1[[#This Row],[CurrentStock]]&gt;0,Table1[[#This Row],[ReorderLevel]]-Table1[[#This Row],[CurrentStock]],"")</f>
        <v>66</v>
      </c>
      <c r="N10" t="str">
        <f>IF(Table1[[#This Row],[CurrentStock]]&gt;Table1[[#This Row],[ReorderLevel]]*3,"Over Stock","Okay")</f>
        <v>Okay</v>
      </c>
      <c r="O10" t="str">
        <f>IF(Table1[[#This Row],[CurrentStock]]&lt;Table1[[#This Row],[ReorderLevel]],"Reorder","Okay")</f>
        <v>Reorder</v>
      </c>
    </row>
    <row r="11" spans="1:15" x14ac:dyDescent="0.3">
      <c r="A11">
        <v>32662</v>
      </c>
      <c r="B11" t="s">
        <v>13</v>
      </c>
      <c r="C11" t="s">
        <v>29</v>
      </c>
      <c r="D11">
        <v>80</v>
      </c>
      <c r="E11">
        <v>40</v>
      </c>
      <c r="F11">
        <v>396.14</v>
      </c>
      <c r="G11" t="s">
        <v>35</v>
      </c>
      <c r="H11" s="1">
        <v>45552</v>
      </c>
      <c r="I11" s="1">
        <v>45584</v>
      </c>
      <c r="J11" t="s">
        <v>39</v>
      </c>
      <c r="K11" t="b">
        <f>Table1[[#This Row],[CurrentStock]]&lt;Table1[[#This Row],[ReorderLevel]]</f>
        <v>0</v>
      </c>
      <c r="L11" s="9">
        <f>Table1[[#This Row],[CurrentStock]]*Table1[[#This Row],[UnitPrice]]</f>
        <v>31691.199999999997</v>
      </c>
      <c r="M11" t="str">
        <f>IF(Table1[[#This Row],[ReorderLevel]]-Table1[[#This Row],[CurrentStock]]&gt;0,Table1[[#This Row],[ReorderLevel]]-Table1[[#This Row],[CurrentStock]],"")</f>
        <v/>
      </c>
      <c r="N11" t="str">
        <f>IF(Table1[[#This Row],[CurrentStock]]&gt;Table1[[#This Row],[ReorderLevel]]*3,"Over Stock","Okay")</f>
        <v>Okay</v>
      </c>
      <c r="O11" t="str">
        <f>IF(Table1[[#This Row],[CurrentStock]]&lt;Table1[[#This Row],[ReorderLevel]],"Reorder","Okay")</f>
        <v>Okay</v>
      </c>
    </row>
    <row r="12" spans="1:15" x14ac:dyDescent="0.3">
      <c r="A12">
        <v>34538</v>
      </c>
      <c r="B12" t="s">
        <v>19</v>
      </c>
      <c r="C12" t="s">
        <v>28</v>
      </c>
      <c r="D12">
        <v>406</v>
      </c>
      <c r="E12">
        <v>100</v>
      </c>
      <c r="F12">
        <v>165.97</v>
      </c>
      <c r="G12" t="s">
        <v>32</v>
      </c>
      <c r="H12" s="1">
        <v>45390</v>
      </c>
      <c r="I12" s="1">
        <v>45416</v>
      </c>
      <c r="J12" t="s">
        <v>37</v>
      </c>
      <c r="K12" t="b">
        <f>Table1[[#This Row],[CurrentStock]]&lt;Table1[[#This Row],[ReorderLevel]]</f>
        <v>0</v>
      </c>
      <c r="L12" s="9">
        <f>Table1[[#This Row],[CurrentStock]]*Table1[[#This Row],[UnitPrice]]</f>
        <v>67383.819999999992</v>
      </c>
      <c r="M12" t="str">
        <f>IF(Table1[[#This Row],[ReorderLevel]]-Table1[[#This Row],[CurrentStock]]&gt;0,Table1[[#This Row],[ReorderLevel]]-Table1[[#This Row],[CurrentStock]],"")</f>
        <v/>
      </c>
      <c r="N12" t="str">
        <f>IF(Table1[[#This Row],[CurrentStock]]&gt;Table1[[#This Row],[ReorderLevel]]*3,"Over Stock","Okay")</f>
        <v>Over Stock</v>
      </c>
      <c r="O12" t="str">
        <f>IF(Table1[[#This Row],[CurrentStock]]&lt;Table1[[#This Row],[ReorderLevel]],"Reorder","Okay")</f>
        <v>Okay</v>
      </c>
    </row>
    <row r="13" spans="1:15" x14ac:dyDescent="0.3">
      <c r="A13">
        <v>16910</v>
      </c>
      <c r="B13" t="s">
        <v>20</v>
      </c>
      <c r="C13" t="s">
        <v>29</v>
      </c>
      <c r="D13">
        <v>430</v>
      </c>
      <c r="E13">
        <v>100</v>
      </c>
      <c r="F13">
        <v>425.21</v>
      </c>
      <c r="G13" t="s">
        <v>32</v>
      </c>
      <c r="H13" s="1">
        <v>45296</v>
      </c>
      <c r="I13" s="1">
        <v>45326</v>
      </c>
      <c r="J13" t="s">
        <v>37</v>
      </c>
      <c r="K13" t="b">
        <f>Table1[[#This Row],[CurrentStock]]&lt;Table1[[#This Row],[ReorderLevel]]</f>
        <v>0</v>
      </c>
      <c r="L13" s="9">
        <f>Table1[[#This Row],[CurrentStock]]*Table1[[#This Row],[UnitPrice]]</f>
        <v>182840.3</v>
      </c>
      <c r="M13" t="str">
        <f>IF(Table1[[#This Row],[ReorderLevel]]-Table1[[#This Row],[CurrentStock]]&gt;0,Table1[[#This Row],[ReorderLevel]]-Table1[[#This Row],[CurrentStock]],"")</f>
        <v/>
      </c>
      <c r="N13" t="str">
        <f>IF(Table1[[#This Row],[CurrentStock]]&gt;Table1[[#This Row],[ReorderLevel]]*3,"Over Stock","Okay")</f>
        <v>Over Stock</v>
      </c>
      <c r="O13" t="str">
        <f>IF(Table1[[#This Row],[CurrentStock]]&lt;Table1[[#This Row],[ReorderLevel]],"Reorder","Okay")</f>
        <v>Okay</v>
      </c>
    </row>
    <row r="14" spans="1:15" x14ac:dyDescent="0.3">
      <c r="A14">
        <v>97939</v>
      </c>
      <c r="B14" t="s">
        <v>21</v>
      </c>
      <c r="C14" t="s">
        <v>31</v>
      </c>
      <c r="D14">
        <v>379</v>
      </c>
      <c r="E14">
        <v>80</v>
      </c>
      <c r="F14">
        <v>104.85</v>
      </c>
      <c r="G14" t="s">
        <v>36</v>
      </c>
      <c r="H14" s="1">
        <v>45643</v>
      </c>
      <c r="I14" s="1">
        <v>45679</v>
      </c>
      <c r="J14" t="s">
        <v>38</v>
      </c>
      <c r="K14" t="b">
        <f>Table1[[#This Row],[CurrentStock]]&lt;Table1[[#This Row],[ReorderLevel]]</f>
        <v>0</v>
      </c>
      <c r="L14" s="9">
        <f>Table1[[#This Row],[CurrentStock]]*Table1[[#This Row],[UnitPrice]]</f>
        <v>39738.15</v>
      </c>
      <c r="M14" t="str">
        <f>IF(Table1[[#This Row],[ReorderLevel]]-Table1[[#This Row],[CurrentStock]]&gt;0,Table1[[#This Row],[ReorderLevel]]-Table1[[#This Row],[CurrentStock]],"")</f>
        <v/>
      </c>
      <c r="N14" t="str">
        <f>IF(Table1[[#This Row],[CurrentStock]]&gt;Table1[[#This Row],[ReorderLevel]]*3,"Over Stock","Okay")</f>
        <v>Over Stock</v>
      </c>
      <c r="O14" t="str">
        <f>IF(Table1[[#This Row],[CurrentStock]]&lt;Table1[[#This Row],[ReorderLevel]],"Reorder","Okay")</f>
        <v>Okay</v>
      </c>
    </row>
    <row r="15" spans="1:15" x14ac:dyDescent="0.3">
      <c r="A15">
        <v>85450</v>
      </c>
      <c r="B15" t="s">
        <v>16</v>
      </c>
      <c r="C15" t="s">
        <v>30</v>
      </c>
      <c r="D15">
        <v>170</v>
      </c>
      <c r="E15">
        <v>80</v>
      </c>
      <c r="F15">
        <v>118.26</v>
      </c>
      <c r="G15" t="s">
        <v>32</v>
      </c>
      <c r="H15" s="1">
        <v>45451</v>
      </c>
      <c r="I15" s="1">
        <v>45462</v>
      </c>
      <c r="J15" t="s">
        <v>39</v>
      </c>
      <c r="K15" t="b">
        <f>Table1[[#This Row],[CurrentStock]]&lt;Table1[[#This Row],[ReorderLevel]]</f>
        <v>0</v>
      </c>
      <c r="L15" s="9">
        <f>Table1[[#This Row],[CurrentStock]]*Table1[[#This Row],[UnitPrice]]</f>
        <v>20104.2</v>
      </c>
      <c r="M15" t="str">
        <f>IF(Table1[[#This Row],[ReorderLevel]]-Table1[[#This Row],[CurrentStock]]&gt;0,Table1[[#This Row],[ReorderLevel]]-Table1[[#This Row],[CurrentStock]],"")</f>
        <v/>
      </c>
      <c r="N15" t="str">
        <f>IF(Table1[[#This Row],[CurrentStock]]&gt;Table1[[#This Row],[ReorderLevel]]*3,"Over Stock","Okay")</f>
        <v>Okay</v>
      </c>
      <c r="O15" t="str">
        <f>IF(Table1[[#This Row],[CurrentStock]]&lt;Table1[[#This Row],[ReorderLevel]],"Reorder","Okay")</f>
        <v>Okay</v>
      </c>
    </row>
    <row r="16" spans="1:15" x14ac:dyDescent="0.3">
      <c r="A16">
        <v>79163</v>
      </c>
      <c r="B16" t="s">
        <v>14</v>
      </c>
      <c r="C16" t="s">
        <v>27</v>
      </c>
      <c r="D16">
        <v>169</v>
      </c>
      <c r="E16">
        <v>80</v>
      </c>
      <c r="F16">
        <v>151.34</v>
      </c>
      <c r="G16" t="s">
        <v>34</v>
      </c>
      <c r="H16" s="1">
        <v>45425</v>
      </c>
      <c r="I16" s="1">
        <v>45457</v>
      </c>
      <c r="J16" t="s">
        <v>39</v>
      </c>
      <c r="K16" t="b">
        <f>Table1[[#This Row],[CurrentStock]]&lt;Table1[[#This Row],[ReorderLevel]]</f>
        <v>0</v>
      </c>
      <c r="L16" s="9">
        <f>Table1[[#This Row],[CurrentStock]]*Table1[[#This Row],[UnitPrice]]</f>
        <v>25576.46</v>
      </c>
      <c r="M16" t="str">
        <f>IF(Table1[[#This Row],[ReorderLevel]]-Table1[[#This Row],[CurrentStock]]&gt;0,Table1[[#This Row],[ReorderLevel]]-Table1[[#This Row],[CurrentStock]],"")</f>
        <v/>
      </c>
      <c r="N16" t="str">
        <f>IF(Table1[[#This Row],[CurrentStock]]&gt;Table1[[#This Row],[ReorderLevel]]*3,"Over Stock","Okay")</f>
        <v>Okay</v>
      </c>
      <c r="O16" t="str">
        <f>IF(Table1[[#This Row],[CurrentStock]]&lt;Table1[[#This Row],[ReorderLevel]],"Reorder","Okay")</f>
        <v>Okay</v>
      </c>
    </row>
    <row r="17" spans="1:15" x14ac:dyDescent="0.3">
      <c r="A17">
        <v>76842</v>
      </c>
      <c r="B17" t="s">
        <v>15</v>
      </c>
      <c r="C17" t="s">
        <v>29</v>
      </c>
      <c r="D17">
        <v>347</v>
      </c>
      <c r="E17">
        <v>20</v>
      </c>
      <c r="F17">
        <v>162.41</v>
      </c>
      <c r="G17" t="s">
        <v>35</v>
      </c>
      <c r="H17" s="1">
        <v>45516</v>
      </c>
      <c r="I17" s="1">
        <v>45521</v>
      </c>
      <c r="J17" t="s">
        <v>37</v>
      </c>
      <c r="K17" t="b">
        <f>Table1[[#This Row],[CurrentStock]]&lt;Table1[[#This Row],[ReorderLevel]]</f>
        <v>0</v>
      </c>
      <c r="L17" s="9">
        <f>Table1[[#This Row],[CurrentStock]]*Table1[[#This Row],[UnitPrice]]</f>
        <v>56356.27</v>
      </c>
      <c r="M17" t="str">
        <f>IF(Table1[[#This Row],[ReorderLevel]]-Table1[[#This Row],[CurrentStock]]&gt;0,Table1[[#This Row],[ReorderLevel]]-Table1[[#This Row],[CurrentStock]],"")</f>
        <v/>
      </c>
      <c r="N17" t="str">
        <f>IF(Table1[[#This Row],[CurrentStock]]&gt;Table1[[#This Row],[ReorderLevel]]*3,"Over Stock","Okay")</f>
        <v>Over Stock</v>
      </c>
      <c r="O17" t="str">
        <f>IF(Table1[[#This Row],[CurrentStock]]&lt;Table1[[#This Row],[ReorderLevel]],"Reorder","Okay")</f>
        <v>Okay</v>
      </c>
    </row>
    <row r="18" spans="1:15" x14ac:dyDescent="0.3">
      <c r="A18">
        <v>23545</v>
      </c>
      <c r="B18" t="s">
        <v>19</v>
      </c>
      <c r="C18" t="s">
        <v>28</v>
      </c>
      <c r="D18">
        <v>358</v>
      </c>
      <c r="E18">
        <v>100</v>
      </c>
      <c r="F18">
        <v>257.82</v>
      </c>
      <c r="G18" t="s">
        <v>34</v>
      </c>
      <c r="H18" s="1">
        <v>45428</v>
      </c>
      <c r="I18" s="1">
        <v>45465</v>
      </c>
      <c r="J18" t="s">
        <v>38</v>
      </c>
      <c r="K18" t="b">
        <f>Table1[[#This Row],[CurrentStock]]&lt;Table1[[#This Row],[ReorderLevel]]</f>
        <v>0</v>
      </c>
      <c r="L18" s="9">
        <f>Table1[[#This Row],[CurrentStock]]*Table1[[#This Row],[UnitPrice]]</f>
        <v>92299.56</v>
      </c>
      <c r="M18" t="str">
        <f>IF(Table1[[#This Row],[ReorderLevel]]-Table1[[#This Row],[CurrentStock]]&gt;0,Table1[[#This Row],[ReorderLevel]]-Table1[[#This Row],[CurrentStock]],"")</f>
        <v/>
      </c>
      <c r="N18" t="str">
        <f>IF(Table1[[#This Row],[CurrentStock]]&gt;Table1[[#This Row],[ReorderLevel]]*3,"Over Stock","Okay")</f>
        <v>Over Stock</v>
      </c>
      <c r="O18" t="str">
        <f>IF(Table1[[#This Row],[CurrentStock]]&lt;Table1[[#This Row],[ReorderLevel]],"Reorder","Okay")</f>
        <v>Okay</v>
      </c>
    </row>
    <row r="19" spans="1:15" x14ac:dyDescent="0.3">
      <c r="A19">
        <v>62733</v>
      </c>
      <c r="B19" t="s">
        <v>15</v>
      </c>
      <c r="C19" t="s">
        <v>29</v>
      </c>
      <c r="D19">
        <v>159</v>
      </c>
      <c r="E19">
        <v>20</v>
      </c>
      <c r="F19">
        <v>204.9</v>
      </c>
      <c r="G19" t="s">
        <v>33</v>
      </c>
      <c r="H19" s="1">
        <v>45609</v>
      </c>
      <c r="I19" s="1">
        <v>45625</v>
      </c>
      <c r="J19" t="s">
        <v>38</v>
      </c>
      <c r="K19" t="b">
        <f>Table1[[#This Row],[CurrentStock]]&lt;Table1[[#This Row],[ReorderLevel]]</f>
        <v>0</v>
      </c>
      <c r="L19" s="9">
        <f>Table1[[#This Row],[CurrentStock]]*Table1[[#This Row],[UnitPrice]]</f>
        <v>32579.100000000002</v>
      </c>
      <c r="M19" t="str">
        <f>IF(Table1[[#This Row],[ReorderLevel]]-Table1[[#This Row],[CurrentStock]]&gt;0,Table1[[#This Row],[ReorderLevel]]-Table1[[#This Row],[CurrentStock]],"")</f>
        <v/>
      </c>
      <c r="N19" t="str">
        <f>IF(Table1[[#This Row],[CurrentStock]]&gt;Table1[[#This Row],[ReorderLevel]]*3,"Over Stock","Okay")</f>
        <v>Over Stock</v>
      </c>
      <c r="O19" t="str">
        <f>IF(Table1[[#This Row],[CurrentStock]]&lt;Table1[[#This Row],[ReorderLevel]],"Reorder","Okay")</f>
        <v>Okay</v>
      </c>
    </row>
    <row r="20" spans="1:15" x14ac:dyDescent="0.3">
      <c r="A20">
        <v>10854</v>
      </c>
      <c r="B20" t="s">
        <v>18</v>
      </c>
      <c r="C20" t="s">
        <v>28</v>
      </c>
      <c r="D20">
        <v>112</v>
      </c>
      <c r="E20">
        <v>20</v>
      </c>
      <c r="F20">
        <v>137.06</v>
      </c>
      <c r="G20" t="s">
        <v>36</v>
      </c>
      <c r="H20" s="1">
        <v>45293</v>
      </c>
      <c r="I20" s="1">
        <v>45299</v>
      </c>
      <c r="J20" t="s">
        <v>37</v>
      </c>
      <c r="K20" t="b">
        <f>Table1[[#This Row],[CurrentStock]]&lt;Table1[[#This Row],[ReorderLevel]]</f>
        <v>0</v>
      </c>
      <c r="L20" s="9">
        <f>Table1[[#This Row],[CurrentStock]]*Table1[[#This Row],[UnitPrice]]</f>
        <v>15350.720000000001</v>
      </c>
      <c r="M20" t="str">
        <f>IF(Table1[[#This Row],[ReorderLevel]]-Table1[[#This Row],[CurrentStock]]&gt;0,Table1[[#This Row],[ReorderLevel]]-Table1[[#This Row],[CurrentStock]],"")</f>
        <v/>
      </c>
      <c r="N20" t="str">
        <f>IF(Table1[[#This Row],[CurrentStock]]&gt;Table1[[#This Row],[ReorderLevel]]*3,"Over Stock","Okay")</f>
        <v>Over Stock</v>
      </c>
      <c r="O20" t="str">
        <f>IF(Table1[[#This Row],[CurrentStock]]&lt;Table1[[#This Row],[ReorderLevel]],"Reorder","Okay")</f>
        <v>Okay</v>
      </c>
    </row>
    <row r="21" spans="1:15" x14ac:dyDescent="0.3">
      <c r="A21">
        <v>36309</v>
      </c>
      <c r="B21" t="s">
        <v>19</v>
      </c>
      <c r="C21" t="s">
        <v>28</v>
      </c>
      <c r="D21">
        <v>125</v>
      </c>
      <c r="E21">
        <v>30</v>
      </c>
      <c r="F21">
        <v>267.81</v>
      </c>
      <c r="G21" t="s">
        <v>34</v>
      </c>
      <c r="H21" s="1">
        <v>45509</v>
      </c>
      <c r="I21" s="1">
        <v>45545</v>
      </c>
      <c r="J21" t="s">
        <v>38</v>
      </c>
      <c r="K21" t="b">
        <f>Table1[[#This Row],[CurrentStock]]&lt;Table1[[#This Row],[ReorderLevel]]</f>
        <v>0</v>
      </c>
      <c r="L21" s="9">
        <f>Table1[[#This Row],[CurrentStock]]*Table1[[#This Row],[UnitPrice]]</f>
        <v>33476.25</v>
      </c>
      <c r="M21" t="str">
        <f>IF(Table1[[#This Row],[ReorderLevel]]-Table1[[#This Row],[CurrentStock]]&gt;0,Table1[[#This Row],[ReorderLevel]]-Table1[[#This Row],[CurrentStock]],"")</f>
        <v/>
      </c>
      <c r="N21" t="str">
        <f>IF(Table1[[#This Row],[CurrentStock]]&gt;Table1[[#This Row],[ReorderLevel]]*3,"Over Stock","Okay")</f>
        <v>Over Stock</v>
      </c>
      <c r="O21" t="str">
        <f>IF(Table1[[#This Row],[CurrentStock]]&lt;Table1[[#This Row],[ReorderLevel]],"Reorder","Okay")</f>
        <v>Okay</v>
      </c>
    </row>
    <row r="22" spans="1:15" x14ac:dyDescent="0.3">
      <c r="A22">
        <v>75733</v>
      </c>
      <c r="B22" t="s">
        <v>13</v>
      </c>
      <c r="C22" t="s">
        <v>29</v>
      </c>
      <c r="D22">
        <v>400</v>
      </c>
      <c r="E22">
        <v>150</v>
      </c>
      <c r="F22">
        <v>402.55</v>
      </c>
      <c r="G22" t="s">
        <v>32</v>
      </c>
      <c r="H22" s="1">
        <v>45616</v>
      </c>
      <c r="I22" s="1">
        <v>45654</v>
      </c>
      <c r="J22" t="s">
        <v>38</v>
      </c>
      <c r="K22" t="b">
        <f>Table1[[#This Row],[CurrentStock]]&lt;Table1[[#This Row],[ReorderLevel]]</f>
        <v>0</v>
      </c>
      <c r="L22" s="9">
        <f>Table1[[#This Row],[CurrentStock]]*Table1[[#This Row],[UnitPrice]]</f>
        <v>161020</v>
      </c>
      <c r="M22" t="str">
        <f>IF(Table1[[#This Row],[ReorderLevel]]-Table1[[#This Row],[CurrentStock]]&gt;0,Table1[[#This Row],[ReorderLevel]]-Table1[[#This Row],[CurrentStock]],"")</f>
        <v/>
      </c>
      <c r="N22" t="str">
        <f>IF(Table1[[#This Row],[CurrentStock]]&gt;Table1[[#This Row],[ReorderLevel]]*3,"Over Stock","Okay")</f>
        <v>Okay</v>
      </c>
      <c r="O22" t="str">
        <f>IF(Table1[[#This Row],[CurrentStock]]&lt;Table1[[#This Row],[ReorderLevel]],"Reorder","Okay")</f>
        <v>Okay</v>
      </c>
    </row>
    <row r="23" spans="1:15" x14ac:dyDescent="0.3">
      <c r="A23">
        <v>59811</v>
      </c>
      <c r="B23" t="s">
        <v>18</v>
      </c>
      <c r="C23" t="s">
        <v>28</v>
      </c>
      <c r="D23">
        <v>123</v>
      </c>
      <c r="E23">
        <v>40</v>
      </c>
      <c r="F23">
        <v>97.33</v>
      </c>
      <c r="G23" t="s">
        <v>34</v>
      </c>
      <c r="H23" s="1">
        <v>45640</v>
      </c>
      <c r="I23" s="1">
        <v>45647</v>
      </c>
      <c r="J23" t="s">
        <v>38</v>
      </c>
      <c r="K23" t="b">
        <f>Table1[[#This Row],[CurrentStock]]&lt;Table1[[#This Row],[ReorderLevel]]</f>
        <v>0</v>
      </c>
      <c r="L23" s="9">
        <f>Table1[[#This Row],[CurrentStock]]*Table1[[#This Row],[UnitPrice]]</f>
        <v>11971.59</v>
      </c>
      <c r="M23" t="str">
        <f>IF(Table1[[#This Row],[ReorderLevel]]-Table1[[#This Row],[CurrentStock]]&gt;0,Table1[[#This Row],[ReorderLevel]]-Table1[[#This Row],[CurrentStock]],"")</f>
        <v/>
      </c>
      <c r="N23" t="str">
        <f>IF(Table1[[#This Row],[CurrentStock]]&gt;Table1[[#This Row],[ReorderLevel]]*3,"Over Stock","Okay")</f>
        <v>Over Stock</v>
      </c>
      <c r="O23" t="str">
        <f>IF(Table1[[#This Row],[CurrentStock]]&lt;Table1[[#This Row],[ReorderLevel]],"Reorder","Okay")</f>
        <v>Okay</v>
      </c>
    </row>
    <row r="24" spans="1:15" x14ac:dyDescent="0.3">
      <c r="A24">
        <v>77270</v>
      </c>
      <c r="B24" t="s">
        <v>22</v>
      </c>
      <c r="C24" t="s">
        <v>27</v>
      </c>
      <c r="D24">
        <v>345</v>
      </c>
      <c r="E24">
        <v>40</v>
      </c>
      <c r="F24">
        <v>405.7</v>
      </c>
      <c r="G24" t="s">
        <v>34</v>
      </c>
      <c r="H24" s="1">
        <v>45439</v>
      </c>
      <c r="I24" s="1">
        <v>45475</v>
      </c>
      <c r="J24" t="s">
        <v>37</v>
      </c>
      <c r="K24" t="b">
        <f>Table1[[#This Row],[CurrentStock]]&lt;Table1[[#This Row],[ReorderLevel]]</f>
        <v>0</v>
      </c>
      <c r="L24" s="9">
        <f>Table1[[#This Row],[CurrentStock]]*Table1[[#This Row],[UnitPrice]]</f>
        <v>139966.5</v>
      </c>
      <c r="M24" t="str">
        <f>IF(Table1[[#This Row],[ReorderLevel]]-Table1[[#This Row],[CurrentStock]]&gt;0,Table1[[#This Row],[ReorderLevel]]-Table1[[#This Row],[CurrentStock]],"")</f>
        <v/>
      </c>
      <c r="N24" t="str">
        <f>IF(Table1[[#This Row],[CurrentStock]]&gt;Table1[[#This Row],[ReorderLevel]]*3,"Over Stock","Okay")</f>
        <v>Over Stock</v>
      </c>
      <c r="O24" t="str">
        <f>IF(Table1[[#This Row],[CurrentStock]]&lt;Table1[[#This Row],[ReorderLevel]],"Reorder","Okay")</f>
        <v>Okay</v>
      </c>
    </row>
    <row r="25" spans="1:15" x14ac:dyDescent="0.3">
      <c r="A25">
        <v>95981</v>
      </c>
      <c r="B25" t="s">
        <v>19</v>
      </c>
      <c r="C25" t="s">
        <v>28</v>
      </c>
      <c r="D25">
        <v>337</v>
      </c>
      <c r="E25">
        <v>20</v>
      </c>
      <c r="F25">
        <v>339.47</v>
      </c>
      <c r="G25" t="s">
        <v>33</v>
      </c>
      <c r="H25" s="1">
        <v>45442</v>
      </c>
      <c r="I25" s="1">
        <v>45477</v>
      </c>
      <c r="J25" t="s">
        <v>38</v>
      </c>
      <c r="K25" t="b">
        <f>Table1[[#This Row],[CurrentStock]]&lt;Table1[[#This Row],[ReorderLevel]]</f>
        <v>0</v>
      </c>
      <c r="L25" s="9">
        <f>Table1[[#This Row],[CurrentStock]]*Table1[[#This Row],[UnitPrice]]</f>
        <v>114401.39000000001</v>
      </c>
      <c r="M25" t="str">
        <f>IF(Table1[[#This Row],[ReorderLevel]]-Table1[[#This Row],[CurrentStock]]&gt;0,Table1[[#This Row],[ReorderLevel]]-Table1[[#This Row],[CurrentStock]],"")</f>
        <v/>
      </c>
      <c r="N25" t="str">
        <f>IF(Table1[[#This Row],[CurrentStock]]&gt;Table1[[#This Row],[ReorderLevel]]*3,"Over Stock","Okay")</f>
        <v>Over Stock</v>
      </c>
      <c r="O25" t="str">
        <f>IF(Table1[[#This Row],[CurrentStock]]&lt;Table1[[#This Row],[ReorderLevel]],"Reorder","Okay")</f>
        <v>Okay</v>
      </c>
    </row>
    <row r="26" spans="1:15" x14ac:dyDescent="0.3">
      <c r="A26">
        <v>30932</v>
      </c>
      <c r="B26" t="s">
        <v>11</v>
      </c>
      <c r="C26" t="s">
        <v>27</v>
      </c>
      <c r="D26">
        <v>345</v>
      </c>
      <c r="E26">
        <v>20</v>
      </c>
      <c r="F26">
        <v>260.73</v>
      </c>
      <c r="G26" t="s">
        <v>36</v>
      </c>
      <c r="H26" s="1">
        <v>45293</v>
      </c>
      <c r="I26" s="1">
        <v>45298</v>
      </c>
      <c r="J26" t="s">
        <v>38</v>
      </c>
      <c r="K26" t="b">
        <f>Table1[[#This Row],[CurrentStock]]&lt;Table1[[#This Row],[ReorderLevel]]</f>
        <v>0</v>
      </c>
      <c r="L26" s="9">
        <f>Table1[[#This Row],[CurrentStock]]*Table1[[#This Row],[UnitPrice]]</f>
        <v>89951.85</v>
      </c>
      <c r="M26" t="str">
        <f>IF(Table1[[#This Row],[ReorderLevel]]-Table1[[#This Row],[CurrentStock]]&gt;0,Table1[[#This Row],[ReorderLevel]]-Table1[[#This Row],[CurrentStock]],"")</f>
        <v/>
      </c>
      <c r="N26" t="str">
        <f>IF(Table1[[#This Row],[CurrentStock]]&gt;Table1[[#This Row],[ReorderLevel]]*3,"Over Stock","Okay")</f>
        <v>Over Stock</v>
      </c>
      <c r="O26" t="str">
        <f>IF(Table1[[#This Row],[CurrentStock]]&lt;Table1[[#This Row],[ReorderLevel]],"Reorder","Okay")</f>
        <v>Okay</v>
      </c>
    </row>
    <row r="27" spans="1:15" x14ac:dyDescent="0.3">
      <c r="A27">
        <v>16295</v>
      </c>
      <c r="B27" t="s">
        <v>18</v>
      </c>
      <c r="C27" t="s">
        <v>28</v>
      </c>
      <c r="D27">
        <v>98</v>
      </c>
      <c r="E27">
        <v>40</v>
      </c>
      <c r="F27">
        <v>364.35</v>
      </c>
      <c r="G27" t="s">
        <v>35</v>
      </c>
      <c r="H27" s="1">
        <v>45422</v>
      </c>
      <c r="I27" s="1">
        <v>45446</v>
      </c>
      <c r="J27" t="s">
        <v>38</v>
      </c>
      <c r="K27" t="b">
        <f>Table1[[#This Row],[CurrentStock]]&lt;Table1[[#This Row],[ReorderLevel]]</f>
        <v>0</v>
      </c>
      <c r="L27" s="9">
        <f>Table1[[#This Row],[CurrentStock]]*Table1[[#This Row],[UnitPrice]]</f>
        <v>35706.300000000003</v>
      </c>
      <c r="M27" t="str">
        <f>IF(Table1[[#This Row],[ReorderLevel]]-Table1[[#This Row],[CurrentStock]]&gt;0,Table1[[#This Row],[ReorderLevel]]-Table1[[#This Row],[CurrentStock]],"")</f>
        <v/>
      </c>
      <c r="N27" t="str">
        <f>IF(Table1[[#This Row],[CurrentStock]]&gt;Table1[[#This Row],[ReorderLevel]]*3,"Over Stock","Okay")</f>
        <v>Okay</v>
      </c>
      <c r="O27" t="str">
        <f>IF(Table1[[#This Row],[CurrentStock]]&lt;Table1[[#This Row],[ReorderLevel]],"Reorder","Okay")</f>
        <v>Okay</v>
      </c>
    </row>
    <row r="28" spans="1:15" x14ac:dyDescent="0.3">
      <c r="A28">
        <v>92018</v>
      </c>
      <c r="B28" t="s">
        <v>12</v>
      </c>
      <c r="C28" t="s">
        <v>28</v>
      </c>
      <c r="D28">
        <v>103</v>
      </c>
      <c r="E28">
        <v>50</v>
      </c>
      <c r="F28">
        <v>292.44</v>
      </c>
      <c r="G28" t="s">
        <v>35</v>
      </c>
      <c r="H28" s="1">
        <v>45403</v>
      </c>
      <c r="I28" s="1">
        <v>45432</v>
      </c>
      <c r="J28" t="s">
        <v>37</v>
      </c>
      <c r="K28" t="b">
        <f>Table1[[#This Row],[CurrentStock]]&lt;Table1[[#This Row],[ReorderLevel]]</f>
        <v>0</v>
      </c>
      <c r="L28" s="9">
        <f>Table1[[#This Row],[CurrentStock]]*Table1[[#This Row],[UnitPrice]]</f>
        <v>30121.32</v>
      </c>
      <c r="M28" t="str">
        <f>IF(Table1[[#This Row],[ReorderLevel]]-Table1[[#This Row],[CurrentStock]]&gt;0,Table1[[#This Row],[ReorderLevel]]-Table1[[#This Row],[CurrentStock]],"")</f>
        <v/>
      </c>
      <c r="N28" t="str">
        <f>IF(Table1[[#This Row],[CurrentStock]]&gt;Table1[[#This Row],[ReorderLevel]]*3,"Over Stock","Okay")</f>
        <v>Okay</v>
      </c>
      <c r="O28" t="str">
        <f>IF(Table1[[#This Row],[CurrentStock]]&lt;Table1[[#This Row],[ReorderLevel]],"Reorder","Okay")</f>
        <v>Okay</v>
      </c>
    </row>
    <row r="29" spans="1:15" x14ac:dyDescent="0.3">
      <c r="A29">
        <v>48467</v>
      </c>
      <c r="B29" t="s">
        <v>21</v>
      </c>
      <c r="C29" t="s">
        <v>31</v>
      </c>
      <c r="D29">
        <v>337</v>
      </c>
      <c r="E29">
        <v>30</v>
      </c>
      <c r="F29">
        <v>347.49</v>
      </c>
      <c r="G29" t="s">
        <v>35</v>
      </c>
      <c r="H29" s="1">
        <v>45499</v>
      </c>
      <c r="I29" s="1">
        <v>45536</v>
      </c>
      <c r="J29" t="s">
        <v>39</v>
      </c>
      <c r="K29" t="b">
        <f>Table1[[#This Row],[CurrentStock]]&lt;Table1[[#This Row],[ReorderLevel]]</f>
        <v>0</v>
      </c>
      <c r="L29" s="9">
        <f>Table1[[#This Row],[CurrentStock]]*Table1[[#This Row],[UnitPrice]]</f>
        <v>117104.13</v>
      </c>
      <c r="M29" t="str">
        <f>IF(Table1[[#This Row],[ReorderLevel]]-Table1[[#This Row],[CurrentStock]]&gt;0,Table1[[#This Row],[ReorderLevel]]-Table1[[#This Row],[CurrentStock]],"")</f>
        <v/>
      </c>
      <c r="N29" t="str">
        <f>IF(Table1[[#This Row],[CurrentStock]]&gt;Table1[[#This Row],[ReorderLevel]]*3,"Over Stock","Okay")</f>
        <v>Over Stock</v>
      </c>
      <c r="O29" t="str">
        <f>IF(Table1[[#This Row],[CurrentStock]]&lt;Table1[[#This Row],[ReorderLevel]],"Reorder","Okay")</f>
        <v>Okay</v>
      </c>
    </row>
    <row r="30" spans="1:15" x14ac:dyDescent="0.3">
      <c r="A30">
        <v>80091</v>
      </c>
      <c r="B30" t="s">
        <v>17</v>
      </c>
      <c r="C30" t="s">
        <v>30</v>
      </c>
      <c r="D30">
        <v>403</v>
      </c>
      <c r="E30">
        <v>150</v>
      </c>
      <c r="F30">
        <v>361.87</v>
      </c>
      <c r="G30" t="s">
        <v>32</v>
      </c>
      <c r="H30" s="1">
        <v>45419</v>
      </c>
      <c r="I30" s="1">
        <v>45456</v>
      </c>
      <c r="J30" t="s">
        <v>38</v>
      </c>
      <c r="K30" t="b">
        <f>Table1[[#This Row],[CurrentStock]]&lt;Table1[[#This Row],[ReorderLevel]]</f>
        <v>0</v>
      </c>
      <c r="L30" s="9">
        <f>Table1[[#This Row],[CurrentStock]]*Table1[[#This Row],[UnitPrice]]</f>
        <v>145833.61000000002</v>
      </c>
      <c r="M30" t="str">
        <f>IF(Table1[[#This Row],[ReorderLevel]]-Table1[[#This Row],[CurrentStock]]&gt;0,Table1[[#This Row],[ReorderLevel]]-Table1[[#This Row],[CurrentStock]],"")</f>
        <v/>
      </c>
      <c r="N30" t="str">
        <f>IF(Table1[[#This Row],[CurrentStock]]&gt;Table1[[#This Row],[ReorderLevel]]*3,"Over Stock","Okay")</f>
        <v>Okay</v>
      </c>
      <c r="O30" t="str">
        <f>IF(Table1[[#This Row],[CurrentStock]]&lt;Table1[[#This Row],[ReorderLevel]],"Reorder","Okay")</f>
        <v>Okay</v>
      </c>
    </row>
    <row r="31" spans="1:15" x14ac:dyDescent="0.3">
      <c r="A31">
        <v>49790</v>
      </c>
      <c r="B31" t="s">
        <v>16</v>
      </c>
      <c r="C31" t="s">
        <v>30</v>
      </c>
      <c r="D31">
        <v>437</v>
      </c>
      <c r="E31">
        <v>40</v>
      </c>
      <c r="F31">
        <v>220.03</v>
      </c>
      <c r="G31" t="s">
        <v>35</v>
      </c>
      <c r="H31" s="1">
        <v>45568</v>
      </c>
      <c r="I31" s="1">
        <v>45602</v>
      </c>
      <c r="J31" t="s">
        <v>37</v>
      </c>
      <c r="K31" t="b">
        <f>Table1[[#This Row],[CurrentStock]]&lt;Table1[[#This Row],[ReorderLevel]]</f>
        <v>0</v>
      </c>
      <c r="L31" s="9">
        <f>Table1[[#This Row],[CurrentStock]]*Table1[[#This Row],[UnitPrice]]</f>
        <v>96153.11</v>
      </c>
      <c r="M31" t="str">
        <f>IF(Table1[[#This Row],[ReorderLevel]]-Table1[[#This Row],[CurrentStock]]&gt;0,Table1[[#This Row],[ReorderLevel]]-Table1[[#This Row],[CurrentStock]],"")</f>
        <v/>
      </c>
      <c r="N31" t="str">
        <f>IF(Table1[[#This Row],[CurrentStock]]&gt;Table1[[#This Row],[ReorderLevel]]*3,"Over Stock","Okay")</f>
        <v>Over Stock</v>
      </c>
      <c r="O31" t="str">
        <f>IF(Table1[[#This Row],[CurrentStock]]&lt;Table1[[#This Row],[ReorderLevel]],"Reorder","Okay")</f>
        <v>Okay</v>
      </c>
    </row>
    <row r="32" spans="1:15" x14ac:dyDescent="0.3">
      <c r="A32">
        <v>66491</v>
      </c>
      <c r="B32" t="s">
        <v>10</v>
      </c>
      <c r="C32" t="s">
        <v>27</v>
      </c>
      <c r="D32">
        <v>303</v>
      </c>
      <c r="E32">
        <v>40</v>
      </c>
      <c r="F32">
        <v>288.14</v>
      </c>
      <c r="G32" t="s">
        <v>34</v>
      </c>
      <c r="H32" s="1">
        <v>45483</v>
      </c>
      <c r="I32" s="1">
        <v>45504</v>
      </c>
      <c r="J32" t="s">
        <v>39</v>
      </c>
      <c r="K32" t="b">
        <f>Table1[[#This Row],[CurrentStock]]&lt;Table1[[#This Row],[ReorderLevel]]</f>
        <v>0</v>
      </c>
      <c r="L32" s="9">
        <f>Table1[[#This Row],[CurrentStock]]*Table1[[#This Row],[UnitPrice]]</f>
        <v>87306.42</v>
      </c>
      <c r="M32" t="str">
        <f>IF(Table1[[#This Row],[ReorderLevel]]-Table1[[#This Row],[CurrentStock]]&gt;0,Table1[[#This Row],[ReorderLevel]]-Table1[[#This Row],[CurrentStock]],"")</f>
        <v/>
      </c>
      <c r="N32" t="str">
        <f>IF(Table1[[#This Row],[CurrentStock]]&gt;Table1[[#This Row],[ReorderLevel]]*3,"Over Stock","Okay")</f>
        <v>Over Stock</v>
      </c>
      <c r="O32" t="str">
        <f>IF(Table1[[#This Row],[CurrentStock]]&lt;Table1[[#This Row],[ReorderLevel]],"Reorder","Okay")</f>
        <v>Okay</v>
      </c>
    </row>
    <row r="33" spans="1:15" x14ac:dyDescent="0.3">
      <c r="A33">
        <v>13420</v>
      </c>
      <c r="B33" t="s">
        <v>23</v>
      </c>
      <c r="C33" t="s">
        <v>30</v>
      </c>
      <c r="D33">
        <v>372</v>
      </c>
      <c r="E33">
        <v>100</v>
      </c>
      <c r="F33">
        <v>188.23</v>
      </c>
      <c r="G33" t="s">
        <v>35</v>
      </c>
      <c r="H33" s="1">
        <v>45524</v>
      </c>
      <c r="I33" s="1">
        <v>45552</v>
      </c>
      <c r="J33" t="s">
        <v>39</v>
      </c>
      <c r="K33" t="b">
        <f>Table1[[#This Row],[CurrentStock]]&lt;Table1[[#This Row],[ReorderLevel]]</f>
        <v>0</v>
      </c>
      <c r="L33" s="9">
        <f>Table1[[#This Row],[CurrentStock]]*Table1[[#This Row],[UnitPrice]]</f>
        <v>70021.56</v>
      </c>
      <c r="M33" t="str">
        <f>IF(Table1[[#This Row],[ReorderLevel]]-Table1[[#This Row],[CurrentStock]]&gt;0,Table1[[#This Row],[ReorderLevel]]-Table1[[#This Row],[CurrentStock]],"")</f>
        <v/>
      </c>
      <c r="N33" t="str">
        <f>IF(Table1[[#This Row],[CurrentStock]]&gt;Table1[[#This Row],[ReorderLevel]]*3,"Over Stock","Okay")</f>
        <v>Over Stock</v>
      </c>
      <c r="O33" t="str">
        <f>IF(Table1[[#This Row],[CurrentStock]]&lt;Table1[[#This Row],[ReorderLevel]],"Reorder","Okay")</f>
        <v>Okay</v>
      </c>
    </row>
    <row r="34" spans="1:15" x14ac:dyDescent="0.3">
      <c r="A34">
        <v>16102</v>
      </c>
      <c r="B34" t="s">
        <v>16</v>
      </c>
      <c r="C34" t="s">
        <v>30</v>
      </c>
      <c r="D34">
        <v>98</v>
      </c>
      <c r="E34">
        <v>50</v>
      </c>
      <c r="F34">
        <v>427.24</v>
      </c>
      <c r="G34" t="s">
        <v>35</v>
      </c>
      <c r="H34" s="1">
        <v>45482</v>
      </c>
      <c r="I34" s="1">
        <v>45507</v>
      </c>
      <c r="J34" t="s">
        <v>38</v>
      </c>
      <c r="K34" t="b">
        <f>Table1[[#This Row],[CurrentStock]]&lt;Table1[[#This Row],[ReorderLevel]]</f>
        <v>0</v>
      </c>
      <c r="L34" s="9">
        <f>Table1[[#This Row],[CurrentStock]]*Table1[[#This Row],[UnitPrice]]</f>
        <v>41869.520000000004</v>
      </c>
      <c r="M34" t="str">
        <f>IF(Table1[[#This Row],[ReorderLevel]]-Table1[[#This Row],[CurrentStock]]&gt;0,Table1[[#This Row],[ReorderLevel]]-Table1[[#This Row],[CurrentStock]],"")</f>
        <v/>
      </c>
      <c r="N34" t="str">
        <f>IF(Table1[[#This Row],[CurrentStock]]&gt;Table1[[#This Row],[ReorderLevel]]*3,"Over Stock","Okay")</f>
        <v>Okay</v>
      </c>
      <c r="O34" t="str">
        <f>IF(Table1[[#This Row],[CurrentStock]]&lt;Table1[[#This Row],[ReorderLevel]],"Reorder","Okay")</f>
        <v>Okay</v>
      </c>
    </row>
    <row r="35" spans="1:15" x14ac:dyDescent="0.3">
      <c r="A35">
        <v>82991</v>
      </c>
      <c r="B35" t="s">
        <v>24</v>
      </c>
      <c r="C35" t="s">
        <v>31</v>
      </c>
      <c r="D35">
        <v>489</v>
      </c>
      <c r="E35">
        <v>150</v>
      </c>
      <c r="F35">
        <v>422.89</v>
      </c>
      <c r="G35" t="s">
        <v>33</v>
      </c>
      <c r="H35" s="1">
        <v>45614</v>
      </c>
      <c r="I35" s="1">
        <v>45642</v>
      </c>
      <c r="J35" t="s">
        <v>38</v>
      </c>
      <c r="K35" t="b">
        <f>Table1[[#This Row],[CurrentStock]]&lt;Table1[[#This Row],[ReorderLevel]]</f>
        <v>0</v>
      </c>
      <c r="L35" s="9">
        <f>Table1[[#This Row],[CurrentStock]]*Table1[[#This Row],[UnitPrice]]</f>
        <v>206793.21</v>
      </c>
      <c r="M35" t="str">
        <f>IF(Table1[[#This Row],[ReorderLevel]]-Table1[[#This Row],[CurrentStock]]&gt;0,Table1[[#This Row],[ReorderLevel]]-Table1[[#This Row],[CurrentStock]],"")</f>
        <v/>
      </c>
      <c r="N35" t="str">
        <f>IF(Table1[[#This Row],[CurrentStock]]&gt;Table1[[#This Row],[ReorderLevel]]*3,"Over Stock","Okay")</f>
        <v>Over Stock</v>
      </c>
      <c r="O35" t="str">
        <f>IF(Table1[[#This Row],[CurrentStock]]&lt;Table1[[#This Row],[ReorderLevel]],"Reorder","Okay")</f>
        <v>Okay</v>
      </c>
    </row>
    <row r="36" spans="1:15" x14ac:dyDescent="0.3">
      <c r="A36">
        <v>15801</v>
      </c>
      <c r="B36" t="s">
        <v>15</v>
      </c>
      <c r="C36" t="s">
        <v>29</v>
      </c>
      <c r="D36">
        <v>385</v>
      </c>
      <c r="E36">
        <v>30</v>
      </c>
      <c r="F36">
        <v>371.68</v>
      </c>
      <c r="G36" t="s">
        <v>33</v>
      </c>
      <c r="H36" s="1">
        <v>45590</v>
      </c>
      <c r="I36" s="1">
        <v>45623</v>
      </c>
      <c r="J36" t="s">
        <v>38</v>
      </c>
      <c r="K36" t="b">
        <f>Table1[[#This Row],[CurrentStock]]&lt;Table1[[#This Row],[ReorderLevel]]</f>
        <v>0</v>
      </c>
      <c r="L36" s="9">
        <f>Table1[[#This Row],[CurrentStock]]*Table1[[#This Row],[UnitPrice]]</f>
        <v>143096.79999999999</v>
      </c>
      <c r="M36" t="str">
        <f>IF(Table1[[#This Row],[ReorderLevel]]-Table1[[#This Row],[CurrentStock]]&gt;0,Table1[[#This Row],[ReorderLevel]]-Table1[[#This Row],[CurrentStock]],"")</f>
        <v/>
      </c>
      <c r="N36" t="str">
        <f>IF(Table1[[#This Row],[CurrentStock]]&gt;Table1[[#This Row],[ReorderLevel]]*3,"Over Stock","Okay")</f>
        <v>Over Stock</v>
      </c>
      <c r="O36" t="str">
        <f>IF(Table1[[#This Row],[CurrentStock]]&lt;Table1[[#This Row],[ReorderLevel]],"Reorder","Okay")</f>
        <v>Okay</v>
      </c>
    </row>
    <row r="37" spans="1:15" x14ac:dyDescent="0.3">
      <c r="A37">
        <v>12368</v>
      </c>
      <c r="B37" t="s">
        <v>24</v>
      </c>
      <c r="C37" t="s">
        <v>31</v>
      </c>
      <c r="D37">
        <v>407</v>
      </c>
      <c r="E37">
        <v>80</v>
      </c>
      <c r="F37">
        <v>45.39</v>
      </c>
      <c r="G37" t="s">
        <v>34</v>
      </c>
      <c r="H37" s="1">
        <v>45604</v>
      </c>
      <c r="I37" s="1">
        <v>45628</v>
      </c>
      <c r="J37" t="s">
        <v>38</v>
      </c>
      <c r="K37" t="b">
        <f>Table1[[#This Row],[CurrentStock]]&lt;Table1[[#This Row],[ReorderLevel]]</f>
        <v>0</v>
      </c>
      <c r="L37" s="9">
        <f>Table1[[#This Row],[CurrentStock]]*Table1[[#This Row],[UnitPrice]]</f>
        <v>18473.73</v>
      </c>
      <c r="M37" t="str">
        <f>IF(Table1[[#This Row],[ReorderLevel]]-Table1[[#This Row],[CurrentStock]]&gt;0,Table1[[#This Row],[ReorderLevel]]-Table1[[#This Row],[CurrentStock]],"")</f>
        <v/>
      </c>
      <c r="N37" t="str">
        <f>IF(Table1[[#This Row],[CurrentStock]]&gt;Table1[[#This Row],[ReorderLevel]]*3,"Over Stock","Okay")</f>
        <v>Over Stock</v>
      </c>
      <c r="O37" t="str">
        <f>IF(Table1[[#This Row],[CurrentStock]]&lt;Table1[[#This Row],[ReorderLevel]],"Reorder","Okay")</f>
        <v>Okay</v>
      </c>
    </row>
    <row r="38" spans="1:15" x14ac:dyDescent="0.3">
      <c r="A38">
        <v>62921</v>
      </c>
      <c r="B38" t="s">
        <v>14</v>
      </c>
      <c r="C38" t="s">
        <v>27</v>
      </c>
      <c r="D38">
        <v>321</v>
      </c>
      <c r="E38">
        <v>150</v>
      </c>
      <c r="F38">
        <v>337.65</v>
      </c>
      <c r="G38" t="s">
        <v>36</v>
      </c>
      <c r="H38" s="1">
        <v>45342</v>
      </c>
      <c r="I38" s="1">
        <v>45371</v>
      </c>
      <c r="J38" t="s">
        <v>39</v>
      </c>
      <c r="K38" t="b">
        <f>Table1[[#This Row],[CurrentStock]]&lt;Table1[[#This Row],[ReorderLevel]]</f>
        <v>0</v>
      </c>
      <c r="L38" s="9">
        <f>Table1[[#This Row],[CurrentStock]]*Table1[[#This Row],[UnitPrice]]</f>
        <v>108385.65</v>
      </c>
      <c r="M38" t="str">
        <f>IF(Table1[[#This Row],[ReorderLevel]]-Table1[[#This Row],[CurrentStock]]&gt;0,Table1[[#This Row],[ReorderLevel]]-Table1[[#This Row],[CurrentStock]],"")</f>
        <v/>
      </c>
      <c r="N38" t="str">
        <f>IF(Table1[[#This Row],[CurrentStock]]&gt;Table1[[#This Row],[ReorderLevel]]*3,"Over Stock","Okay")</f>
        <v>Okay</v>
      </c>
      <c r="O38" t="str">
        <f>IF(Table1[[#This Row],[CurrentStock]]&lt;Table1[[#This Row],[ReorderLevel]],"Reorder","Okay")</f>
        <v>Okay</v>
      </c>
    </row>
    <row r="39" spans="1:15" x14ac:dyDescent="0.3">
      <c r="A39">
        <v>25338</v>
      </c>
      <c r="B39" t="s">
        <v>21</v>
      </c>
      <c r="C39" t="s">
        <v>31</v>
      </c>
      <c r="D39">
        <v>341</v>
      </c>
      <c r="E39">
        <v>20</v>
      </c>
      <c r="F39">
        <v>23.49</v>
      </c>
      <c r="G39" t="s">
        <v>34</v>
      </c>
      <c r="H39" s="1">
        <v>45617</v>
      </c>
      <c r="I39" s="1">
        <v>45636</v>
      </c>
      <c r="J39" t="s">
        <v>37</v>
      </c>
      <c r="K39" t="b">
        <f>Table1[[#This Row],[CurrentStock]]&lt;Table1[[#This Row],[ReorderLevel]]</f>
        <v>0</v>
      </c>
      <c r="L39" s="9">
        <f>Table1[[#This Row],[CurrentStock]]*Table1[[#This Row],[UnitPrice]]</f>
        <v>8010.0899999999992</v>
      </c>
      <c r="M39" t="str">
        <f>IF(Table1[[#This Row],[ReorderLevel]]-Table1[[#This Row],[CurrentStock]]&gt;0,Table1[[#This Row],[ReorderLevel]]-Table1[[#This Row],[CurrentStock]],"")</f>
        <v/>
      </c>
      <c r="N39" t="str">
        <f>IF(Table1[[#This Row],[CurrentStock]]&gt;Table1[[#This Row],[ReorderLevel]]*3,"Over Stock","Okay")</f>
        <v>Over Stock</v>
      </c>
      <c r="O39" t="str">
        <f>IF(Table1[[#This Row],[CurrentStock]]&lt;Table1[[#This Row],[ReorderLevel]],"Reorder","Okay")</f>
        <v>Okay</v>
      </c>
    </row>
    <row r="40" spans="1:15" x14ac:dyDescent="0.3">
      <c r="A40">
        <v>64021</v>
      </c>
      <c r="B40" t="s">
        <v>18</v>
      </c>
      <c r="C40" t="s">
        <v>28</v>
      </c>
      <c r="D40">
        <v>59</v>
      </c>
      <c r="E40">
        <v>50</v>
      </c>
      <c r="F40">
        <v>482.8</v>
      </c>
      <c r="G40" t="s">
        <v>36</v>
      </c>
      <c r="H40" s="1">
        <v>45394</v>
      </c>
      <c r="I40" s="1">
        <v>45402</v>
      </c>
      <c r="J40" t="s">
        <v>39</v>
      </c>
      <c r="K40" t="b">
        <f>Table1[[#This Row],[CurrentStock]]&lt;Table1[[#This Row],[ReorderLevel]]</f>
        <v>0</v>
      </c>
      <c r="L40" s="9">
        <f>Table1[[#This Row],[CurrentStock]]*Table1[[#This Row],[UnitPrice]]</f>
        <v>28485.200000000001</v>
      </c>
      <c r="M40" t="str">
        <f>IF(Table1[[#This Row],[ReorderLevel]]-Table1[[#This Row],[CurrentStock]]&gt;0,Table1[[#This Row],[ReorderLevel]]-Table1[[#This Row],[CurrentStock]],"")</f>
        <v/>
      </c>
      <c r="N40" t="str">
        <f>IF(Table1[[#This Row],[CurrentStock]]&gt;Table1[[#This Row],[ReorderLevel]]*3,"Over Stock","Okay")</f>
        <v>Okay</v>
      </c>
      <c r="O40" t="str">
        <f>IF(Table1[[#This Row],[CurrentStock]]&lt;Table1[[#This Row],[ReorderLevel]],"Reorder","Okay")</f>
        <v>Okay</v>
      </c>
    </row>
    <row r="41" spans="1:15" x14ac:dyDescent="0.3">
      <c r="A41">
        <v>96672</v>
      </c>
      <c r="B41" t="s">
        <v>13</v>
      </c>
      <c r="C41" t="s">
        <v>29</v>
      </c>
      <c r="D41">
        <v>423</v>
      </c>
      <c r="E41">
        <v>50</v>
      </c>
      <c r="F41">
        <v>70.709999999999994</v>
      </c>
      <c r="G41" t="s">
        <v>32</v>
      </c>
      <c r="H41" s="1">
        <v>45415</v>
      </c>
      <c r="I41" s="1">
        <v>45449</v>
      </c>
      <c r="J41" t="s">
        <v>39</v>
      </c>
      <c r="K41" t="b">
        <f>Table1[[#This Row],[CurrentStock]]&lt;Table1[[#This Row],[ReorderLevel]]</f>
        <v>0</v>
      </c>
      <c r="L41" s="9">
        <f>Table1[[#This Row],[CurrentStock]]*Table1[[#This Row],[UnitPrice]]</f>
        <v>29910.329999999998</v>
      </c>
      <c r="M41" t="str">
        <f>IF(Table1[[#This Row],[ReorderLevel]]-Table1[[#This Row],[CurrentStock]]&gt;0,Table1[[#This Row],[ReorderLevel]]-Table1[[#This Row],[CurrentStock]],"")</f>
        <v/>
      </c>
      <c r="N41" t="str">
        <f>IF(Table1[[#This Row],[CurrentStock]]&gt;Table1[[#This Row],[ReorderLevel]]*3,"Over Stock","Okay")</f>
        <v>Over Stock</v>
      </c>
      <c r="O41" t="str">
        <f>IF(Table1[[#This Row],[CurrentStock]]&lt;Table1[[#This Row],[ReorderLevel]],"Reorder","Okay")</f>
        <v>Okay</v>
      </c>
    </row>
    <row r="42" spans="1:15" x14ac:dyDescent="0.3">
      <c r="A42">
        <v>84740</v>
      </c>
      <c r="B42" t="s">
        <v>24</v>
      </c>
      <c r="C42" t="s">
        <v>31</v>
      </c>
      <c r="D42">
        <v>473</v>
      </c>
      <c r="E42">
        <v>80</v>
      </c>
      <c r="F42">
        <v>45.03</v>
      </c>
      <c r="G42" t="s">
        <v>35</v>
      </c>
      <c r="H42" s="1">
        <v>45418</v>
      </c>
      <c r="I42" s="1">
        <v>45431</v>
      </c>
      <c r="J42" t="s">
        <v>39</v>
      </c>
      <c r="K42" t="b">
        <f>Table1[[#This Row],[CurrentStock]]&lt;Table1[[#This Row],[ReorderLevel]]</f>
        <v>0</v>
      </c>
      <c r="L42" s="9">
        <f>Table1[[#This Row],[CurrentStock]]*Table1[[#This Row],[UnitPrice]]</f>
        <v>21299.190000000002</v>
      </c>
      <c r="M42" t="str">
        <f>IF(Table1[[#This Row],[ReorderLevel]]-Table1[[#This Row],[CurrentStock]]&gt;0,Table1[[#This Row],[ReorderLevel]]-Table1[[#This Row],[CurrentStock]],"")</f>
        <v/>
      </c>
      <c r="N42" t="str">
        <f>IF(Table1[[#This Row],[CurrentStock]]&gt;Table1[[#This Row],[ReorderLevel]]*3,"Over Stock","Okay")</f>
        <v>Over Stock</v>
      </c>
      <c r="O42" t="str">
        <f>IF(Table1[[#This Row],[CurrentStock]]&lt;Table1[[#This Row],[ReorderLevel]],"Reorder","Okay")</f>
        <v>Okay</v>
      </c>
    </row>
    <row r="43" spans="1:15" x14ac:dyDescent="0.3">
      <c r="A43">
        <v>55543</v>
      </c>
      <c r="B43" t="s">
        <v>24</v>
      </c>
      <c r="C43" t="s">
        <v>31</v>
      </c>
      <c r="D43">
        <v>238</v>
      </c>
      <c r="E43">
        <v>30</v>
      </c>
      <c r="F43">
        <v>123.69</v>
      </c>
      <c r="G43" t="s">
        <v>36</v>
      </c>
      <c r="H43" s="1">
        <v>45409</v>
      </c>
      <c r="I43" s="1">
        <v>45438</v>
      </c>
      <c r="J43" t="s">
        <v>37</v>
      </c>
      <c r="K43" t="b">
        <f>Table1[[#This Row],[CurrentStock]]&lt;Table1[[#This Row],[ReorderLevel]]</f>
        <v>0</v>
      </c>
      <c r="L43" s="9">
        <f>Table1[[#This Row],[CurrentStock]]*Table1[[#This Row],[UnitPrice]]</f>
        <v>29438.22</v>
      </c>
      <c r="M43" t="str">
        <f>IF(Table1[[#This Row],[ReorderLevel]]-Table1[[#This Row],[CurrentStock]]&gt;0,Table1[[#This Row],[ReorderLevel]]-Table1[[#This Row],[CurrentStock]],"")</f>
        <v/>
      </c>
      <c r="N43" t="str">
        <f>IF(Table1[[#This Row],[CurrentStock]]&gt;Table1[[#This Row],[ReorderLevel]]*3,"Over Stock","Okay")</f>
        <v>Over Stock</v>
      </c>
      <c r="O43" t="str">
        <f>IF(Table1[[#This Row],[CurrentStock]]&lt;Table1[[#This Row],[ReorderLevel]],"Reorder","Okay")</f>
        <v>Okay</v>
      </c>
    </row>
    <row r="44" spans="1:15" x14ac:dyDescent="0.3">
      <c r="A44">
        <v>95067</v>
      </c>
      <c r="B44" t="s">
        <v>18</v>
      </c>
      <c r="C44" t="s">
        <v>28</v>
      </c>
      <c r="D44">
        <v>486</v>
      </c>
      <c r="E44">
        <v>150</v>
      </c>
      <c r="F44">
        <v>220.66</v>
      </c>
      <c r="G44" t="s">
        <v>33</v>
      </c>
      <c r="H44" s="1">
        <v>45640</v>
      </c>
      <c r="I44" s="1">
        <v>45647</v>
      </c>
      <c r="J44" t="s">
        <v>38</v>
      </c>
      <c r="K44" t="b">
        <f>Table1[[#This Row],[CurrentStock]]&lt;Table1[[#This Row],[ReorderLevel]]</f>
        <v>0</v>
      </c>
      <c r="L44" s="9">
        <f>Table1[[#This Row],[CurrentStock]]*Table1[[#This Row],[UnitPrice]]</f>
        <v>107240.76</v>
      </c>
      <c r="M44" t="str">
        <f>IF(Table1[[#This Row],[ReorderLevel]]-Table1[[#This Row],[CurrentStock]]&gt;0,Table1[[#This Row],[ReorderLevel]]-Table1[[#This Row],[CurrentStock]],"")</f>
        <v/>
      </c>
      <c r="N44" t="str">
        <f>IF(Table1[[#This Row],[CurrentStock]]&gt;Table1[[#This Row],[ReorderLevel]]*3,"Over Stock","Okay")</f>
        <v>Over Stock</v>
      </c>
      <c r="O44" t="str">
        <f>IF(Table1[[#This Row],[CurrentStock]]&lt;Table1[[#This Row],[ReorderLevel]],"Reorder","Okay")</f>
        <v>Okay</v>
      </c>
    </row>
    <row r="45" spans="1:15" x14ac:dyDescent="0.3">
      <c r="A45">
        <v>88781</v>
      </c>
      <c r="B45" t="s">
        <v>23</v>
      </c>
      <c r="C45" t="s">
        <v>30</v>
      </c>
      <c r="D45">
        <v>184</v>
      </c>
      <c r="E45">
        <v>80</v>
      </c>
      <c r="F45">
        <v>62.46</v>
      </c>
      <c r="G45" t="s">
        <v>34</v>
      </c>
      <c r="H45" s="1">
        <v>45360</v>
      </c>
      <c r="I45" s="1">
        <v>45394</v>
      </c>
      <c r="J45" t="s">
        <v>37</v>
      </c>
      <c r="K45" t="b">
        <f>Table1[[#This Row],[CurrentStock]]&lt;Table1[[#This Row],[ReorderLevel]]</f>
        <v>0</v>
      </c>
      <c r="L45" s="9">
        <f>Table1[[#This Row],[CurrentStock]]*Table1[[#This Row],[UnitPrice]]</f>
        <v>11492.64</v>
      </c>
      <c r="M45" t="str">
        <f>IF(Table1[[#This Row],[ReorderLevel]]-Table1[[#This Row],[CurrentStock]]&gt;0,Table1[[#This Row],[ReorderLevel]]-Table1[[#This Row],[CurrentStock]],"")</f>
        <v/>
      </c>
      <c r="N45" t="str">
        <f>IF(Table1[[#This Row],[CurrentStock]]&gt;Table1[[#This Row],[ReorderLevel]]*3,"Over Stock","Okay")</f>
        <v>Okay</v>
      </c>
      <c r="O45" t="str">
        <f>IF(Table1[[#This Row],[CurrentStock]]&lt;Table1[[#This Row],[ReorderLevel]],"Reorder","Okay")</f>
        <v>Okay</v>
      </c>
    </row>
    <row r="46" spans="1:15" x14ac:dyDescent="0.3">
      <c r="A46">
        <v>66573</v>
      </c>
      <c r="B46" t="s">
        <v>11</v>
      </c>
      <c r="C46" t="s">
        <v>27</v>
      </c>
      <c r="D46">
        <v>217</v>
      </c>
      <c r="E46">
        <v>30</v>
      </c>
      <c r="F46">
        <v>248.35</v>
      </c>
      <c r="G46" t="s">
        <v>36</v>
      </c>
      <c r="H46" s="1">
        <v>45330</v>
      </c>
      <c r="I46" s="1">
        <v>45367</v>
      </c>
      <c r="J46" t="s">
        <v>38</v>
      </c>
      <c r="K46" t="b">
        <f>Table1[[#This Row],[CurrentStock]]&lt;Table1[[#This Row],[ReorderLevel]]</f>
        <v>0</v>
      </c>
      <c r="L46" s="9">
        <f>Table1[[#This Row],[CurrentStock]]*Table1[[#This Row],[UnitPrice]]</f>
        <v>53891.95</v>
      </c>
      <c r="M46" t="str">
        <f>IF(Table1[[#This Row],[ReorderLevel]]-Table1[[#This Row],[CurrentStock]]&gt;0,Table1[[#This Row],[ReorderLevel]]-Table1[[#This Row],[CurrentStock]],"")</f>
        <v/>
      </c>
      <c r="N46" t="str">
        <f>IF(Table1[[#This Row],[CurrentStock]]&gt;Table1[[#This Row],[ReorderLevel]]*3,"Over Stock","Okay")</f>
        <v>Over Stock</v>
      </c>
      <c r="O46" t="str">
        <f>IF(Table1[[#This Row],[CurrentStock]]&lt;Table1[[#This Row],[ReorderLevel]],"Reorder","Okay")</f>
        <v>Okay</v>
      </c>
    </row>
    <row r="47" spans="1:15" x14ac:dyDescent="0.3">
      <c r="A47">
        <v>75417</v>
      </c>
      <c r="B47" t="s">
        <v>21</v>
      </c>
      <c r="C47" t="s">
        <v>31</v>
      </c>
      <c r="D47">
        <v>245</v>
      </c>
      <c r="E47">
        <v>80</v>
      </c>
      <c r="F47">
        <v>443.91</v>
      </c>
      <c r="G47" t="s">
        <v>33</v>
      </c>
      <c r="H47" s="1">
        <v>45471</v>
      </c>
      <c r="I47" s="1">
        <v>45506</v>
      </c>
      <c r="J47" t="s">
        <v>38</v>
      </c>
      <c r="K47" t="b">
        <f>Table1[[#This Row],[CurrentStock]]&lt;Table1[[#This Row],[ReorderLevel]]</f>
        <v>0</v>
      </c>
      <c r="L47" s="9">
        <f>Table1[[#This Row],[CurrentStock]]*Table1[[#This Row],[UnitPrice]]</f>
        <v>108757.95000000001</v>
      </c>
      <c r="M47" t="str">
        <f>IF(Table1[[#This Row],[ReorderLevel]]-Table1[[#This Row],[CurrentStock]]&gt;0,Table1[[#This Row],[ReorderLevel]]-Table1[[#This Row],[CurrentStock]],"")</f>
        <v/>
      </c>
      <c r="N47" t="str">
        <f>IF(Table1[[#This Row],[CurrentStock]]&gt;Table1[[#This Row],[ReorderLevel]]*3,"Over Stock","Okay")</f>
        <v>Over Stock</v>
      </c>
      <c r="O47" t="str">
        <f>IF(Table1[[#This Row],[CurrentStock]]&lt;Table1[[#This Row],[ReorderLevel]],"Reorder","Okay")</f>
        <v>Okay</v>
      </c>
    </row>
    <row r="48" spans="1:15" x14ac:dyDescent="0.3">
      <c r="A48">
        <v>40977</v>
      </c>
      <c r="B48" t="s">
        <v>24</v>
      </c>
      <c r="C48" t="s">
        <v>31</v>
      </c>
      <c r="D48">
        <v>324</v>
      </c>
      <c r="E48">
        <v>80</v>
      </c>
      <c r="F48">
        <v>85.65</v>
      </c>
      <c r="G48" t="s">
        <v>35</v>
      </c>
      <c r="H48" s="1">
        <v>45571</v>
      </c>
      <c r="I48" s="1">
        <v>45591</v>
      </c>
      <c r="J48" t="s">
        <v>38</v>
      </c>
      <c r="K48" t="b">
        <f>Table1[[#This Row],[CurrentStock]]&lt;Table1[[#This Row],[ReorderLevel]]</f>
        <v>0</v>
      </c>
      <c r="L48" s="9">
        <f>Table1[[#This Row],[CurrentStock]]*Table1[[#This Row],[UnitPrice]]</f>
        <v>27750.600000000002</v>
      </c>
      <c r="M48" t="str">
        <f>IF(Table1[[#This Row],[ReorderLevel]]-Table1[[#This Row],[CurrentStock]]&gt;0,Table1[[#This Row],[ReorderLevel]]-Table1[[#This Row],[CurrentStock]],"")</f>
        <v/>
      </c>
      <c r="N48" t="str">
        <f>IF(Table1[[#This Row],[CurrentStock]]&gt;Table1[[#This Row],[ReorderLevel]]*3,"Over Stock","Okay")</f>
        <v>Over Stock</v>
      </c>
      <c r="O48" t="str">
        <f>IF(Table1[[#This Row],[CurrentStock]]&lt;Table1[[#This Row],[ReorderLevel]],"Reorder","Okay")</f>
        <v>Okay</v>
      </c>
    </row>
    <row r="49" spans="1:15" x14ac:dyDescent="0.3">
      <c r="A49">
        <v>80588</v>
      </c>
      <c r="B49" t="s">
        <v>11</v>
      </c>
      <c r="C49" t="s">
        <v>27</v>
      </c>
      <c r="D49">
        <v>395</v>
      </c>
      <c r="E49">
        <v>30</v>
      </c>
      <c r="F49">
        <v>288.82</v>
      </c>
      <c r="G49" t="s">
        <v>32</v>
      </c>
      <c r="H49" s="1">
        <v>45324</v>
      </c>
      <c r="I49" s="1">
        <v>45361</v>
      </c>
      <c r="J49" t="s">
        <v>38</v>
      </c>
      <c r="K49" t="b">
        <f>Table1[[#This Row],[CurrentStock]]&lt;Table1[[#This Row],[ReorderLevel]]</f>
        <v>0</v>
      </c>
      <c r="L49" s="9">
        <f>Table1[[#This Row],[CurrentStock]]*Table1[[#This Row],[UnitPrice]]</f>
        <v>114083.9</v>
      </c>
      <c r="M49" t="str">
        <f>IF(Table1[[#This Row],[ReorderLevel]]-Table1[[#This Row],[CurrentStock]]&gt;0,Table1[[#This Row],[ReorderLevel]]-Table1[[#This Row],[CurrentStock]],"")</f>
        <v/>
      </c>
      <c r="N49" t="str">
        <f>IF(Table1[[#This Row],[CurrentStock]]&gt;Table1[[#This Row],[ReorderLevel]]*3,"Over Stock","Okay")</f>
        <v>Over Stock</v>
      </c>
      <c r="O49" t="str">
        <f>IF(Table1[[#This Row],[CurrentStock]]&lt;Table1[[#This Row],[ReorderLevel]],"Reorder","Okay")</f>
        <v>Okay</v>
      </c>
    </row>
    <row r="50" spans="1:15" x14ac:dyDescent="0.3">
      <c r="A50">
        <v>96027</v>
      </c>
      <c r="B50" t="s">
        <v>17</v>
      </c>
      <c r="C50" t="s">
        <v>30</v>
      </c>
      <c r="D50">
        <v>322</v>
      </c>
      <c r="E50">
        <v>20</v>
      </c>
      <c r="F50">
        <v>480.79</v>
      </c>
      <c r="G50" t="s">
        <v>33</v>
      </c>
      <c r="H50" s="1">
        <v>45621</v>
      </c>
      <c r="I50" s="1">
        <v>45654</v>
      </c>
      <c r="J50" t="s">
        <v>37</v>
      </c>
      <c r="K50" t="b">
        <f>Table1[[#This Row],[CurrentStock]]&lt;Table1[[#This Row],[ReorderLevel]]</f>
        <v>0</v>
      </c>
      <c r="L50" s="9">
        <f>Table1[[#This Row],[CurrentStock]]*Table1[[#This Row],[UnitPrice]]</f>
        <v>154814.38</v>
      </c>
      <c r="M50" t="str">
        <f>IF(Table1[[#This Row],[ReorderLevel]]-Table1[[#This Row],[CurrentStock]]&gt;0,Table1[[#This Row],[ReorderLevel]]-Table1[[#This Row],[CurrentStock]],"")</f>
        <v/>
      </c>
      <c r="N50" t="str">
        <f>IF(Table1[[#This Row],[CurrentStock]]&gt;Table1[[#This Row],[ReorderLevel]]*3,"Over Stock","Okay")</f>
        <v>Over Stock</v>
      </c>
      <c r="O50" t="str">
        <f>IF(Table1[[#This Row],[CurrentStock]]&lt;Table1[[#This Row],[ReorderLevel]],"Reorder","Okay")</f>
        <v>Okay</v>
      </c>
    </row>
    <row r="51" spans="1:15" x14ac:dyDescent="0.3">
      <c r="A51">
        <v>25305</v>
      </c>
      <c r="B51" t="s">
        <v>15</v>
      </c>
      <c r="C51" t="s">
        <v>29</v>
      </c>
      <c r="D51">
        <v>34</v>
      </c>
      <c r="E51">
        <v>150</v>
      </c>
      <c r="F51">
        <v>40.24</v>
      </c>
      <c r="G51" t="s">
        <v>33</v>
      </c>
      <c r="H51" s="1">
        <v>45555</v>
      </c>
      <c r="I51" s="1">
        <v>45588</v>
      </c>
      <c r="J51" t="s">
        <v>39</v>
      </c>
      <c r="K51" t="b">
        <f>Table1[[#This Row],[CurrentStock]]&lt;Table1[[#This Row],[ReorderLevel]]</f>
        <v>1</v>
      </c>
      <c r="L51" s="9">
        <f>Table1[[#This Row],[CurrentStock]]*Table1[[#This Row],[UnitPrice]]</f>
        <v>1368.16</v>
      </c>
      <c r="M51">
        <f>IF(Table1[[#This Row],[ReorderLevel]]-Table1[[#This Row],[CurrentStock]]&gt;0,Table1[[#This Row],[ReorderLevel]]-Table1[[#This Row],[CurrentStock]],"")</f>
        <v>116</v>
      </c>
      <c r="N51" t="str">
        <f>IF(Table1[[#This Row],[CurrentStock]]&gt;Table1[[#This Row],[ReorderLevel]]*3,"Over Stock","Okay")</f>
        <v>Okay</v>
      </c>
      <c r="O51" t="str">
        <f>IF(Table1[[#This Row],[CurrentStock]]&lt;Table1[[#This Row],[ReorderLevel]],"Reorder","Okay")</f>
        <v>Reorder</v>
      </c>
    </row>
    <row r="52" spans="1:15" x14ac:dyDescent="0.3">
      <c r="A52">
        <v>10412</v>
      </c>
      <c r="B52" t="s">
        <v>25</v>
      </c>
      <c r="C52" t="s">
        <v>31</v>
      </c>
      <c r="D52">
        <v>104</v>
      </c>
      <c r="E52">
        <v>150</v>
      </c>
      <c r="F52">
        <v>63.49</v>
      </c>
      <c r="G52" t="s">
        <v>34</v>
      </c>
      <c r="H52" s="1">
        <v>45405</v>
      </c>
      <c r="I52" s="1">
        <v>45420</v>
      </c>
      <c r="J52" t="s">
        <v>37</v>
      </c>
      <c r="K52" t="b">
        <f>Table1[[#This Row],[CurrentStock]]&lt;Table1[[#This Row],[ReorderLevel]]</f>
        <v>1</v>
      </c>
      <c r="L52" s="9">
        <f>Table1[[#This Row],[CurrentStock]]*Table1[[#This Row],[UnitPrice]]</f>
        <v>6602.96</v>
      </c>
      <c r="M52">
        <f>IF(Table1[[#This Row],[ReorderLevel]]-Table1[[#This Row],[CurrentStock]]&gt;0,Table1[[#This Row],[ReorderLevel]]-Table1[[#This Row],[CurrentStock]],"")</f>
        <v>46</v>
      </c>
      <c r="N52" t="str">
        <f>IF(Table1[[#This Row],[CurrentStock]]&gt;Table1[[#This Row],[ReorderLevel]]*3,"Over Stock","Okay")</f>
        <v>Okay</v>
      </c>
      <c r="O52" t="str">
        <f>IF(Table1[[#This Row],[CurrentStock]]&lt;Table1[[#This Row],[ReorderLevel]],"Reorder","Okay")</f>
        <v>Reorder</v>
      </c>
    </row>
    <row r="53" spans="1:15" x14ac:dyDescent="0.3">
      <c r="A53">
        <v>93042</v>
      </c>
      <c r="B53" t="s">
        <v>26</v>
      </c>
      <c r="C53" t="s">
        <v>30</v>
      </c>
      <c r="D53">
        <v>248</v>
      </c>
      <c r="E53">
        <v>50</v>
      </c>
      <c r="F53">
        <v>92.83</v>
      </c>
      <c r="G53" t="s">
        <v>34</v>
      </c>
      <c r="H53" s="1">
        <v>45483</v>
      </c>
      <c r="I53" s="1">
        <v>45522</v>
      </c>
      <c r="J53" t="s">
        <v>39</v>
      </c>
      <c r="K53" t="b">
        <f>Table1[[#This Row],[CurrentStock]]&lt;Table1[[#This Row],[ReorderLevel]]</f>
        <v>0</v>
      </c>
      <c r="L53" s="9">
        <f>Table1[[#This Row],[CurrentStock]]*Table1[[#This Row],[UnitPrice]]</f>
        <v>23021.84</v>
      </c>
      <c r="M53" t="str">
        <f>IF(Table1[[#This Row],[ReorderLevel]]-Table1[[#This Row],[CurrentStock]]&gt;0,Table1[[#This Row],[ReorderLevel]]-Table1[[#This Row],[CurrentStock]],"")</f>
        <v/>
      </c>
      <c r="N53" t="str">
        <f>IF(Table1[[#This Row],[CurrentStock]]&gt;Table1[[#This Row],[ReorderLevel]]*3,"Over Stock","Okay")</f>
        <v>Over Stock</v>
      </c>
      <c r="O53" t="str">
        <f>IF(Table1[[#This Row],[CurrentStock]]&lt;Table1[[#This Row],[ReorderLevel]],"Reorder","Okay")</f>
        <v>Okay</v>
      </c>
    </row>
    <row r="54" spans="1:15" x14ac:dyDescent="0.3">
      <c r="A54">
        <v>46208</v>
      </c>
      <c r="B54" t="s">
        <v>19</v>
      </c>
      <c r="C54" t="s">
        <v>28</v>
      </c>
      <c r="D54">
        <v>95</v>
      </c>
      <c r="E54">
        <v>150</v>
      </c>
      <c r="F54">
        <v>465.72</v>
      </c>
      <c r="G54" t="s">
        <v>36</v>
      </c>
      <c r="H54" s="1">
        <v>45328</v>
      </c>
      <c r="I54" s="1">
        <v>45344</v>
      </c>
      <c r="J54" t="s">
        <v>38</v>
      </c>
      <c r="K54" t="b">
        <f>Table1[[#This Row],[CurrentStock]]&lt;Table1[[#This Row],[ReorderLevel]]</f>
        <v>1</v>
      </c>
      <c r="L54" s="9">
        <f>Table1[[#This Row],[CurrentStock]]*Table1[[#This Row],[UnitPrice]]</f>
        <v>44243.4</v>
      </c>
      <c r="M54">
        <f>IF(Table1[[#This Row],[ReorderLevel]]-Table1[[#This Row],[CurrentStock]]&gt;0,Table1[[#This Row],[ReorderLevel]]-Table1[[#This Row],[CurrentStock]],"")</f>
        <v>55</v>
      </c>
      <c r="N54" t="str">
        <f>IF(Table1[[#This Row],[CurrentStock]]&gt;Table1[[#This Row],[ReorderLevel]]*3,"Over Stock","Okay")</f>
        <v>Okay</v>
      </c>
      <c r="O54" t="str">
        <f>IF(Table1[[#This Row],[CurrentStock]]&lt;Table1[[#This Row],[ReorderLevel]],"Reorder","Okay")</f>
        <v>Reorder</v>
      </c>
    </row>
    <row r="55" spans="1:15" x14ac:dyDescent="0.3">
      <c r="A55">
        <v>56959</v>
      </c>
      <c r="B55" t="s">
        <v>19</v>
      </c>
      <c r="C55" t="s">
        <v>28</v>
      </c>
      <c r="D55">
        <v>360</v>
      </c>
      <c r="E55">
        <v>100</v>
      </c>
      <c r="F55">
        <v>451.76</v>
      </c>
      <c r="G55" t="s">
        <v>35</v>
      </c>
      <c r="H55" s="1">
        <v>45353</v>
      </c>
      <c r="I55" s="1">
        <v>45377</v>
      </c>
      <c r="J55" t="s">
        <v>39</v>
      </c>
      <c r="K55" t="b">
        <f>Table1[[#This Row],[CurrentStock]]&lt;Table1[[#This Row],[ReorderLevel]]</f>
        <v>0</v>
      </c>
      <c r="L55" s="9">
        <f>Table1[[#This Row],[CurrentStock]]*Table1[[#This Row],[UnitPrice]]</f>
        <v>162633.60000000001</v>
      </c>
      <c r="M55" t="str">
        <f>IF(Table1[[#This Row],[ReorderLevel]]-Table1[[#This Row],[CurrentStock]]&gt;0,Table1[[#This Row],[ReorderLevel]]-Table1[[#This Row],[CurrentStock]],"")</f>
        <v/>
      </c>
      <c r="N55" t="str">
        <f>IF(Table1[[#This Row],[CurrentStock]]&gt;Table1[[#This Row],[ReorderLevel]]*3,"Over Stock","Okay")</f>
        <v>Over Stock</v>
      </c>
      <c r="O55" t="str">
        <f>IF(Table1[[#This Row],[CurrentStock]]&lt;Table1[[#This Row],[ReorderLevel]],"Reorder","Okay")</f>
        <v>Okay</v>
      </c>
    </row>
    <row r="56" spans="1:15" x14ac:dyDescent="0.3">
      <c r="A56">
        <v>46939</v>
      </c>
      <c r="B56" t="s">
        <v>16</v>
      </c>
      <c r="C56" t="s">
        <v>30</v>
      </c>
      <c r="D56">
        <v>18</v>
      </c>
      <c r="E56">
        <v>20</v>
      </c>
      <c r="F56">
        <v>31.48</v>
      </c>
      <c r="G56" t="s">
        <v>35</v>
      </c>
      <c r="H56" s="1">
        <v>45524</v>
      </c>
      <c r="I56" s="1">
        <v>45547</v>
      </c>
      <c r="J56" t="s">
        <v>38</v>
      </c>
      <c r="K56" t="b">
        <f>Table1[[#This Row],[CurrentStock]]&lt;Table1[[#This Row],[ReorderLevel]]</f>
        <v>1</v>
      </c>
      <c r="L56" s="9">
        <f>Table1[[#This Row],[CurrentStock]]*Table1[[#This Row],[UnitPrice]]</f>
        <v>566.64</v>
      </c>
      <c r="M56">
        <f>IF(Table1[[#This Row],[ReorderLevel]]-Table1[[#This Row],[CurrentStock]]&gt;0,Table1[[#This Row],[ReorderLevel]]-Table1[[#This Row],[CurrentStock]],"")</f>
        <v>2</v>
      </c>
      <c r="N56" t="str">
        <f>IF(Table1[[#This Row],[CurrentStock]]&gt;Table1[[#This Row],[ReorderLevel]]*3,"Over Stock","Okay")</f>
        <v>Okay</v>
      </c>
      <c r="O56" t="str">
        <f>IF(Table1[[#This Row],[CurrentStock]]&lt;Table1[[#This Row],[ReorderLevel]],"Reorder","Okay")</f>
        <v>Reorder</v>
      </c>
    </row>
    <row r="57" spans="1:15" x14ac:dyDescent="0.3">
      <c r="A57">
        <v>99112</v>
      </c>
      <c r="B57" t="s">
        <v>14</v>
      </c>
      <c r="C57" t="s">
        <v>27</v>
      </c>
      <c r="D57">
        <v>222</v>
      </c>
      <c r="E57">
        <v>50</v>
      </c>
      <c r="F57">
        <v>288.85000000000002</v>
      </c>
      <c r="G57" t="s">
        <v>34</v>
      </c>
      <c r="H57" s="1">
        <v>45435</v>
      </c>
      <c r="I57" s="1">
        <v>45444</v>
      </c>
      <c r="J57" t="s">
        <v>38</v>
      </c>
      <c r="K57" t="b">
        <f>Table1[[#This Row],[CurrentStock]]&lt;Table1[[#This Row],[ReorderLevel]]</f>
        <v>0</v>
      </c>
      <c r="L57" s="9">
        <f>Table1[[#This Row],[CurrentStock]]*Table1[[#This Row],[UnitPrice]]</f>
        <v>64124.700000000004</v>
      </c>
      <c r="M57" t="str">
        <f>IF(Table1[[#This Row],[ReorderLevel]]-Table1[[#This Row],[CurrentStock]]&gt;0,Table1[[#This Row],[ReorderLevel]]-Table1[[#This Row],[CurrentStock]],"")</f>
        <v/>
      </c>
      <c r="N57" t="str">
        <f>IF(Table1[[#This Row],[CurrentStock]]&gt;Table1[[#This Row],[ReorderLevel]]*3,"Over Stock","Okay")</f>
        <v>Over Stock</v>
      </c>
      <c r="O57" t="str">
        <f>IF(Table1[[#This Row],[CurrentStock]]&lt;Table1[[#This Row],[ReorderLevel]],"Reorder","Okay")</f>
        <v>Okay</v>
      </c>
    </row>
    <row r="58" spans="1:15" x14ac:dyDescent="0.3">
      <c r="A58">
        <v>19348</v>
      </c>
      <c r="B58" t="s">
        <v>17</v>
      </c>
      <c r="C58" t="s">
        <v>30</v>
      </c>
      <c r="D58">
        <v>52</v>
      </c>
      <c r="E58">
        <v>150</v>
      </c>
      <c r="F58">
        <v>391.74</v>
      </c>
      <c r="G58" t="s">
        <v>32</v>
      </c>
      <c r="H58" s="1">
        <v>45330</v>
      </c>
      <c r="I58" s="1">
        <v>45348</v>
      </c>
      <c r="J58" t="s">
        <v>38</v>
      </c>
      <c r="K58" t="b">
        <f>Table1[[#This Row],[CurrentStock]]&lt;Table1[[#This Row],[ReorderLevel]]</f>
        <v>1</v>
      </c>
      <c r="L58" s="9">
        <f>Table1[[#This Row],[CurrentStock]]*Table1[[#This Row],[UnitPrice]]</f>
        <v>20370.48</v>
      </c>
      <c r="M58">
        <f>IF(Table1[[#This Row],[ReorderLevel]]-Table1[[#This Row],[CurrentStock]]&gt;0,Table1[[#This Row],[ReorderLevel]]-Table1[[#This Row],[CurrentStock]],"")</f>
        <v>98</v>
      </c>
      <c r="N58" t="str">
        <f>IF(Table1[[#This Row],[CurrentStock]]&gt;Table1[[#This Row],[ReorderLevel]]*3,"Over Stock","Okay")</f>
        <v>Okay</v>
      </c>
      <c r="O58" t="str">
        <f>IF(Table1[[#This Row],[CurrentStock]]&lt;Table1[[#This Row],[ReorderLevel]],"Reorder","Okay")</f>
        <v>Reorder</v>
      </c>
    </row>
    <row r="59" spans="1:15" x14ac:dyDescent="0.3">
      <c r="A59">
        <v>92873</v>
      </c>
      <c r="B59" t="s">
        <v>16</v>
      </c>
      <c r="C59" t="s">
        <v>30</v>
      </c>
      <c r="D59">
        <v>330</v>
      </c>
      <c r="E59">
        <v>30</v>
      </c>
      <c r="F59">
        <v>484.48</v>
      </c>
      <c r="G59" t="s">
        <v>34</v>
      </c>
      <c r="H59" s="1">
        <v>45300</v>
      </c>
      <c r="I59" s="1">
        <v>45314</v>
      </c>
      <c r="J59" t="s">
        <v>37</v>
      </c>
      <c r="K59" t="b">
        <f>Table1[[#This Row],[CurrentStock]]&lt;Table1[[#This Row],[ReorderLevel]]</f>
        <v>0</v>
      </c>
      <c r="L59" s="9">
        <f>Table1[[#This Row],[CurrentStock]]*Table1[[#This Row],[UnitPrice]]</f>
        <v>159878.39999999999</v>
      </c>
      <c r="M59" t="str">
        <f>IF(Table1[[#This Row],[ReorderLevel]]-Table1[[#This Row],[CurrentStock]]&gt;0,Table1[[#This Row],[ReorderLevel]]-Table1[[#This Row],[CurrentStock]],"")</f>
        <v/>
      </c>
      <c r="N59" t="str">
        <f>IF(Table1[[#This Row],[CurrentStock]]&gt;Table1[[#This Row],[ReorderLevel]]*3,"Over Stock","Okay")</f>
        <v>Over Stock</v>
      </c>
      <c r="O59" t="str">
        <f>IF(Table1[[#This Row],[CurrentStock]]&lt;Table1[[#This Row],[ReorderLevel]],"Reorder","Okay")</f>
        <v>Okay</v>
      </c>
    </row>
    <row r="60" spans="1:15" x14ac:dyDescent="0.3">
      <c r="A60">
        <v>98858</v>
      </c>
      <c r="B60" t="s">
        <v>23</v>
      </c>
      <c r="C60" t="s">
        <v>30</v>
      </c>
      <c r="D60">
        <v>6</v>
      </c>
      <c r="E60">
        <v>100</v>
      </c>
      <c r="F60">
        <v>351.98</v>
      </c>
      <c r="G60" t="s">
        <v>33</v>
      </c>
      <c r="H60" s="1">
        <v>45461</v>
      </c>
      <c r="I60" s="1">
        <v>45474</v>
      </c>
      <c r="J60" t="s">
        <v>39</v>
      </c>
      <c r="K60" t="b">
        <f>Table1[[#This Row],[CurrentStock]]&lt;Table1[[#This Row],[ReorderLevel]]</f>
        <v>1</v>
      </c>
      <c r="L60" s="9">
        <f>Table1[[#This Row],[CurrentStock]]*Table1[[#This Row],[UnitPrice]]</f>
        <v>2111.88</v>
      </c>
      <c r="M60">
        <f>IF(Table1[[#This Row],[ReorderLevel]]-Table1[[#This Row],[CurrentStock]]&gt;0,Table1[[#This Row],[ReorderLevel]]-Table1[[#This Row],[CurrentStock]],"")</f>
        <v>94</v>
      </c>
      <c r="N60" t="str">
        <f>IF(Table1[[#This Row],[CurrentStock]]&gt;Table1[[#This Row],[ReorderLevel]]*3,"Over Stock","Okay")</f>
        <v>Okay</v>
      </c>
      <c r="O60" t="str">
        <f>IF(Table1[[#This Row],[CurrentStock]]&lt;Table1[[#This Row],[ReorderLevel]],"Reorder","Okay")</f>
        <v>Reorder</v>
      </c>
    </row>
    <row r="61" spans="1:15" x14ac:dyDescent="0.3">
      <c r="A61">
        <v>93285</v>
      </c>
      <c r="B61" t="s">
        <v>26</v>
      </c>
      <c r="C61" t="s">
        <v>30</v>
      </c>
      <c r="D61">
        <v>164</v>
      </c>
      <c r="E61">
        <v>100</v>
      </c>
      <c r="F61">
        <v>493.39</v>
      </c>
      <c r="G61" t="s">
        <v>34</v>
      </c>
      <c r="H61" s="1">
        <v>45656</v>
      </c>
      <c r="I61" s="1">
        <v>45661</v>
      </c>
      <c r="J61" t="s">
        <v>37</v>
      </c>
      <c r="K61" t="b">
        <f>Table1[[#This Row],[CurrentStock]]&lt;Table1[[#This Row],[ReorderLevel]]</f>
        <v>0</v>
      </c>
      <c r="L61" s="9">
        <f>Table1[[#This Row],[CurrentStock]]*Table1[[#This Row],[UnitPrice]]</f>
        <v>80915.959999999992</v>
      </c>
      <c r="M61" t="str">
        <f>IF(Table1[[#This Row],[ReorderLevel]]-Table1[[#This Row],[CurrentStock]]&gt;0,Table1[[#This Row],[ReorderLevel]]-Table1[[#This Row],[CurrentStock]],"")</f>
        <v/>
      </c>
      <c r="N61" t="str">
        <f>IF(Table1[[#This Row],[CurrentStock]]&gt;Table1[[#This Row],[ReorderLevel]]*3,"Over Stock","Okay")</f>
        <v>Okay</v>
      </c>
      <c r="O61" t="str">
        <f>IF(Table1[[#This Row],[CurrentStock]]&lt;Table1[[#This Row],[ReorderLevel]],"Reorder","Okay")</f>
        <v>Okay</v>
      </c>
    </row>
    <row r="62" spans="1:15" x14ac:dyDescent="0.3">
      <c r="A62">
        <v>35289</v>
      </c>
      <c r="B62" t="s">
        <v>18</v>
      </c>
      <c r="C62" t="s">
        <v>28</v>
      </c>
      <c r="D62">
        <v>131</v>
      </c>
      <c r="E62">
        <v>50</v>
      </c>
      <c r="F62">
        <v>191.25</v>
      </c>
      <c r="G62" t="s">
        <v>33</v>
      </c>
      <c r="H62" s="1">
        <v>45566</v>
      </c>
      <c r="I62" s="1">
        <v>45597</v>
      </c>
      <c r="J62" t="s">
        <v>38</v>
      </c>
      <c r="K62" t="b">
        <f>Table1[[#This Row],[CurrentStock]]&lt;Table1[[#This Row],[ReorderLevel]]</f>
        <v>0</v>
      </c>
      <c r="L62" s="9">
        <f>Table1[[#This Row],[CurrentStock]]*Table1[[#This Row],[UnitPrice]]</f>
        <v>25053.75</v>
      </c>
      <c r="M62" t="str">
        <f>IF(Table1[[#This Row],[ReorderLevel]]-Table1[[#This Row],[CurrentStock]]&gt;0,Table1[[#This Row],[ReorderLevel]]-Table1[[#This Row],[CurrentStock]],"")</f>
        <v/>
      </c>
      <c r="N62" t="str">
        <f>IF(Table1[[#This Row],[CurrentStock]]&gt;Table1[[#This Row],[ReorderLevel]]*3,"Over Stock","Okay")</f>
        <v>Okay</v>
      </c>
      <c r="O62" t="str">
        <f>IF(Table1[[#This Row],[CurrentStock]]&lt;Table1[[#This Row],[ReorderLevel]],"Reorder","Okay")</f>
        <v>Okay</v>
      </c>
    </row>
    <row r="63" spans="1:15" x14ac:dyDescent="0.3">
      <c r="A63">
        <v>65771</v>
      </c>
      <c r="B63" t="s">
        <v>20</v>
      </c>
      <c r="C63" t="s">
        <v>29</v>
      </c>
      <c r="D63">
        <v>140</v>
      </c>
      <c r="E63">
        <v>30</v>
      </c>
      <c r="F63">
        <v>236.99</v>
      </c>
      <c r="G63" t="s">
        <v>36</v>
      </c>
      <c r="H63" s="1">
        <v>45349</v>
      </c>
      <c r="I63" s="1">
        <v>45373</v>
      </c>
      <c r="J63" t="s">
        <v>38</v>
      </c>
      <c r="K63" t="b">
        <f>Table1[[#This Row],[CurrentStock]]&lt;Table1[[#This Row],[ReorderLevel]]</f>
        <v>0</v>
      </c>
      <c r="L63" s="9">
        <f>Table1[[#This Row],[CurrentStock]]*Table1[[#This Row],[UnitPrice]]</f>
        <v>33178.6</v>
      </c>
      <c r="M63" t="str">
        <f>IF(Table1[[#This Row],[ReorderLevel]]-Table1[[#This Row],[CurrentStock]]&gt;0,Table1[[#This Row],[ReorderLevel]]-Table1[[#This Row],[CurrentStock]],"")</f>
        <v/>
      </c>
      <c r="N63" t="str">
        <f>IF(Table1[[#This Row],[CurrentStock]]&gt;Table1[[#This Row],[ReorderLevel]]*3,"Over Stock","Okay")</f>
        <v>Over Stock</v>
      </c>
      <c r="O63" t="str">
        <f>IF(Table1[[#This Row],[CurrentStock]]&lt;Table1[[#This Row],[ReorderLevel]],"Reorder","Okay")</f>
        <v>Okay</v>
      </c>
    </row>
    <row r="64" spans="1:15" x14ac:dyDescent="0.3">
      <c r="A64">
        <v>43591</v>
      </c>
      <c r="B64" t="s">
        <v>19</v>
      </c>
      <c r="C64" t="s">
        <v>28</v>
      </c>
      <c r="D64">
        <v>0</v>
      </c>
      <c r="E64">
        <v>40</v>
      </c>
      <c r="F64">
        <v>293.77</v>
      </c>
      <c r="G64" t="s">
        <v>35</v>
      </c>
      <c r="H64" s="1">
        <v>45481</v>
      </c>
      <c r="I64" s="1">
        <v>45510</v>
      </c>
      <c r="J64" t="s">
        <v>39</v>
      </c>
      <c r="K64" t="b">
        <f>Table1[[#This Row],[CurrentStock]]&lt;Table1[[#This Row],[ReorderLevel]]</f>
        <v>1</v>
      </c>
      <c r="L64" s="9">
        <f>Table1[[#This Row],[CurrentStock]]*Table1[[#This Row],[UnitPrice]]</f>
        <v>0</v>
      </c>
      <c r="M64">
        <f>IF(Table1[[#This Row],[ReorderLevel]]-Table1[[#This Row],[CurrentStock]]&gt;0,Table1[[#This Row],[ReorderLevel]]-Table1[[#This Row],[CurrentStock]],"")</f>
        <v>40</v>
      </c>
      <c r="N64" t="str">
        <f>IF(Table1[[#This Row],[CurrentStock]]&gt;Table1[[#This Row],[ReorderLevel]]*3,"Over Stock","Okay")</f>
        <v>Okay</v>
      </c>
      <c r="O64" t="str">
        <f>IF(Table1[[#This Row],[CurrentStock]]&lt;Table1[[#This Row],[ReorderLevel]],"Reorder","Okay")</f>
        <v>Reorder</v>
      </c>
    </row>
    <row r="65" spans="1:15" x14ac:dyDescent="0.3">
      <c r="A65">
        <v>30559</v>
      </c>
      <c r="B65" t="s">
        <v>23</v>
      </c>
      <c r="C65" t="s">
        <v>30</v>
      </c>
      <c r="D65">
        <v>57</v>
      </c>
      <c r="E65">
        <v>50</v>
      </c>
      <c r="F65">
        <v>489.06</v>
      </c>
      <c r="G65" t="s">
        <v>36</v>
      </c>
      <c r="H65" s="1">
        <v>45464</v>
      </c>
      <c r="I65" s="1">
        <v>45489</v>
      </c>
      <c r="J65" t="s">
        <v>38</v>
      </c>
      <c r="K65" t="b">
        <f>Table1[[#This Row],[CurrentStock]]&lt;Table1[[#This Row],[ReorderLevel]]</f>
        <v>0</v>
      </c>
      <c r="L65" s="9">
        <f>Table1[[#This Row],[CurrentStock]]*Table1[[#This Row],[UnitPrice]]</f>
        <v>27876.420000000002</v>
      </c>
      <c r="M65" t="str">
        <f>IF(Table1[[#This Row],[ReorderLevel]]-Table1[[#This Row],[CurrentStock]]&gt;0,Table1[[#This Row],[ReorderLevel]]-Table1[[#This Row],[CurrentStock]],"")</f>
        <v/>
      </c>
      <c r="N65" t="str">
        <f>IF(Table1[[#This Row],[CurrentStock]]&gt;Table1[[#This Row],[ReorderLevel]]*3,"Over Stock","Okay")</f>
        <v>Okay</v>
      </c>
      <c r="O65" t="str">
        <f>IF(Table1[[#This Row],[CurrentStock]]&lt;Table1[[#This Row],[ReorderLevel]],"Reorder","Okay")</f>
        <v>Okay</v>
      </c>
    </row>
    <row r="66" spans="1:15" x14ac:dyDescent="0.3">
      <c r="A66">
        <v>62638</v>
      </c>
      <c r="B66" t="s">
        <v>10</v>
      </c>
      <c r="C66" t="s">
        <v>27</v>
      </c>
      <c r="D66">
        <v>163</v>
      </c>
      <c r="E66">
        <v>40</v>
      </c>
      <c r="F66">
        <v>349.23</v>
      </c>
      <c r="G66" t="s">
        <v>35</v>
      </c>
      <c r="H66" s="1">
        <v>45338</v>
      </c>
      <c r="I66" s="1">
        <v>45356</v>
      </c>
      <c r="J66" t="s">
        <v>37</v>
      </c>
      <c r="K66" t="b">
        <f>Table1[[#This Row],[CurrentStock]]&lt;Table1[[#This Row],[ReorderLevel]]</f>
        <v>0</v>
      </c>
      <c r="L66" s="9">
        <f>Table1[[#This Row],[CurrentStock]]*Table1[[#This Row],[UnitPrice]]</f>
        <v>56924.490000000005</v>
      </c>
      <c r="M66" t="str">
        <f>IF(Table1[[#This Row],[ReorderLevel]]-Table1[[#This Row],[CurrentStock]]&gt;0,Table1[[#This Row],[ReorderLevel]]-Table1[[#This Row],[CurrentStock]],"")</f>
        <v/>
      </c>
      <c r="N66" t="str">
        <f>IF(Table1[[#This Row],[CurrentStock]]&gt;Table1[[#This Row],[ReorderLevel]]*3,"Over Stock","Okay")</f>
        <v>Over Stock</v>
      </c>
      <c r="O66" t="str">
        <f>IF(Table1[[#This Row],[CurrentStock]]&lt;Table1[[#This Row],[ReorderLevel]],"Reorder","Okay")</f>
        <v>Okay</v>
      </c>
    </row>
    <row r="67" spans="1:15" x14ac:dyDescent="0.3">
      <c r="A67">
        <v>31447</v>
      </c>
      <c r="B67" t="s">
        <v>13</v>
      </c>
      <c r="C67" t="s">
        <v>29</v>
      </c>
      <c r="D67">
        <v>440</v>
      </c>
      <c r="E67">
        <v>40</v>
      </c>
      <c r="F67">
        <v>144.08000000000001</v>
      </c>
      <c r="G67" t="s">
        <v>34</v>
      </c>
      <c r="H67" s="1">
        <v>45515</v>
      </c>
      <c r="I67" s="1">
        <v>45535</v>
      </c>
      <c r="J67" t="s">
        <v>37</v>
      </c>
      <c r="K67" t="b">
        <f>Table1[[#This Row],[CurrentStock]]&lt;Table1[[#This Row],[ReorderLevel]]</f>
        <v>0</v>
      </c>
      <c r="L67" s="9">
        <f>Table1[[#This Row],[CurrentStock]]*Table1[[#This Row],[UnitPrice]]</f>
        <v>63395.200000000004</v>
      </c>
      <c r="M67" t="str">
        <f>IF(Table1[[#This Row],[ReorderLevel]]-Table1[[#This Row],[CurrentStock]]&gt;0,Table1[[#This Row],[ReorderLevel]]-Table1[[#This Row],[CurrentStock]],"")</f>
        <v/>
      </c>
      <c r="N67" t="str">
        <f>IF(Table1[[#This Row],[CurrentStock]]&gt;Table1[[#This Row],[ReorderLevel]]*3,"Over Stock","Okay")</f>
        <v>Over Stock</v>
      </c>
      <c r="O67" t="str">
        <f>IF(Table1[[#This Row],[CurrentStock]]&lt;Table1[[#This Row],[ReorderLevel]],"Reorder","Okay")</f>
        <v>Okay</v>
      </c>
    </row>
    <row r="68" spans="1:15" x14ac:dyDescent="0.3">
      <c r="A68">
        <v>14835</v>
      </c>
      <c r="B68" t="s">
        <v>21</v>
      </c>
      <c r="C68" t="s">
        <v>31</v>
      </c>
      <c r="D68">
        <v>135</v>
      </c>
      <c r="E68">
        <v>30</v>
      </c>
      <c r="F68">
        <v>118.55</v>
      </c>
      <c r="G68" t="s">
        <v>32</v>
      </c>
      <c r="H68" s="1">
        <v>45319</v>
      </c>
      <c r="I68" s="1">
        <v>45351</v>
      </c>
      <c r="J68" t="s">
        <v>39</v>
      </c>
      <c r="K68" t="b">
        <f>Table1[[#This Row],[CurrentStock]]&lt;Table1[[#This Row],[ReorderLevel]]</f>
        <v>0</v>
      </c>
      <c r="L68" s="9">
        <f>Table1[[#This Row],[CurrentStock]]*Table1[[#This Row],[UnitPrice]]</f>
        <v>16004.25</v>
      </c>
      <c r="M68" t="str">
        <f>IF(Table1[[#This Row],[ReorderLevel]]-Table1[[#This Row],[CurrentStock]]&gt;0,Table1[[#This Row],[ReorderLevel]]-Table1[[#This Row],[CurrentStock]],"")</f>
        <v/>
      </c>
      <c r="N68" t="str">
        <f>IF(Table1[[#This Row],[CurrentStock]]&gt;Table1[[#This Row],[ReorderLevel]]*3,"Over Stock","Okay")</f>
        <v>Over Stock</v>
      </c>
      <c r="O68" t="str">
        <f>IF(Table1[[#This Row],[CurrentStock]]&lt;Table1[[#This Row],[ReorderLevel]],"Reorder","Okay")</f>
        <v>Okay</v>
      </c>
    </row>
    <row r="69" spans="1:15" x14ac:dyDescent="0.3">
      <c r="A69">
        <v>37532</v>
      </c>
      <c r="B69" t="s">
        <v>18</v>
      </c>
      <c r="C69" t="s">
        <v>28</v>
      </c>
      <c r="D69">
        <v>416</v>
      </c>
      <c r="E69">
        <v>80</v>
      </c>
      <c r="F69">
        <v>407.83</v>
      </c>
      <c r="G69" t="s">
        <v>32</v>
      </c>
      <c r="H69" s="1">
        <v>45511</v>
      </c>
      <c r="I69" s="1">
        <v>45544</v>
      </c>
      <c r="J69" t="s">
        <v>37</v>
      </c>
      <c r="K69" t="b">
        <f>Table1[[#This Row],[CurrentStock]]&lt;Table1[[#This Row],[ReorderLevel]]</f>
        <v>0</v>
      </c>
      <c r="L69" s="9">
        <f>Table1[[#This Row],[CurrentStock]]*Table1[[#This Row],[UnitPrice]]</f>
        <v>169657.28</v>
      </c>
      <c r="M69" t="str">
        <f>IF(Table1[[#This Row],[ReorderLevel]]-Table1[[#This Row],[CurrentStock]]&gt;0,Table1[[#This Row],[ReorderLevel]]-Table1[[#This Row],[CurrentStock]],"")</f>
        <v/>
      </c>
      <c r="N69" t="str">
        <f>IF(Table1[[#This Row],[CurrentStock]]&gt;Table1[[#This Row],[ReorderLevel]]*3,"Over Stock","Okay")</f>
        <v>Over Stock</v>
      </c>
      <c r="O69" t="str">
        <f>IF(Table1[[#This Row],[CurrentStock]]&lt;Table1[[#This Row],[ReorderLevel]],"Reorder","Okay")</f>
        <v>Okay</v>
      </c>
    </row>
    <row r="70" spans="1:15" x14ac:dyDescent="0.3">
      <c r="A70">
        <v>33793</v>
      </c>
      <c r="B70" t="s">
        <v>25</v>
      </c>
      <c r="C70" t="s">
        <v>31</v>
      </c>
      <c r="D70">
        <v>255</v>
      </c>
      <c r="E70">
        <v>80</v>
      </c>
      <c r="F70">
        <v>308.64</v>
      </c>
      <c r="G70" t="s">
        <v>32</v>
      </c>
      <c r="H70" s="1">
        <v>45301</v>
      </c>
      <c r="I70" s="1">
        <v>45335</v>
      </c>
      <c r="J70" t="s">
        <v>37</v>
      </c>
      <c r="K70" t="b">
        <f>Table1[[#This Row],[CurrentStock]]&lt;Table1[[#This Row],[ReorderLevel]]</f>
        <v>0</v>
      </c>
      <c r="L70" s="9">
        <f>Table1[[#This Row],[CurrentStock]]*Table1[[#This Row],[UnitPrice]]</f>
        <v>78703.199999999997</v>
      </c>
      <c r="M70" t="str">
        <f>IF(Table1[[#This Row],[ReorderLevel]]-Table1[[#This Row],[CurrentStock]]&gt;0,Table1[[#This Row],[ReorderLevel]]-Table1[[#This Row],[CurrentStock]],"")</f>
        <v/>
      </c>
      <c r="N70" t="str">
        <f>IF(Table1[[#This Row],[CurrentStock]]&gt;Table1[[#This Row],[ReorderLevel]]*3,"Over Stock","Okay")</f>
        <v>Over Stock</v>
      </c>
      <c r="O70" t="str">
        <f>IF(Table1[[#This Row],[CurrentStock]]&lt;Table1[[#This Row],[ReorderLevel]],"Reorder","Okay")</f>
        <v>Okay</v>
      </c>
    </row>
    <row r="71" spans="1:15" x14ac:dyDescent="0.3">
      <c r="A71">
        <v>72292</v>
      </c>
      <c r="B71" t="s">
        <v>16</v>
      </c>
      <c r="C71" t="s">
        <v>30</v>
      </c>
      <c r="D71">
        <v>288</v>
      </c>
      <c r="E71">
        <v>100</v>
      </c>
      <c r="F71">
        <v>406.22</v>
      </c>
      <c r="G71" t="s">
        <v>33</v>
      </c>
      <c r="H71" s="1">
        <v>45515</v>
      </c>
      <c r="I71" s="1">
        <v>45530</v>
      </c>
      <c r="J71" t="s">
        <v>38</v>
      </c>
      <c r="K71" t="b">
        <f>Table1[[#This Row],[CurrentStock]]&lt;Table1[[#This Row],[ReorderLevel]]</f>
        <v>0</v>
      </c>
      <c r="L71" s="9">
        <f>Table1[[#This Row],[CurrentStock]]*Table1[[#This Row],[UnitPrice]]</f>
        <v>116991.36000000002</v>
      </c>
      <c r="M71" t="str">
        <f>IF(Table1[[#This Row],[ReorderLevel]]-Table1[[#This Row],[CurrentStock]]&gt;0,Table1[[#This Row],[ReorderLevel]]-Table1[[#This Row],[CurrentStock]],"")</f>
        <v/>
      </c>
      <c r="N71" t="str">
        <f>IF(Table1[[#This Row],[CurrentStock]]&gt;Table1[[#This Row],[ReorderLevel]]*3,"Over Stock","Okay")</f>
        <v>Okay</v>
      </c>
      <c r="O71" t="str">
        <f>IF(Table1[[#This Row],[CurrentStock]]&lt;Table1[[#This Row],[ReorderLevel]],"Reorder","Okay")</f>
        <v>Okay</v>
      </c>
    </row>
    <row r="72" spans="1:15" x14ac:dyDescent="0.3">
      <c r="A72">
        <v>18702</v>
      </c>
      <c r="B72" t="s">
        <v>12</v>
      </c>
      <c r="C72" t="s">
        <v>28</v>
      </c>
      <c r="D72">
        <v>314</v>
      </c>
      <c r="E72">
        <v>40</v>
      </c>
      <c r="F72">
        <v>286.7</v>
      </c>
      <c r="G72" t="s">
        <v>35</v>
      </c>
      <c r="H72" s="1">
        <v>45389</v>
      </c>
      <c r="I72" s="1">
        <v>45428</v>
      </c>
      <c r="J72" t="s">
        <v>37</v>
      </c>
      <c r="K72" t="b">
        <f>Table1[[#This Row],[CurrentStock]]&lt;Table1[[#This Row],[ReorderLevel]]</f>
        <v>0</v>
      </c>
      <c r="L72" s="9">
        <f>Table1[[#This Row],[CurrentStock]]*Table1[[#This Row],[UnitPrice]]</f>
        <v>90023.8</v>
      </c>
      <c r="M72" t="str">
        <f>IF(Table1[[#This Row],[ReorderLevel]]-Table1[[#This Row],[CurrentStock]]&gt;0,Table1[[#This Row],[ReorderLevel]]-Table1[[#This Row],[CurrentStock]],"")</f>
        <v/>
      </c>
      <c r="N72" t="str">
        <f>IF(Table1[[#This Row],[CurrentStock]]&gt;Table1[[#This Row],[ReorderLevel]]*3,"Over Stock","Okay")</f>
        <v>Over Stock</v>
      </c>
      <c r="O72" t="str">
        <f>IF(Table1[[#This Row],[CurrentStock]]&lt;Table1[[#This Row],[ReorderLevel]],"Reorder","Okay")</f>
        <v>Okay</v>
      </c>
    </row>
    <row r="73" spans="1:15" x14ac:dyDescent="0.3">
      <c r="A73">
        <v>33524</v>
      </c>
      <c r="B73" t="s">
        <v>10</v>
      </c>
      <c r="C73" t="s">
        <v>27</v>
      </c>
      <c r="D73">
        <v>196</v>
      </c>
      <c r="E73">
        <v>150</v>
      </c>
      <c r="F73">
        <v>376.21</v>
      </c>
      <c r="G73" t="s">
        <v>36</v>
      </c>
      <c r="H73" s="1">
        <v>45550</v>
      </c>
      <c r="I73" s="1">
        <v>45577</v>
      </c>
      <c r="J73" t="s">
        <v>37</v>
      </c>
      <c r="K73" t="b">
        <f>Table1[[#This Row],[CurrentStock]]&lt;Table1[[#This Row],[ReorderLevel]]</f>
        <v>0</v>
      </c>
      <c r="L73" s="9">
        <f>Table1[[#This Row],[CurrentStock]]*Table1[[#This Row],[UnitPrice]]</f>
        <v>73737.159999999989</v>
      </c>
      <c r="M73" t="str">
        <f>IF(Table1[[#This Row],[ReorderLevel]]-Table1[[#This Row],[CurrentStock]]&gt;0,Table1[[#This Row],[ReorderLevel]]-Table1[[#This Row],[CurrentStock]],"")</f>
        <v/>
      </c>
      <c r="N73" t="str">
        <f>IF(Table1[[#This Row],[CurrentStock]]&gt;Table1[[#This Row],[ReorderLevel]]*3,"Over Stock","Okay")</f>
        <v>Okay</v>
      </c>
      <c r="O73" t="str">
        <f>IF(Table1[[#This Row],[CurrentStock]]&lt;Table1[[#This Row],[ReorderLevel]],"Reorder","Okay")</f>
        <v>Okay</v>
      </c>
    </row>
    <row r="74" spans="1:15" x14ac:dyDescent="0.3">
      <c r="A74">
        <v>67091</v>
      </c>
      <c r="B74" t="s">
        <v>21</v>
      </c>
      <c r="C74" t="s">
        <v>31</v>
      </c>
      <c r="D74">
        <v>82</v>
      </c>
      <c r="E74">
        <v>20</v>
      </c>
      <c r="F74">
        <v>124.34</v>
      </c>
      <c r="G74" t="s">
        <v>35</v>
      </c>
      <c r="H74" s="1">
        <v>45292</v>
      </c>
      <c r="I74" s="1">
        <v>45309</v>
      </c>
      <c r="J74" t="s">
        <v>37</v>
      </c>
      <c r="K74" t="b">
        <f>Table1[[#This Row],[CurrentStock]]&lt;Table1[[#This Row],[ReorderLevel]]</f>
        <v>0</v>
      </c>
      <c r="L74" s="9">
        <f>Table1[[#This Row],[CurrentStock]]*Table1[[#This Row],[UnitPrice]]</f>
        <v>10195.880000000001</v>
      </c>
      <c r="M74" t="str">
        <f>IF(Table1[[#This Row],[ReorderLevel]]-Table1[[#This Row],[CurrentStock]]&gt;0,Table1[[#This Row],[ReorderLevel]]-Table1[[#This Row],[CurrentStock]],"")</f>
        <v/>
      </c>
      <c r="N74" t="str">
        <f>IF(Table1[[#This Row],[CurrentStock]]&gt;Table1[[#This Row],[ReorderLevel]]*3,"Over Stock","Okay")</f>
        <v>Over Stock</v>
      </c>
      <c r="O74" t="str">
        <f>IF(Table1[[#This Row],[CurrentStock]]&lt;Table1[[#This Row],[ReorderLevel]],"Reorder","Okay")</f>
        <v>Okay</v>
      </c>
    </row>
    <row r="75" spans="1:15" x14ac:dyDescent="0.3">
      <c r="A75">
        <v>42049</v>
      </c>
      <c r="B75" t="s">
        <v>25</v>
      </c>
      <c r="C75" t="s">
        <v>31</v>
      </c>
      <c r="D75">
        <v>71</v>
      </c>
      <c r="E75">
        <v>150</v>
      </c>
      <c r="F75">
        <v>337.43</v>
      </c>
      <c r="G75" t="s">
        <v>34</v>
      </c>
      <c r="H75" s="1">
        <v>45453</v>
      </c>
      <c r="I75" s="1">
        <v>45460</v>
      </c>
      <c r="J75" t="s">
        <v>37</v>
      </c>
      <c r="K75" t="b">
        <f>Table1[[#This Row],[CurrentStock]]&lt;Table1[[#This Row],[ReorderLevel]]</f>
        <v>1</v>
      </c>
      <c r="L75" s="9">
        <f>Table1[[#This Row],[CurrentStock]]*Table1[[#This Row],[UnitPrice]]</f>
        <v>23957.53</v>
      </c>
      <c r="M75">
        <f>IF(Table1[[#This Row],[ReorderLevel]]-Table1[[#This Row],[CurrentStock]]&gt;0,Table1[[#This Row],[ReorderLevel]]-Table1[[#This Row],[CurrentStock]],"")</f>
        <v>79</v>
      </c>
      <c r="N75" t="str">
        <f>IF(Table1[[#This Row],[CurrentStock]]&gt;Table1[[#This Row],[ReorderLevel]]*3,"Over Stock","Okay")</f>
        <v>Okay</v>
      </c>
      <c r="O75" t="str">
        <f>IF(Table1[[#This Row],[CurrentStock]]&lt;Table1[[#This Row],[ReorderLevel]],"Reorder","Okay")</f>
        <v>Reorder</v>
      </c>
    </row>
    <row r="76" spans="1:15" x14ac:dyDescent="0.3">
      <c r="A76">
        <v>54238</v>
      </c>
      <c r="B76" t="s">
        <v>10</v>
      </c>
      <c r="C76" t="s">
        <v>27</v>
      </c>
      <c r="D76">
        <v>477</v>
      </c>
      <c r="E76">
        <v>100</v>
      </c>
      <c r="F76">
        <v>396.95</v>
      </c>
      <c r="G76" t="s">
        <v>36</v>
      </c>
      <c r="H76" s="1">
        <v>45403</v>
      </c>
      <c r="I76" s="1">
        <v>45430</v>
      </c>
      <c r="J76" t="s">
        <v>37</v>
      </c>
      <c r="K76" t="b">
        <f>Table1[[#This Row],[CurrentStock]]&lt;Table1[[#This Row],[ReorderLevel]]</f>
        <v>0</v>
      </c>
      <c r="L76" s="9">
        <f>Table1[[#This Row],[CurrentStock]]*Table1[[#This Row],[UnitPrice]]</f>
        <v>189345.15</v>
      </c>
      <c r="M76" t="str">
        <f>IF(Table1[[#This Row],[ReorderLevel]]-Table1[[#This Row],[CurrentStock]]&gt;0,Table1[[#This Row],[ReorderLevel]]-Table1[[#This Row],[CurrentStock]],"")</f>
        <v/>
      </c>
      <c r="N76" t="str">
        <f>IF(Table1[[#This Row],[CurrentStock]]&gt;Table1[[#This Row],[ReorderLevel]]*3,"Over Stock","Okay")</f>
        <v>Over Stock</v>
      </c>
      <c r="O76" t="str">
        <f>IF(Table1[[#This Row],[CurrentStock]]&lt;Table1[[#This Row],[ReorderLevel]],"Reorder","Okay")</f>
        <v>Okay</v>
      </c>
    </row>
    <row r="77" spans="1:15" x14ac:dyDescent="0.3">
      <c r="A77">
        <v>16949</v>
      </c>
      <c r="B77" t="s">
        <v>25</v>
      </c>
      <c r="C77" t="s">
        <v>31</v>
      </c>
      <c r="D77">
        <v>434</v>
      </c>
      <c r="E77">
        <v>150</v>
      </c>
      <c r="F77">
        <v>72.5</v>
      </c>
      <c r="G77" t="s">
        <v>33</v>
      </c>
      <c r="H77" s="1">
        <v>45543</v>
      </c>
      <c r="I77" s="1">
        <v>45581</v>
      </c>
      <c r="J77" t="s">
        <v>39</v>
      </c>
      <c r="K77" t="b">
        <f>Table1[[#This Row],[CurrentStock]]&lt;Table1[[#This Row],[ReorderLevel]]</f>
        <v>0</v>
      </c>
      <c r="L77" s="9">
        <f>Table1[[#This Row],[CurrentStock]]*Table1[[#This Row],[UnitPrice]]</f>
        <v>31465</v>
      </c>
      <c r="M77" t="str">
        <f>IF(Table1[[#This Row],[ReorderLevel]]-Table1[[#This Row],[CurrentStock]]&gt;0,Table1[[#This Row],[ReorderLevel]]-Table1[[#This Row],[CurrentStock]],"")</f>
        <v/>
      </c>
      <c r="N77" t="str">
        <f>IF(Table1[[#This Row],[CurrentStock]]&gt;Table1[[#This Row],[ReorderLevel]]*3,"Over Stock","Okay")</f>
        <v>Okay</v>
      </c>
      <c r="O77" t="str">
        <f>IF(Table1[[#This Row],[CurrentStock]]&lt;Table1[[#This Row],[ReorderLevel]],"Reorder","Okay")</f>
        <v>Okay</v>
      </c>
    </row>
    <row r="78" spans="1:15" x14ac:dyDescent="0.3">
      <c r="A78">
        <v>52318</v>
      </c>
      <c r="B78" t="s">
        <v>21</v>
      </c>
      <c r="C78" t="s">
        <v>31</v>
      </c>
      <c r="D78">
        <v>334</v>
      </c>
      <c r="E78">
        <v>40</v>
      </c>
      <c r="F78">
        <v>50.05</v>
      </c>
      <c r="G78" t="s">
        <v>34</v>
      </c>
      <c r="H78" s="1">
        <v>45599</v>
      </c>
      <c r="I78" s="1">
        <v>45636</v>
      </c>
      <c r="J78" t="s">
        <v>39</v>
      </c>
      <c r="K78" t="b">
        <f>Table1[[#This Row],[CurrentStock]]&lt;Table1[[#This Row],[ReorderLevel]]</f>
        <v>0</v>
      </c>
      <c r="L78" s="9">
        <f>Table1[[#This Row],[CurrentStock]]*Table1[[#This Row],[UnitPrice]]</f>
        <v>16716.7</v>
      </c>
      <c r="M78" t="str">
        <f>IF(Table1[[#This Row],[ReorderLevel]]-Table1[[#This Row],[CurrentStock]]&gt;0,Table1[[#This Row],[ReorderLevel]]-Table1[[#This Row],[CurrentStock]],"")</f>
        <v/>
      </c>
      <c r="N78" t="str">
        <f>IF(Table1[[#This Row],[CurrentStock]]&gt;Table1[[#This Row],[ReorderLevel]]*3,"Over Stock","Okay")</f>
        <v>Over Stock</v>
      </c>
      <c r="O78" t="str">
        <f>IF(Table1[[#This Row],[CurrentStock]]&lt;Table1[[#This Row],[ReorderLevel]],"Reorder","Okay")</f>
        <v>Okay</v>
      </c>
    </row>
    <row r="79" spans="1:15" x14ac:dyDescent="0.3">
      <c r="A79">
        <v>97369</v>
      </c>
      <c r="B79" t="s">
        <v>25</v>
      </c>
      <c r="C79" t="s">
        <v>31</v>
      </c>
      <c r="D79">
        <v>80</v>
      </c>
      <c r="E79">
        <v>80</v>
      </c>
      <c r="F79">
        <v>399.25</v>
      </c>
      <c r="G79" t="s">
        <v>35</v>
      </c>
      <c r="H79" s="1">
        <v>45429</v>
      </c>
      <c r="I79" s="1">
        <v>45450</v>
      </c>
      <c r="J79" t="s">
        <v>37</v>
      </c>
      <c r="K79" t="b">
        <f>Table1[[#This Row],[CurrentStock]]&lt;Table1[[#This Row],[ReorderLevel]]</f>
        <v>0</v>
      </c>
      <c r="L79" s="9">
        <f>Table1[[#This Row],[CurrentStock]]*Table1[[#This Row],[UnitPrice]]</f>
        <v>31940</v>
      </c>
      <c r="M79" t="str">
        <f>IF(Table1[[#This Row],[ReorderLevel]]-Table1[[#This Row],[CurrentStock]]&gt;0,Table1[[#This Row],[ReorderLevel]]-Table1[[#This Row],[CurrentStock]],"")</f>
        <v/>
      </c>
      <c r="N79" t="str">
        <f>IF(Table1[[#This Row],[CurrentStock]]&gt;Table1[[#This Row],[ReorderLevel]]*3,"Over Stock","Okay")</f>
        <v>Okay</v>
      </c>
      <c r="O79" t="str">
        <f>IF(Table1[[#This Row],[CurrentStock]]&lt;Table1[[#This Row],[ReorderLevel]],"Reorder","Okay")</f>
        <v>Okay</v>
      </c>
    </row>
    <row r="80" spans="1:15" x14ac:dyDescent="0.3">
      <c r="A80">
        <v>16254</v>
      </c>
      <c r="B80" t="s">
        <v>21</v>
      </c>
      <c r="C80" t="s">
        <v>31</v>
      </c>
      <c r="D80">
        <v>52</v>
      </c>
      <c r="E80">
        <v>30</v>
      </c>
      <c r="F80">
        <v>167.73</v>
      </c>
      <c r="G80" t="s">
        <v>35</v>
      </c>
      <c r="H80" s="1">
        <v>45526</v>
      </c>
      <c r="I80" s="1">
        <v>45541</v>
      </c>
      <c r="J80" t="s">
        <v>38</v>
      </c>
      <c r="K80" t="b">
        <f>Table1[[#This Row],[CurrentStock]]&lt;Table1[[#This Row],[ReorderLevel]]</f>
        <v>0</v>
      </c>
      <c r="L80" s="9">
        <f>Table1[[#This Row],[CurrentStock]]*Table1[[#This Row],[UnitPrice]]</f>
        <v>8721.9599999999991</v>
      </c>
      <c r="M80" t="str">
        <f>IF(Table1[[#This Row],[ReorderLevel]]-Table1[[#This Row],[CurrentStock]]&gt;0,Table1[[#This Row],[ReorderLevel]]-Table1[[#This Row],[CurrentStock]],"")</f>
        <v/>
      </c>
      <c r="N80" t="str">
        <f>IF(Table1[[#This Row],[CurrentStock]]&gt;Table1[[#This Row],[ReorderLevel]]*3,"Over Stock","Okay")</f>
        <v>Okay</v>
      </c>
      <c r="O80" t="str">
        <f>IF(Table1[[#This Row],[CurrentStock]]&lt;Table1[[#This Row],[ReorderLevel]],"Reorder","Okay")</f>
        <v>Okay</v>
      </c>
    </row>
    <row r="81" spans="1:15" x14ac:dyDescent="0.3">
      <c r="A81">
        <v>93807</v>
      </c>
      <c r="B81" t="s">
        <v>15</v>
      </c>
      <c r="C81" t="s">
        <v>29</v>
      </c>
      <c r="D81">
        <v>399</v>
      </c>
      <c r="E81">
        <v>50</v>
      </c>
      <c r="F81">
        <v>95.03</v>
      </c>
      <c r="G81" t="s">
        <v>32</v>
      </c>
      <c r="H81" s="1">
        <v>45475</v>
      </c>
      <c r="I81" s="1">
        <v>45504</v>
      </c>
      <c r="J81" t="s">
        <v>38</v>
      </c>
      <c r="K81" t="b">
        <f>Table1[[#This Row],[CurrentStock]]&lt;Table1[[#This Row],[ReorderLevel]]</f>
        <v>0</v>
      </c>
      <c r="L81" s="9">
        <f>Table1[[#This Row],[CurrentStock]]*Table1[[#This Row],[UnitPrice]]</f>
        <v>37916.97</v>
      </c>
      <c r="M81" t="str">
        <f>IF(Table1[[#This Row],[ReorderLevel]]-Table1[[#This Row],[CurrentStock]]&gt;0,Table1[[#This Row],[ReorderLevel]]-Table1[[#This Row],[CurrentStock]],"")</f>
        <v/>
      </c>
      <c r="N81" t="str">
        <f>IF(Table1[[#This Row],[CurrentStock]]&gt;Table1[[#This Row],[ReorderLevel]]*3,"Over Stock","Okay")</f>
        <v>Over Stock</v>
      </c>
      <c r="O81" t="str">
        <f>IF(Table1[[#This Row],[CurrentStock]]&lt;Table1[[#This Row],[ReorderLevel]],"Reorder","Okay")</f>
        <v>Okay</v>
      </c>
    </row>
    <row r="82" spans="1:15" x14ac:dyDescent="0.3">
      <c r="A82">
        <v>97505</v>
      </c>
      <c r="B82" t="s">
        <v>17</v>
      </c>
      <c r="C82" t="s">
        <v>30</v>
      </c>
      <c r="D82">
        <v>433</v>
      </c>
      <c r="E82">
        <v>80</v>
      </c>
      <c r="F82">
        <v>100.18</v>
      </c>
      <c r="G82" t="s">
        <v>34</v>
      </c>
      <c r="H82" s="1">
        <v>45568</v>
      </c>
      <c r="I82" s="1">
        <v>45577</v>
      </c>
      <c r="J82" t="s">
        <v>39</v>
      </c>
      <c r="K82" t="b">
        <f>Table1[[#This Row],[CurrentStock]]&lt;Table1[[#This Row],[ReorderLevel]]</f>
        <v>0</v>
      </c>
      <c r="L82" s="9">
        <f>Table1[[#This Row],[CurrentStock]]*Table1[[#This Row],[UnitPrice]]</f>
        <v>43377.94</v>
      </c>
      <c r="M82" t="str">
        <f>IF(Table1[[#This Row],[ReorderLevel]]-Table1[[#This Row],[CurrentStock]]&gt;0,Table1[[#This Row],[ReorderLevel]]-Table1[[#This Row],[CurrentStock]],"")</f>
        <v/>
      </c>
      <c r="N82" t="str">
        <f>IF(Table1[[#This Row],[CurrentStock]]&gt;Table1[[#This Row],[ReorderLevel]]*3,"Over Stock","Okay")</f>
        <v>Over Stock</v>
      </c>
      <c r="O82" t="str">
        <f>IF(Table1[[#This Row],[CurrentStock]]&lt;Table1[[#This Row],[ReorderLevel]],"Reorder","Okay")</f>
        <v>Okay</v>
      </c>
    </row>
    <row r="83" spans="1:15" x14ac:dyDescent="0.3">
      <c r="A83">
        <v>28777</v>
      </c>
      <c r="B83" t="s">
        <v>23</v>
      </c>
      <c r="C83" t="s">
        <v>30</v>
      </c>
      <c r="D83">
        <v>404</v>
      </c>
      <c r="E83">
        <v>100</v>
      </c>
      <c r="F83">
        <v>64.709999999999994</v>
      </c>
      <c r="G83" t="s">
        <v>33</v>
      </c>
      <c r="H83" s="1">
        <v>45524</v>
      </c>
      <c r="I83" s="1">
        <v>45540</v>
      </c>
      <c r="J83" t="s">
        <v>37</v>
      </c>
      <c r="K83" t="b">
        <f>Table1[[#This Row],[CurrentStock]]&lt;Table1[[#This Row],[ReorderLevel]]</f>
        <v>0</v>
      </c>
      <c r="L83" s="9">
        <f>Table1[[#This Row],[CurrentStock]]*Table1[[#This Row],[UnitPrice]]</f>
        <v>26142.839999999997</v>
      </c>
      <c r="M83" t="str">
        <f>IF(Table1[[#This Row],[ReorderLevel]]-Table1[[#This Row],[CurrentStock]]&gt;0,Table1[[#This Row],[ReorderLevel]]-Table1[[#This Row],[CurrentStock]],"")</f>
        <v/>
      </c>
      <c r="N83" t="str">
        <f>IF(Table1[[#This Row],[CurrentStock]]&gt;Table1[[#This Row],[ReorderLevel]]*3,"Over Stock","Okay")</f>
        <v>Over Stock</v>
      </c>
      <c r="O83" t="str">
        <f>IF(Table1[[#This Row],[CurrentStock]]&lt;Table1[[#This Row],[ReorderLevel]],"Reorder","Okay")</f>
        <v>Okay</v>
      </c>
    </row>
    <row r="84" spans="1:15" x14ac:dyDescent="0.3">
      <c r="A84">
        <v>20478</v>
      </c>
      <c r="B84" t="s">
        <v>24</v>
      </c>
      <c r="C84" t="s">
        <v>31</v>
      </c>
      <c r="D84">
        <v>410</v>
      </c>
      <c r="E84">
        <v>20</v>
      </c>
      <c r="F84">
        <v>50.68</v>
      </c>
      <c r="G84" t="s">
        <v>32</v>
      </c>
      <c r="H84" s="1">
        <v>45338</v>
      </c>
      <c r="I84" s="1">
        <v>45364</v>
      </c>
      <c r="J84" t="s">
        <v>38</v>
      </c>
      <c r="K84" t="b">
        <f>Table1[[#This Row],[CurrentStock]]&lt;Table1[[#This Row],[ReorderLevel]]</f>
        <v>0</v>
      </c>
      <c r="L84" s="9">
        <f>Table1[[#This Row],[CurrentStock]]*Table1[[#This Row],[UnitPrice]]</f>
        <v>20778.8</v>
      </c>
      <c r="M84" t="str">
        <f>IF(Table1[[#This Row],[ReorderLevel]]-Table1[[#This Row],[CurrentStock]]&gt;0,Table1[[#This Row],[ReorderLevel]]-Table1[[#This Row],[CurrentStock]],"")</f>
        <v/>
      </c>
      <c r="N84" t="str">
        <f>IF(Table1[[#This Row],[CurrentStock]]&gt;Table1[[#This Row],[ReorderLevel]]*3,"Over Stock","Okay")</f>
        <v>Over Stock</v>
      </c>
      <c r="O84" t="str">
        <f>IF(Table1[[#This Row],[CurrentStock]]&lt;Table1[[#This Row],[ReorderLevel]],"Reorder","Okay")</f>
        <v>Okay</v>
      </c>
    </row>
    <row r="85" spans="1:15" x14ac:dyDescent="0.3">
      <c r="A85">
        <v>60428</v>
      </c>
      <c r="B85" t="s">
        <v>26</v>
      </c>
      <c r="C85" t="s">
        <v>30</v>
      </c>
      <c r="D85">
        <v>25</v>
      </c>
      <c r="E85">
        <v>50</v>
      </c>
      <c r="F85">
        <v>404.07</v>
      </c>
      <c r="G85" t="s">
        <v>34</v>
      </c>
      <c r="H85" s="1">
        <v>45404</v>
      </c>
      <c r="I85" s="1">
        <v>45443</v>
      </c>
      <c r="J85" t="s">
        <v>38</v>
      </c>
      <c r="K85" t="b">
        <f>Table1[[#This Row],[CurrentStock]]&lt;Table1[[#This Row],[ReorderLevel]]</f>
        <v>1</v>
      </c>
      <c r="L85" s="9">
        <f>Table1[[#This Row],[CurrentStock]]*Table1[[#This Row],[UnitPrice]]</f>
        <v>10101.75</v>
      </c>
      <c r="M85">
        <f>IF(Table1[[#This Row],[ReorderLevel]]-Table1[[#This Row],[CurrentStock]]&gt;0,Table1[[#This Row],[ReorderLevel]]-Table1[[#This Row],[CurrentStock]],"")</f>
        <v>25</v>
      </c>
      <c r="N85" t="str">
        <f>IF(Table1[[#This Row],[CurrentStock]]&gt;Table1[[#This Row],[ReorderLevel]]*3,"Over Stock","Okay")</f>
        <v>Okay</v>
      </c>
      <c r="O85" t="str">
        <f>IF(Table1[[#This Row],[CurrentStock]]&lt;Table1[[#This Row],[ReorderLevel]],"Reorder","Okay")</f>
        <v>Reorder</v>
      </c>
    </row>
    <row r="86" spans="1:15" x14ac:dyDescent="0.3">
      <c r="A86">
        <v>15122</v>
      </c>
      <c r="B86" t="s">
        <v>25</v>
      </c>
      <c r="C86" t="s">
        <v>31</v>
      </c>
      <c r="D86">
        <v>77</v>
      </c>
      <c r="E86">
        <v>30</v>
      </c>
      <c r="F86">
        <v>375</v>
      </c>
      <c r="G86" t="s">
        <v>32</v>
      </c>
      <c r="H86" s="1">
        <v>45305</v>
      </c>
      <c r="I86" s="1">
        <v>45316</v>
      </c>
      <c r="J86" t="s">
        <v>38</v>
      </c>
      <c r="K86" t="b">
        <f>Table1[[#This Row],[CurrentStock]]&lt;Table1[[#This Row],[ReorderLevel]]</f>
        <v>0</v>
      </c>
      <c r="L86" s="9">
        <f>Table1[[#This Row],[CurrentStock]]*Table1[[#This Row],[UnitPrice]]</f>
        <v>28875</v>
      </c>
      <c r="M86" t="str">
        <f>IF(Table1[[#This Row],[ReorderLevel]]-Table1[[#This Row],[CurrentStock]]&gt;0,Table1[[#This Row],[ReorderLevel]]-Table1[[#This Row],[CurrentStock]],"")</f>
        <v/>
      </c>
      <c r="N86" t="str">
        <f>IF(Table1[[#This Row],[CurrentStock]]&gt;Table1[[#This Row],[ReorderLevel]]*3,"Over Stock","Okay")</f>
        <v>Okay</v>
      </c>
      <c r="O86" t="str">
        <f>IF(Table1[[#This Row],[CurrentStock]]&lt;Table1[[#This Row],[ReorderLevel]],"Reorder","Okay")</f>
        <v>Okay</v>
      </c>
    </row>
    <row r="87" spans="1:15" x14ac:dyDescent="0.3">
      <c r="A87">
        <v>48518</v>
      </c>
      <c r="B87" t="s">
        <v>10</v>
      </c>
      <c r="C87" t="s">
        <v>27</v>
      </c>
      <c r="D87">
        <v>273</v>
      </c>
      <c r="E87">
        <v>30</v>
      </c>
      <c r="F87">
        <v>180.3</v>
      </c>
      <c r="G87" t="s">
        <v>36</v>
      </c>
      <c r="H87" s="1">
        <v>45306</v>
      </c>
      <c r="I87" s="1">
        <v>45335</v>
      </c>
      <c r="J87" t="s">
        <v>39</v>
      </c>
      <c r="K87" t="b">
        <f>Table1[[#This Row],[CurrentStock]]&lt;Table1[[#This Row],[ReorderLevel]]</f>
        <v>0</v>
      </c>
      <c r="L87" s="9">
        <f>Table1[[#This Row],[CurrentStock]]*Table1[[#This Row],[UnitPrice]]</f>
        <v>49221.9</v>
      </c>
      <c r="M87" t="str">
        <f>IF(Table1[[#This Row],[ReorderLevel]]-Table1[[#This Row],[CurrentStock]]&gt;0,Table1[[#This Row],[ReorderLevel]]-Table1[[#This Row],[CurrentStock]],"")</f>
        <v/>
      </c>
      <c r="N87" t="str">
        <f>IF(Table1[[#This Row],[CurrentStock]]&gt;Table1[[#This Row],[ReorderLevel]]*3,"Over Stock","Okay")</f>
        <v>Over Stock</v>
      </c>
      <c r="O87" t="str">
        <f>IF(Table1[[#This Row],[CurrentStock]]&lt;Table1[[#This Row],[ReorderLevel]],"Reorder","Okay")</f>
        <v>Okay</v>
      </c>
    </row>
    <row r="88" spans="1:15" x14ac:dyDescent="0.3">
      <c r="A88">
        <v>13596</v>
      </c>
      <c r="B88" t="s">
        <v>18</v>
      </c>
      <c r="C88" t="s">
        <v>28</v>
      </c>
      <c r="D88">
        <v>230</v>
      </c>
      <c r="E88">
        <v>100</v>
      </c>
      <c r="F88">
        <v>167.11</v>
      </c>
      <c r="G88" t="s">
        <v>34</v>
      </c>
      <c r="H88" s="1">
        <v>45591</v>
      </c>
      <c r="I88" s="1">
        <v>45620</v>
      </c>
      <c r="J88" t="s">
        <v>37</v>
      </c>
      <c r="K88" t="b">
        <f>Table1[[#This Row],[CurrentStock]]&lt;Table1[[#This Row],[ReorderLevel]]</f>
        <v>0</v>
      </c>
      <c r="L88" s="9">
        <f>Table1[[#This Row],[CurrentStock]]*Table1[[#This Row],[UnitPrice]]</f>
        <v>38435.300000000003</v>
      </c>
      <c r="M88" t="str">
        <f>IF(Table1[[#This Row],[ReorderLevel]]-Table1[[#This Row],[CurrentStock]]&gt;0,Table1[[#This Row],[ReorderLevel]]-Table1[[#This Row],[CurrentStock]],"")</f>
        <v/>
      </c>
      <c r="N88" t="str">
        <f>IF(Table1[[#This Row],[CurrentStock]]&gt;Table1[[#This Row],[ReorderLevel]]*3,"Over Stock","Okay")</f>
        <v>Okay</v>
      </c>
      <c r="O88" t="str">
        <f>IF(Table1[[#This Row],[CurrentStock]]&lt;Table1[[#This Row],[ReorderLevel]],"Reorder","Okay")</f>
        <v>Okay</v>
      </c>
    </row>
    <row r="89" spans="1:15" x14ac:dyDescent="0.3">
      <c r="A89">
        <v>89905</v>
      </c>
      <c r="B89" t="s">
        <v>14</v>
      </c>
      <c r="C89" t="s">
        <v>27</v>
      </c>
      <c r="D89">
        <v>66</v>
      </c>
      <c r="E89">
        <v>20</v>
      </c>
      <c r="F89">
        <v>251.73</v>
      </c>
      <c r="G89" t="s">
        <v>35</v>
      </c>
      <c r="H89" s="1">
        <v>45402</v>
      </c>
      <c r="I89" s="1">
        <v>45428</v>
      </c>
      <c r="J89" t="s">
        <v>38</v>
      </c>
      <c r="K89" t="b">
        <f>Table1[[#This Row],[CurrentStock]]&lt;Table1[[#This Row],[ReorderLevel]]</f>
        <v>0</v>
      </c>
      <c r="L89" s="9">
        <f>Table1[[#This Row],[CurrentStock]]*Table1[[#This Row],[UnitPrice]]</f>
        <v>16614.18</v>
      </c>
      <c r="M89" t="str">
        <f>IF(Table1[[#This Row],[ReorderLevel]]-Table1[[#This Row],[CurrentStock]]&gt;0,Table1[[#This Row],[ReorderLevel]]-Table1[[#This Row],[CurrentStock]],"")</f>
        <v/>
      </c>
      <c r="N89" t="str">
        <f>IF(Table1[[#This Row],[CurrentStock]]&gt;Table1[[#This Row],[ReorderLevel]]*3,"Over Stock","Okay")</f>
        <v>Over Stock</v>
      </c>
      <c r="O89" t="str">
        <f>IF(Table1[[#This Row],[CurrentStock]]&lt;Table1[[#This Row],[ReorderLevel]],"Reorder","Okay")</f>
        <v>Okay</v>
      </c>
    </row>
    <row r="90" spans="1:15" x14ac:dyDescent="0.3">
      <c r="A90">
        <v>85703</v>
      </c>
      <c r="B90" t="s">
        <v>24</v>
      </c>
      <c r="C90" t="s">
        <v>31</v>
      </c>
      <c r="D90">
        <v>100</v>
      </c>
      <c r="E90">
        <v>100</v>
      </c>
      <c r="F90">
        <v>450.33</v>
      </c>
      <c r="G90" t="s">
        <v>32</v>
      </c>
      <c r="H90" s="1">
        <v>45611</v>
      </c>
      <c r="I90" s="1">
        <v>45649</v>
      </c>
      <c r="J90" t="s">
        <v>37</v>
      </c>
      <c r="K90" t="b">
        <f>Table1[[#This Row],[CurrentStock]]&lt;Table1[[#This Row],[ReorderLevel]]</f>
        <v>0</v>
      </c>
      <c r="L90" s="9">
        <f>Table1[[#This Row],[CurrentStock]]*Table1[[#This Row],[UnitPrice]]</f>
        <v>45033</v>
      </c>
      <c r="M90" t="str">
        <f>IF(Table1[[#This Row],[ReorderLevel]]-Table1[[#This Row],[CurrentStock]]&gt;0,Table1[[#This Row],[ReorderLevel]]-Table1[[#This Row],[CurrentStock]],"")</f>
        <v/>
      </c>
      <c r="N90" t="str">
        <f>IF(Table1[[#This Row],[CurrentStock]]&gt;Table1[[#This Row],[ReorderLevel]]*3,"Over Stock","Okay")</f>
        <v>Okay</v>
      </c>
      <c r="O90" t="str">
        <f>IF(Table1[[#This Row],[CurrentStock]]&lt;Table1[[#This Row],[ReorderLevel]],"Reorder","Okay")</f>
        <v>Okay</v>
      </c>
    </row>
    <row r="91" spans="1:15" x14ac:dyDescent="0.3">
      <c r="A91">
        <v>81158</v>
      </c>
      <c r="B91" t="s">
        <v>26</v>
      </c>
      <c r="C91" t="s">
        <v>30</v>
      </c>
      <c r="D91">
        <v>288</v>
      </c>
      <c r="E91">
        <v>80</v>
      </c>
      <c r="F91">
        <v>55.38</v>
      </c>
      <c r="G91" t="s">
        <v>34</v>
      </c>
      <c r="H91" s="1">
        <v>45489</v>
      </c>
      <c r="I91" s="1">
        <v>45499</v>
      </c>
      <c r="J91" t="s">
        <v>39</v>
      </c>
      <c r="K91" t="b">
        <f>Table1[[#This Row],[CurrentStock]]&lt;Table1[[#This Row],[ReorderLevel]]</f>
        <v>0</v>
      </c>
      <c r="L91" s="9">
        <f>Table1[[#This Row],[CurrentStock]]*Table1[[#This Row],[UnitPrice]]</f>
        <v>15949.44</v>
      </c>
      <c r="M91" t="str">
        <f>IF(Table1[[#This Row],[ReorderLevel]]-Table1[[#This Row],[CurrentStock]]&gt;0,Table1[[#This Row],[ReorderLevel]]-Table1[[#This Row],[CurrentStock]],"")</f>
        <v/>
      </c>
      <c r="N91" t="str">
        <f>IF(Table1[[#This Row],[CurrentStock]]&gt;Table1[[#This Row],[ReorderLevel]]*3,"Over Stock","Okay")</f>
        <v>Over Stock</v>
      </c>
      <c r="O91" t="str">
        <f>IF(Table1[[#This Row],[CurrentStock]]&lt;Table1[[#This Row],[ReorderLevel]],"Reorder","Okay")</f>
        <v>Okay</v>
      </c>
    </row>
    <row r="92" spans="1:15" x14ac:dyDescent="0.3">
      <c r="A92">
        <v>23046</v>
      </c>
      <c r="B92" t="s">
        <v>15</v>
      </c>
      <c r="C92" t="s">
        <v>29</v>
      </c>
      <c r="D92">
        <v>317</v>
      </c>
      <c r="E92">
        <v>100</v>
      </c>
      <c r="F92">
        <v>90.82</v>
      </c>
      <c r="G92" t="s">
        <v>32</v>
      </c>
      <c r="H92" s="1">
        <v>45602</v>
      </c>
      <c r="I92" s="1">
        <v>45615</v>
      </c>
      <c r="J92" t="s">
        <v>38</v>
      </c>
      <c r="K92" t="b">
        <f>Table1[[#This Row],[CurrentStock]]&lt;Table1[[#This Row],[ReorderLevel]]</f>
        <v>0</v>
      </c>
      <c r="L92" s="9">
        <f>Table1[[#This Row],[CurrentStock]]*Table1[[#This Row],[UnitPrice]]</f>
        <v>28789.94</v>
      </c>
      <c r="M92" t="str">
        <f>IF(Table1[[#This Row],[ReorderLevel]]-Table1[[#This Row],[CurrentStock]]&gt;0,Table1[[#This Row],[ReorderLevel]]-Table1[[#This Row],[CurrentStock]],"")</f>
        <v/>
      </c>
      <c r="N92" t="str">
        <f>IF(Table1[[#This Row],[CurrentStock]]&gt;Table1[[#This Row],[ReorderLevel]]*3,"Over Stock","Okay")</f>
        <v>Over Stock</v>
      </c>
      <c r="O92" t="str">
        <f>IF(Table1[[#This Row],[CurrentStock]]&lt;Table1[[#This Row],[ReorderLevel]],"Reorder","Okay")</f>
        <v>Okay</v>
      </c>
    </row>
    <row r="93" spans="1:15" x14ac:dyDescent="0.3">
      <c r="A93">
        <v>97886</v>
      </c>
      <c r="B93" t="s">
        <v>17</v>
      </c>
      <c r="C93" t="s">
        <v>30</v>
      </c>
      <c r="D93">
        <v>407</v>
      </c>
      <c r="E93">
        <v>150</v>
      </c>
      <c r="F93">
        <v>448.82</v>
      </c>
      <c r="G93" t="s">
        <v>35</v>
      </c>
      <c r="H93" s="1">
        <v>45511</v>
      </c>
      <c r="I93" s="1">
        <v>45526</v>
      </c>
      <c r="J93" t="s">
        <v>39</v>
      </c>
      <c r="K93" t="b">
        <f>Table1[[#This Row],[CurrentStock]]&lt;Table1[[#This Row],[ReorderLevel]]</f>
        <v>0</v>
      </c>
      <c r="L93" s="9">
        <f>Table1[[#This Row],[CurrentStock]]*Table1[[#This Row],[UnitPrice]]</f>
        <v>182669.74</v>
      </c>
      <c r="M93" t="str">
        <f>IF(Table1[[#This Row],[ReorderLevel]]-Table1[[#This Row],[CurrentStock]]&gt;0,Table1[[#This Row],[ReorderLevel]]-Table1[[#This Row],[CurrentStock]],"")</f>
        <v/>
      </c>
      <c r="N93" t="str">
        <f>IF(Table1[[#This Row],[CurrentStock]]&gt;Table1[[#This Row],[ReorderLevel]]*3,"Over Stock","Okay")</f>
        <v>Okay</v>
      </c>
      <c r="O93" t="str">
        <f>IF(Table1[[#This Row],[CurrentStock]]&lt;Table1[[#This Row],[ReorderLevel]],"Reorder","Okay")</f>
        <v>Okay</v>
      </c>
    </row>
    <row r="94" spans="1:15" x14ac:dyDescent="0.3">
      <c r="A94">
        <v>16469</v>
      </c>
      <c r="B94" t="s">
        <v>15</v>
      </c>
      <c r="C94" t="s">
        <v>29</v>
      </c>
      <c r="D94">
        <v>440</v>
      </c>
      <c r="E94">
        <v>30</v>
      </c>
      <c r="F94">
        <v>280.60000000000002</v>
      </c>
      <c r="G94" t="s">
        <v>33</v>
      </c>
      <c r="H94" s="1">
        <v>45317</v>
      </c>
      <c r="I94" s="1">
        <v>45326</v>
      </c>
      <c r="J94" t="s">
        <v>39</v>
      </c>
      <c r="K94" t="b">
        <f>Table1[[#This Row],[CurrentStock]]&lt;Table1[[#This Row],[ReorderLevel]]</f>
        <v>0</v>
      </c>
      <c r="L94" s="9">
        <f>Table1[[#This Row],[CurrentStock]]*Table1[[#This Row],[UnitPrice]]</f>
        <v>123464.00000000001</v>
      </c>
      <c r="M94" t="str">
        <f>IF(Table1[[#This Row],[ReorderLevel]]-Table1[[#This Row],[CurrentStock]]&gt;0,Table1[[#This Row],[ReorderLevel]]-Table1[[#This Row],[CurrentStock]],"")</f>
        <v/>
      </c>
      <c r="N94" t="str">
        <f>IF(Table1[[#This Row],[CurrentStock]]&gt;Table1[[#This Row],[ReorderLevel]]*3,"Over Stock","Okay")</f>
        <v>Over Stock</v>
      </c>
      <c r="O94" t="str">
        <f>IF(Table1[[#This Row],[CurrentStock]]&lt;Table1[[#This Row],[ReorderLevel]],"Reorder","Okay")</f>
        <v>Okay</v>
      </c>
    </row>
    <row r="95" spans="1:15" x14ac:dyDescent="0.3">
      <c r="A95">
        <v>88477</v>
      </c>
      <c r="B95" t="s">
        <v>22</v>
      </c>
      <c r="C95" t="s">
        <v>27</v>
      </c>
      <c r="D95">
        <v>211</v>
      </c>
      <c r="E95">
        <v>20</v>
      </c>
      <c r="F95">
        <v>369.44</v>
      </c>
      <c r="G95" t="s">
        <v>36</v>
      </c>
      <c r="H95" s="1">
        <v>45431</v>
      </c>
      <c r="I95" s="1">
        <v>45436</v>
      </c>
      <c r="J95" t="s">
        <v>39</v>
      </c>
      <c r="K95" t="b">
        <f>Table1[[#This Row],[CurrentStock]]&lt;Table1[[#This Row],[ReorderLevel]]</f>
        <v>0</v>
      </c>
      <c r="L95" s="9">
        <f>Table1[[#This Row],[CurrentStock]]*Table1[[#This Row],[UnitPrice]]</f>
        <v>77951.839999999997</v>
      </c>
      <c r="M95" t="str">
        <f>IF(Table1[[#This Row],[ReorderLevel]]-Table1[[#This Row],[CurrentStock]]&gt;0,Table1[[#This Row],[ReorderLevel]]-Table1[[#This Row],[CurrentStock]],"")</f>
        <v/>
      </c>
      <c r="N95" t="str">
        <f>IF(Table1[[#This Row],[CurrentStock]]&gt;Table1[[#This Row],[ReorderLevel]]*3,"Over Stock","Okay")</f>
        <v>Over Stock</v>
      </c>
      <c r="O95" t="str">
        <f>IF(Table1[[#This Row],[CurrentStock]]&lt;Table1[[#This Row],[ReorderLevel]],"Reorder","Okay")</f>
        <v>Okay</v>
      </c>
    </row>
    <row r="96" spans="1:15" x14ac:dyDescent="0.3">
      <c r="A96">
        <v>69383</v>
      </c>
      <c r="B96" t="s">
        <v>13</v>
      </c>
      <c r="C96" t="s">
        <v>29</v>
      </c>
      <c r="D96">
        <v>355</v>
      </c>
      <c r="E96">
        <v>80</v>
      </c>
      <c r="F96">
        <v>268.63</v>
      </c>
      <c r="G96" t="s">
        <v>33</v>
      </c>
      <c r="H96" s="1">
        <v>45452</v>
      </c>
      <c r="I96" s="1">
        <v>45462</v>
      </c>
      <c r="J96" t="s">
        <v>37</v>
      </c>
      <c r="K96" t="b">
        <f>Table1[[#This Row],[CurrentStock]]&lt;Table1[[#This Row],[ReorderLevel]]</f>
        <v>0</v>
      </c>
      <c r="L96" s="9">
        <f>Table1[[#This Row],[CurrentStock]]*Table1[[#This Row],[UnitPrice]]</f>
        <v>95363.65</v>
      </c>
      <c r="M96" t="str">
        <f>IF(Table1[[#This Row],[ReorderLevel]]-Table1[[#This Row],[CurrentStock]]&gt;0,Table1[[#This Row],[ReorderLevel]]-Table1[[#This Row],[CurrentStock]],"")</f>
        <v/>
      </c>
      <c r="N96" t="str">
        <f>IF(Table1[[#This Row],[CurrentStock]]&gt;Table1[[#This Row],[ReorderLevel]]*3,"Over Stock","Okay")</f>
        <v>Over Stock</v>
      </c>
      <c r="O96" t="str">
        <f>IF(Table1[[#This Row],[CurrentStock]]&lt;Table1[[#This Row],[ReorderLevel]],"Reorder","Okay")</f>
        <v>Okay</v>
      </c>
    </row>
    <row r="97" spans="1:15" x14ac:dyDescent="0.3">
      <c r="A97">
        <v>29216</v>
      </c>
      <c r="B97" t="s">
        <v>21</v>
      </c>
      <c r="C97" t="s">
        <v>31</v>
      </c>
      <c r="D97">
        <v>12</v>
      </c>
      <c r="E97">
        <v>30</v>
      </c>
      <c r="F97">
        <v>48.49</v>
      </c>
      <c r="G97" t="s">
        <v>35</v>
      </c>
      <c r="H97" s="1">
        <v>45610</v>
      </c>
      <c r="I97" s="1">
        <v>45623</v>
      </c>
      <c r="J97" t="s">
        <v>38</v>
      </c>
      <c r="K97" t="b">
        <f>Table1[[#This Row],[CurrentStock]]&lt;Table1[[#This Row],[ReorderLevel]]</f>
        <v>1</v>
      </c>
      <c r="L97" s="9">
        <f>Table1[[#This Row],[CurrentStock]]*Table1[[#This Row],[UnitPrice]]</f>
        <v>581.88</v>
      </c>
      <c r="M97">
        <f>IF(Table1[[#This Row],[ReorderLevel]]-Table1[[#This Row],[CurrentStock]]&gt;0,Table1[[#This Row],[ReorderLevel]]-Table1[[#This Row],[CurrentStock]],"")</f>
        <v>18</v>
      </c>
      <c r="N97" t="str">
        <f>IF(Table1[[#This Row],[CurrentStock]]&gt;Table1[[#This Row],[ReorderLevel]]*3,"Over Stock","Okay")</f>
        <v>Okay</v>
      </c>
      <c r="O97" t="str">
        <f>IF(Table1[[#This Row],[CurrentStock]]&lt;Table1[[#This Row],[ReorderLevel]],"Reorder","Okay")</f>
        <v>Reorder</v>
      </c>
    </row>
    <row r="98" spans="1:15" x14ac:dyDescent="0.3">
      <c r="A98">
        <v>77444</v>
      </c>
      <c r="B98" t="s">
        <v>15</v>
      </c>
      <c r="C98" t="s">
        <v>29</v>
      </c>
      <c r="D98">
        <v>94</v>
      </c>
      <c r="E98">
        <v>20</v>
      </c>
      <c r="F98">
        <v>426.11</v>
      </c>
      <c r="G98" t="s">
        <v>32</v>
      </c>
      <c r="H98" s="1">
        <v>45527</v>
      </c>
      <c r="I98" s="1">
        <v>45545</v>
      </c>
      <c r="J98" t="s">
        <v>37</v>
      </c>
      <c r="K98" t="b">
        <f>Table1[[#This Row],[CurrentStock]]&lt;Table1[[#This Row],[ReorderLevel]]</f>
        <v>0</v>
      </c>
      <c r="L98" s="9">
        <f>Table1[[#This Row],[CurrentStock]]*Table1[[#This Row],[UnitPrice]]</f>
        <v>40054.340000000004</v>
      </c>
      <c r="M98" t="str">
        <f>IF(Table1[[#This Row],[ReorderLevel]]-Table1[[#This Row],[CurrentStock]]&gt;0,Table1[[#This Row],[ReorderLevel]]-Table1[[#This Row],[CurrentStock]],"")</f>
        <v/>
      </c>
      <c r="N98" t="str">
        <f>IF(Table1[[#This Row],[CurrentStock]]&gt;Table1[[#This Row],[ReorderLevel]]*3,"Over Stock","Okay")</f>
        <v>Over Stock</v>
      </c>
      <c r="O98" t="str">
        <f>IF(Table1[[#This Row],[CurrentStock]]&lt;Table1[[#This Row],[ReorderLevel]],"Reorder","Okay")</f>
        <v>Okay</v>
      </c>
    </row>
    <row r="99" spans="1:15" x14ac:dyDescent="0.3">
      <c r="A99">
        <v>18007</v>
      </c>
      <c r="B99" t="s">
        <v>25</v>
      </c>
      <c r="C99" t="s">
        <v>31</v>
      </c>
      <c r="D99">
        <v>34</v>
      </c>
      <c r="E99">
        <v>20</v>
      </c>
      <c r="F99">
        <v>371.85</v>
      </c>
      <c r="G99" t="s">
        <v>32</v>
      </c>
      <c r="H99" s="1">
        <v>45351</v>
      </c>
      <c r="I99" s="1">
        <v>45384</v>
      </c>
      <c r="J99" t="s">
        <v>37</v>
      </c>
      <c r="K99" t="b">
        <f>Table1[[#This Row],[CurrentStock]]&lt;Table1[[#This Row],[ReorderLevel]]</f>
        <v>0</v>
      </c>
      <c r="L99" s="9">
        <f>Table1[[#This Row],[CurrentStock]]*Table1[[#This Row],[UnitPrice]]</f>
        <v>12642.900000000001</v>
      </c>
      <c r="M99" t="str">
        <f>IF(Table1[[#This Row],[ReorderLevel]]-Table1[[#This Row],[CurrentStock]]&gt;0,Table1[[#This Row],[ReorderLevel]]-Table1[[#This Row],[CurrentStock]],"")</f>
        <v/>
      </c>
      <c r="N99" t="str">
        <f>IF(Table1[[#This Row],[CurrentStock]]&gt;Table1[[#This Row],[ReorderLevel]]*3,"Over Stock","Okay")</f>
        <v>Okay</v>
      </c>
      <c r="O99" t="str">
        <f>IF(Table1[[#This Row],[CurrentStock]]&lt;Table1[[#This Row],[ReorderLevel]],"Reorder","Okay")</f>
        <v>Okay</v>
      </c>
    </row>
    <row r="100" spans="1:15" x14ac:dyDescent="0.3">
      <c r="A100">
        <v>29282</v>
      </c>
      <c r="B100" t="s">
        <v>23</v>
      </c>
      <c r="C100" t="s">
        <v>30</v>
      </c>
      <c r="D100">
        <v>315</v>
      </c>
      <c r="E100">
        <v>100</v>
      </c>
      <c r="F100">
        <v>413.44</v>
      </c>
      <c r="G100" t="s">
        <v>32</v>
      </c>
      <c r="H100" s="1">
        <v>45456</v>
      </c>
      <c r="I100" s="1">
        <v>45465</v>
      </c>
      <c r="J100" t="s">
        <v>39</v>
      </c>
      <c r="K100" t="b">
        <f>Table1[[#This Row],[CurrentStock]]&lt;Table1[[#This Row],[ReorderLevel]]</f>
        <v>0</v>
      </c>
      <c r="L100" s="9">
        <f>Table1[[#This Row],[CurrentStock]]*Table1[[#This Row],[UnitPrice]]</f>
        <v>130233.60000000001</v>
      </c>
      <c r="M100" t="str">
        <f>IF(Table1[[#This Row],[ReorderLevel]]-Table1[[#This Row],[CurrentStock]]&gt;0,Table1[[#This Row],[ReorderLevel]]-Table1[[#This Row],[CurrentStock]],"")</f>
        <v/>
      </c>
      <c r="N100" t="str">
        <f>IF(Table1[[#This Row],[CurrentStock]]&gt;Table1[[#This Row],[ReorderLevel]]*3,"Over Stock","Okay")</f>
        <v>Over Stock</v>
      </c>
      <c r="O100" t="str">
        <f>IF(Table1[[#This Row],[CurrentStock]]&lt;Table1[[#This Row],[ReorderLevel]],"Reorder","Okay")</f>
        <v>Okay</v>
      </c>
    </row>
    <row r="101" spans="1:15" x14ac:dyDescent="0.3">
      <c r="A101">
        <v>53303</v>
      </c>
      <c r="B101" t="s">
        <v>21</v>
      </c>
      <c r="C101" t="s">
        <v>31</v>
      </c>
      <c r="D101">
        <v>131</v>
      </c>
      <c r="E101">
        <v>20</v>
      </c>
      <c r="F101">
        <v>439.21</v>
      </c>
      <c r="G101" t="s">
        <v>32</v>
      </c>
      <c r="H101" s="1">
        <v>45380</v>
      </c>
      <c r="I101" s="1">
        <v>45402</v>
      </c>
      <c r="J101" t="s">
        <v>37</v>
      </c>
      <c r="K101" t="b">
        <f>Table1[[#This Row],[CurrentStock]]&lt;Table1[[#This Row],[ReorderLevel]]</f>
        <v>0</v>
      </c>
      <c r="L101" s="9">
        <f>Table1[[#This Row],[CurrentStock]]*Table1[[#This Row],[UnitPrice]]</f>
        <v>57536.509999999995</v>
      </c>
      <c r="M101" t="str">
        <f>IF(Table1[[#This Row],[ReorderLevel]]-Table1[[#This Row],[CurrentStock]]&gt;0,Table1[[#This Row],[ReorderLevel]]-Table1[[#This Row],[CurrentStock]],"")</f>
        <v/>
      </c>
      <c r="N101" t="str">
        <f>IF(Table1[[#This Row],[CurrentStock]]&gt;Table1[[#This Row],[ReorderLevel]]*3,"Over Stock","Okay")</f>
        <v>Over Stock</v>
      </c>
      <c r="O101" t="str">
        <f>IF(Table1[[#This Row],[CurrentStock]]&lt;Table1[[#This Row],[ReorderLevel]],"Reorder","Okay")</f>
        <v>Okay</v>
      </c>
    </row>
    <row r="102" spans="1:15" x14ac:dyDescent="0.3">
      <c r="A102">
        <v>21246</v>
      </c>
      <c r="B102" t="s">
        <v>19</v>
      </c>
      <c r="C102" t="s">
        <v>28</v>
      </c>
      <c r="D102">
        <v>62</v>
      </c>
      <c r="E102">
        <v>150</v>
      </c>
      <c r="F102">
        <v>290.86</v>
      </c>
      <c r="G102" t="s">
        <v>33</v>
      </c>
      <c r="H102" s="1">
        <v>45436</v>
      </c>
      <c r="I102" s="1">
        <v>45473</v>
      </c>
      <c r="J102" t="s">
        <v>39</v>
      </c>
      <c r="K102" t="b">
        <f>Table1[[#This Row],[CurrentStock]]&lt;Table1[[#This Row],[ReorderLevel]]</f>
        <v>1</v>
      </c>
      <c r="L102" s="9">
        <f>Table1[[#This Row],[CurrentStock]]*Table1[[#This Row],[UnitPrice]]</f>
        <v>18033.32</v>
      </c>
      <c r="M102">
        <f>IF(Table1[[#This Row],[ReorderLevel]]-Table1[[#This Row],[CurrentStock]]&gt;0,Table1[[#This Row],[ReorderLevel]]-Table1[[#This Row],[CurrentStock]],"")</f>
        <v>88</v>
      </c>
      <c r="N102" t="str">
        <f>IF(Table1[[#This Row],[CurrentStock]]&gt;Table1[[#This Row],[ReorderLevel]]*3,"Over Stock","Okay")</f>
        <v>Okay</v>
      </c>
      <c r="O102" t="str">
        <f>IF(Table1[[#This Row],[CurrentStock]]&lt;Table1[[#This Row],[ReorderLevel]],"Reorder","Okay")</f>
        <v>Reorder</v>
      </c>
    </row>
    <row r="103" spans="1:15" x14ac:dyDescent="0.3">
      <c r="A103">
        <v>93122</v>
      </c>
      <c r="B103" t="s">
        <v>17</v>
      </c>
      <c r="C103" t="s">
        <v>30</v>
      </c>
      <c r="D103">
        <v>103</v>
      </c>
      <c r="E103">
        <v>40</v>
      </c>
      <c r="F103">
        <v>273.70999999999998</v>
      </c>
      <c r="G103" t="s">
        <v>33</v>
      </c>
      <c r="H103" s="1">
        <v>45489</v>
      </c>
      <c r="I103" s="1">
        <v>45499</v>
      </c>
      <c r="J103" t="s">
        <v>38</v>
      </c>
      <c r="K103" t="b">
        <f>Table1[[#This Row],[CurrentStock]]&lt;Table1[[#This Row],[ReorderLevel]]</f>
        <v>0</v>
      </c>
      <c r="L103" s="9">
        <f>Table1[[#This Row],[CurrentStock]]*Table1[[#This Row],[UnitPrice]]</f>
        <v>28192.129999999997</v>
      </c>
      <c r="M103" t="str">
        <f>IF(Table1[[#This Row],[ReorderLevel]]-Table1[[#This Row],[CurrentStock]]&gt;0,Table1[[#This Row],[ReorderLevel]]-Table1[[#This Row],[CurrentStock]],"")</f>
        <v/>
      </c>
      <c r="N103" t="str">
        <f>IF(Table1[[#This Row],[CurrentStock]]&gt;Table1[[#This Row],[ReorderLevel]]*3,"Over Stock","Okay")</f>
        <v>Okay</v>
      </c>
      <c r="O103" t="str">
        <f>IF(Table1[[#This Row],[CurrentStock]]&lt;Table1[[#This Row],[ReorderLevel]],"Reorder","Okay")</f>
        <v>Okay</v>
      </c>
    </row>
    <row r="104" spans="1:15" x14ac:dyDescent="0.3">
      <c r="A104">
        <v>54028</v>
      </c>
      <c r="B104" t="s">
        <v>26</v>
      </c>
      <c r="C104" t="s">
        <v>30</v>
      </c>
      <c r="D104">
        <v>499</v>
      </c>
      <c r="E104">
        <v>100</v>
      </c>
      <c r="F104">
        <v>447.48</v>
      </c>
      <c r="G104" t="s">
        <v>36</v>
      </c>
      <c r="H104" s="1">
        <v>45448</v>
      </c>
      <c r="I104" s="1">
        <v>45485</v>
      </c>
      <c r="J104" t="s">
        <v>38</v>
      </c>
      <c r="K104" t="b">
        <f>Table1[[#This Row],[CurrentStock]]&lt;Table1[[#This Row],[ReorderLevel]]</f>
        <v>0</v>
      </c>
      <c r="L104" s="9">
        <f>Table1[[#This Row],[CurrentStock]]*Table1[[#This Row],[UnitPrice]]</f>
        <v>223292.52000000002</v>
      </c>
      <c r="M104" t="str">
        <f>IF(Table1[[#This Row],[ReorderLevel]]-Table1[[#This Row],[CurrentStock]]&gt;0,Table1[[#This Row],[ReorderLevel]]-Table1[[#This Row],[CurrentStock]],"")</f>
        <v/>
      </c>
      <c r="N104" t="str">
        <f>IF(Table1[[#This Row],[CurrentStock]]&gt;Table1[[#This Row],[ReorderLevel]]*3,"Over Stock","Okay")</f>
        <v>Over Stock</v>
      </c>
      <c r="O104" t="str">
        <f>IF(Table1[[#This Row],[CurrentStock]]&lt;Table1[[#This Row],[ReorderLevel]],"Reorder","Okay")</f>
        <v>Okay</v>
      </c>
    </row>
    <row r="105" spans="1:15" x14ac:dyDescent="0.3">
      <c r="A105">
        <v>53872</v>
      </c>
      <c r="B105" t="s">
        <v>12</v>
      </c>
      <c r="C105" t="s">
        <v>28</v>
      </c>
      <c r="D105">
        <v>195</v>
      </c>
      <c r="E105">
        <v>100</v>
      </c>
      <c r="F105">
        <v>358.46</v>
      </c>
      <c r="G105" t="s">
        <v>36</v>
      </c>
      <c r="H105" s="1">
        <v>45296</v>
      </c>
      <c r="I105" s="1">
        <v>45310</v>
      </c>
      <c r="J105" t="s">
        <v>38</v>
      </c>
      <c r="K105" t="b">
        <f>Table1[[#This Row],[CurrentStock]]&lt;Table1[[#This Row],[ReorderLevel]]</f>
        <v>0</v>
      </c>
      <c r="L105" s="9">
        <f>Table1[[#This Row],[CurrentStock]]*Table1[[#This Row],[UnitPrice]]</f>
        <v>69899.7</v>
      </c>
      <c r="M105" t="str">
        <f>IF(Table1[[#This Row],[ReorderLevel]]-Table1[[#This Row],[CurrentStock]]&gt;0,Table1[[#This Row],[ReorderLevel]]-Table1[[#This Row],[CurrentStock]],"")</f>
        <v/>
      </c>
      <c r="N105" t="str">
        <f>IF(Table1[[#This Row],[CurrentStock]]&gt;Table1[[#This Row],[ReorderLevel]]*3,"Over Stock","Okay")</f>
        <v>Okay</v>
      </c>
      <c r="O105" t="str">
        <f>IF(Table1[[#This Row],[CurrentStock]]&lt;Table1[[#This Row],[ReorderLevel]],"Reorder","Okay")</f>
        <v>Okay</v>
      </c>
    </row>
    <row r="106" spans="1:15" x14ac:dyDescent="0.3">
      <c r="A106">
        <v>74772</v>
      </c>
      <c r="B106" t="s">
        <v>10</v>
      </c>
      <c r="C106" t="s">
        <v>27</v>
      </c>
      <c r="D106">
        <v>215</v>
      </c>
      <c r="E106">
        <v>50</v>
      </c>
      <c r="F106">
        <v>201.66</v>
      </c>
      <c r="G106" t="s">
        <v>36</v>
      </c>
      <c r="H106" s="1">
        <v>45448</v>
      </c>
      <c r="I106" s="1">
        <v>45460</v>
      </c>
      <c r="J106" t="s">
        <v>38</v>
      </c>
      <c r="K106" t="b">
        <f>Table1[[#This Row],[CurrentStock]]&lt;Table1[[#This Row],[ReorderLevel]]</f>
        <v>0</v>
      </c>
      <c r="L106" s="9">
        <f>Table1[[#This Row],[CurrentStock]]*Table1[[#This Row],[UnitPrice]]</f>
        <v>43356.9</v>
      </c>
      <c r="M106" t="str">
        <f>IF(Table1[[#This Row],[ReorderLevel]]-Table1[[#This Row],[CurrentStock]]&gt;0,Table1[[#This Row],[ReorderLevel]]-Table1[[#This Row],[CurrentStock]],"")</f>
        <v/>
      </c>
      <c r="N106" t="str">
        <f>IF(Table1[[#This Row],[CurrentStock]]&gt;Table1[[#This Row],[ReorderLevel]]*3,"Over Stock","Okay")</f>
        <v>Over Stock</v>
      </c>
      <c r="O106" t="str">
        <f>IF(Table1[[#This Row],[CurrentStock]]&lt;Table1[[#This Row],[ReorderLevel]],"Reorder","Okay")</f>
        <v>Okay</v>
      </c>
    </row>
    <row r="107" spans="1:15" x14ac:dyDescent="0.3">
      <c r="A107">
        <v>81315</v>
      </c>
      <c r="B107" t="s">
        <v>11</v>
      </c>
      <c r="C107" t="s">
        <v>27</v>
      </c>
      <c r="D107">
        <v>172</v>
      </c>
      <c r="E107">
        <v>30</v>
      </c>
      <c r="F107">
        <v>11.04</v>
      </c>
      <c r="G107" t="s">
        <v>32</v>
      </c>
      <c r="H107" s="1">
        <v>45406</v>
      </c>
      <c r="I107" s="1">
        <v>45436</v>
      </c>
      <c r="J107" t="s">
        <v>39</v>
      </c>
      <c r="K107" t="b">
        <f>Table1[[#This Row],[CurrentStock]]&lt;Table1[[#This Row],[ReorderLevel]]</f>
        <v>0</v>
      </c>
      <c r="L107" s="9">
        <f>Table1[[#This Row],[CurrentStock]]*Table1[[#This Row],[UnitPrice]]</f>
        <v>1898.8799999999999</v>
      </c>
      <c r="M107" t="str">
        <f>IF(Table1[[#This Row],[ReorderLevel]]-Table1[[#This Row],[CurrentStock]]&gt;0,Table1[[#This Row],[ReorderLevel]]-Table1[[#This Row],[CurrentStock]],"")</f>
        <v/>
      </c>
      <c r="N107" t="str">
        <f>IF(Table1[[#This Row],[CurrentStock]]&gt;Table1[[#This Row],[ReorderLevel]]*3,"Over Stock","Okay")</f>
        <v>Over Stock</v>
      </c>
      <c r="O107" t="str">
        <f>IF(Table1[[#This Row],[CurrentStock]]&lt;Table1[[#This Row],[ReorderLevel]],"Reorder","Okay")</f>
        <v>Okay</v>
      </c>
    </row>
    <row r="108" spans="1:15" x14ac:dyDescent="0.3">
      <c r="A108">
        <v>85993</v>
      </c>
      <c r="B108" t="s">
        <v>21</v>
      </c>
      <c r="C108" t="s">
        <v>31</v>
      </c>
      <c r="D108">
        <v>133</v>
      </c>
      <c r="E108">
        <v>150</v>
      </c>
      <c r="F108">
        <v>233.69</v>
      </c>
      <c r="G108" t="s">
        <v>36</v>
      </c>
      <c r="H108" s="1">
        <v>45593</v>
      </c>
      <c r="I108" s="1">
        <v>45609</v>
      </c>
      <c r="J108" t="s">
        <v>39</v>
      </c>
      <c r="K108" t="b">
        <f>Table1[[#This Row],[CurrentStock]]&lt;Table1[[#This Row],[ReorderLevel]]</f>
        <v>1</v>
      </c>
      <c r="L108" s="9">
        <f>Table1[[#This Row],[CurrentStock]]*Table1[[#This Row],[UnitPrice]]</f>
        <v>31080.77</v>
      </c>
      <c r="M108">
        <f>IF(Table1[[#This Row],[ReorderLevel]]-Table1[[#This Row],[CurrentStock]]&gt;0,Table1[[#This Row],[ReorderLevel]]-Table1[[#This Row],[CurrentStock]],"")</f>
        <v>17</v>
      </c>
      <c r="N108" t="str">
        <f>IF(Table1[[#This Row],[CurrentStock]]&gt;Table1[[#This Row],[ReorderLevel]]*3,"Over Stock","Okay")</f>
        <v>Okay</v>
      </c>
      <c r="O108" t="str">
        <f>IF(Table1[[#This Row],[CurrentStock]]&lt;Table1[[#This Row],[ReorderLevel]],"Reorder","Okay")</f>
        <v>Reorder</v>
      </c>
    </row>
    <row r="109" spans="1:15" x14ac:dyDescent="0.3">
      <c r="A109">
        <v>49915</v>
      </c>
      <c r="B109" t="s">
        <v>24</v>
      </c>
      <c r="C109" t="s">
        <v>31</v>
      </c>
      <c r="D109">
        <v>480</v>
      </c>
      <c r="E109">
        <v>150</v>
      </c>
      <c r="F109">
        <v>364.42</v>
      </c>
      <c r="G109" t="s">
        <v>34</v>
      </c>
      <c r="H109" s="1">
        <v>45462</v>
      </c>
      <c r="I109" s="1">
        <v>45478</v>
      </c>
      <c r="J109" t="s">
        <v>37</v>
      </c>
      <c r="K109" t="b">
        <f>Table1[[#This Row],[CurrentStock]]&lt;Table1[[#This Row],[ReorderLevel]]</f>
        <v>0</v>
      </c>
      <c r="L109" s="9">
        <f>Table1[[#This Row],[CurrentStock]]*Table1[[#This Row],[UnitPrice]]</f>
        <v>174921.60000000001</v>
      </c>
      <c r="M109" t="str">
        <f>IF(Table1[[#This Row],[ReorderLevel]]-Table1[[#This Row],[CurrentStock]]&gt;0,Table1[[#This Row],[ReorderLevel]]-Table1[[#This Row],[CurrentStock]],"")</f>
        <v/>
      </c>
      <c r="N109" t="str">
        <f>IF(Table1[[#This Row],[CurrentStock]]&gt;Table1[[#This Row],[ReorderLevel]]*3,"Over Stock","Okay")</f>
        <v>Over Stock</v>
      </c>
      <c r="O109" t="str">
        <f>IF(Table1[[#This Row],[CurrentStock]]&lt;Table1[[#This Row],[ReorderLevel]],"Reorder","Okay")</f>
        <v>Okay</v>
      </c>
    </row>
    <row r="110" spans="1:15" x14ac:dyDescent="0.3">
      <c r="A110">
        <v>96066</v>
      </c>
      <c r="B110" t="s">
        <v>17</v>
      </c>
      <c r="C110" t="s">
        <v>30</v>
      </c>
      <c r="D110">
        <v>126</v>
      </c>
      <c r="E110">
        <v>30</v>
      </c>
      <c r="F110">
        <v>386.77</v>
      </c>
      <c r="G110" t="s">
        <v>36</v>
      </c>
      <c r="H110" s="1">
        <v>45578</v>
      </c>
      <c r="I110" s="1">
        <v>45591</v>
      </c>
      <c r="J110" t="s">
        <v>39</v>
      </c>
      <c r="K110" t="b">
        <f>Table1[[#This Row],[CurrentStock]]&lt;Table1[[#This Row],[ReorderLevel]]</f>
        <v>0</v>
      </c>
      <c r="L110" s="9">
        <f>Table1[[#This Row],[CurrentStock]]*Table1[[#This Row],[UnitPrice]]</f>
        <v>48733.02</v>
      </c>
      <c r="M110" t="str">
        <f>IF(Table1[[#This Row],[ReorderLevel]]-Table1[[#This Row],[CurrentStock]]&gt;0,Table1[[#This Row],[ReorderLevel]]-Table1[[#This Row],[CurrentStock]],"")</f>
        <v/>
      </c>
      <c r="N110" t="str">
        <f>IF(Table1[[#This Row],[CurrentStock]]&gt;Table1[[#This Row],[ReorderLevel]]*3,"Over Stock","Okay")</f>
        <v>Over Stock</v>
      </c>
      <c r="O110" t="str">
        <f>IF(Table1[[#This Row],[CurrentStock]]&lt;Table1[[#This Row],[ReorderLevel]],"Reorder","Okay")</f>
        <v>Okay</v>
      </c>
    </row>
    <row r="111" spans="1:15" x14ac:dyDescent="0.3">
      <c r="A111">
        <v>11645</v>
      </c>
      <c r="B111" t="s">
        <v>12</v>
      </c>
      <c r="C111" t="s">
        <v>28</v>
      </c>
      <c r="D111">
        <v>266</v>
      </c>
      <c r="E111">
        <v>150</v>
      </c>
      <c r="F111">
        <v>65.790000000000006</v>
      </c>
      <c r="G111" t="s">
        <v>34</v>
      </c>
      <c r="H111" s="1">
        <v>45392</v>
      </c>
      <c r="I111" s="1">
        <v>45417</v>
      </c>
      <c r="J111" t="s">
        <v>39</v>
      </c>
      <c r="K111" t="b">
        <f>Table1[[#This Row],[CurrentStock]]&lt;Table1[[#This Row],[ReorderLevel]]</f>
        <v>0</v>
      </c>
      <c r="L111" s="9">
        <f>Table1[[#This Row],[CurrentStock]]*Table1[[#This Row],[UnitPrice]]</f>
        <v>17500.140000000003</v>
      </c>
      <c r="M111" t="str">
        <f>IF(Table1[[#This Row],[ReorderLevel]]-Table1[[#This Row],[CurrentStock]]&gt;0,Table1[[#This Row],[ReorderLevel]]-Table1[[#This Row],[CurrentStock]],"")</f>
        <v/>
      </c>
      <c r="N111" t="str">
        <f>IF(Table1[[#This Row],[CurrentStock]]&gt;Table1[[#This Row],[ReorderLevel]]*3,"Over Stock","Okay")</f>
        <v>Okay</v>
      </c>
      <c r="O111" t="str">
        <f>IF(Table1[[#This Row],[CurrentStock]]&lt;Table1[[#This Row],[ReorderLevel]],"Reorder","Okay")</f>
        <v>Okay</v>
      </c>
    </row>
    <row r="112" spans="1:15" x14ac:dyDescent="0.3">
      <c r="A112">
        <v>85060</v>
      </c>
      <c r="B112" t="s">
        <v>18</v>
      </c>
      <c r="C112" t="s">
        <v>28</v>
      </c>
      <c r="D112">
        <v>318</v>
      </c>
      <c r="E112">
        <v>100</v>
      </c>
      <c r="F112">
        <v>261.82</v>
      </c>
      <c r="G112" t="s">
        <v>35</v>
      </c>
      <c r="H112" s="1">
        <v>45440</v>
      </c>
      <c r="I112" s="1">
        <v>45453</v>
      </c>
      <c r="J112" t="s">
        <v>39</v>
      </c>
      <c r="K112" t="b">
        <f>Table1[[#This Row],[CurrentStock]]&lt;Table1[[#This Row],[ReorderLevel]]</f>
        <v>0</v>
      </c>
      <c r="L112" s="9">
        <f>Table1[[#This Row],[CurrentStock]]*Table1[[#This Row],[UnitPrice]]</f>
        <v>83258.759999999995</v>
      </c>
      <c r="M112" t="str">
        <f>IF(Table1[[#This Row],[ReorderLevel]]-Table1[[#This Row],[CurrentStock]]&gt;0,Table1[[#This Row],[ReorderLevel]]-Table1[[#This Row],[CurrentStock]],"")</f>
        <v/>
      </c>
      <c r="N112" t="str">
        <f>IF(Table1[[#This Row],[CurrentStock]]&gt;Table1[[#This Row],[ReorderLevel]]*3,"Over Stock","Okay")</f>
        <v>Over Stock</v>
      </c>
      <c r="O112" t="str">
        <f>IF(Table1[[#This Row],[CurrentStock]]&lt;Table1[[#This Row],[ReorderLevel]],"Reorder","Okay")</f>
        <v>Okay</v>
      </c>
    </row>
    <row r="113" spans="1:15" x14ac:dyDescent="0.3">
      <c r="A113">
        <v>83509</v>
      </c>
      <c r="B113" t="s">
        <v>10</v>
      </c>
      <c r="C113" t="s">
        <v>27</v>
      </c>
      <c r="D113">
        <v>116</v>
      </c>
      <c r="E113">
        <v>30</v>
      </c>
      <c r="F113">
        <v>170.08</v>
      </c>
      <c r="G113" t="s">
        <v>33</v>
      </c>
      <c r="H113" s="1">
        <v>45354</v>
      </c>
      <c r="I113" s="1">
        <v>45383</v>
      </c>
      <c r="J113" t="s">
        <v>38</v>
      </c>
      <c r="K113" t="b">
        <f>Table1[[#This Row],[CurrentStock]]&lt;Table1[[#This Row],[ReorderLevel]]</f>
        <v>0</v>
      </c>
      <c r="L113" s="9">
        <f>Table1[[#This Row],[CurrentStock]]*Table1[[#This Row],[UnitPrice]]</f>
        <v>19729.280000000002</v>
      </c>
      <c r="M113" t="str">
        <f>IF(Table1[[#This Row],[ReorderLevel]]-Table1[[#This Row],[CurrentStock]]&gt;0,Table1[[#This Row],[ReorderLevel]]-Table1[[#This Row],[CurrentStock]],"")</f>
        <v/>
      </c>
      <c r="N113" t="str">
        <f>IF(Table1[[#This Row],[CurrentStock]]&gt;Table1[[#This Row],[ReorderLevel]]*3,"Over Stock","Okay")</f>
        <v>Over Stock</v>
      </c>
      <c r="O113" t="str">
        <f>IF(Table1[[#This Row],[CurrentStock]]&lt;Table1[[#This Row],[ReorderLevel]],"Reorder","Okay")</f>
        <v>Okay</v>
      </c>
    </row>
    <row r="114" spans="1:15" x14ac:dyDescent="0.3">
      <c r="A114">
        <v>77526</v>
      </c>
      <c r="B114" t="s">
        <v>25</v>
      </c>
      <c r="C114" t="s">
        <v>31</v>
      </c>
      <c r="D114">
        <v>417</v>
      </c>
      <c r="E114">
        <v>40</v>
      </c>
      <c r="F114">
        <v>228.85</v>
      </c>
      <c r="G114" t="s">
        <v>34</v>
      </c>
      <c r="H114" s="1">
        <v>45655</v>
      </c>
      <c r="I114" s="1">
        <v>45683</v>
      </c>
      <c r="J114" t="s">
        <v>39</v>
      </c>
      <c r="K114" t="b">
        <f>Table1[[#This Row],[CurrentStock]]&lt;Table1[[#This Row],[ReorderLevel]]</f>
        <v>0</v>
      </c>
      <c r="L114" s="9">
        <f>Table1[[#This Row],[CurrentStock]]*Table1[[#This Row],[UnitPrice]]</f>
        <v>95430.45</v>
      </c>
      <c r="M114" t="str">
        <f>IF(Table1[[#This Row],[ReorderLevel]]-Table1[[#This Row],[CurrentStock]]&gt;0,Table1[[#This Row],[ReorderLevel]]-Table1[[#This Row],[CurrentStock]],"")</f>
        <v/>
      </c>
      <c r="N114" t="str">
        <f>IF(Table1[[#This Row],[CurrentStock]]&gt;Table1[[#This Row],[ReorderLevel]]*3,"Over Stock","Okay")</f>
        <v>Over Stock</v>
      </c>
      <c r="O114" t="str">
        <f>IF(Table1[[#This Row],[CurrentStock]]&lt;Table1[[#This Row],[ReorderLevel]],"Reorder","Okay")</f>
        <v>Okay</v>
      </c>
    </row>
    <row r="115" spans="1:15" x14ac:dyDescent="0.3">
      <c r="A115">
        <v>20395</v>
      </c>
      <c r="B115" t="s">
        <v>17</v>
      </c>
      <c r="C115" t="s">
        <v>30</v>
      </c>
      <c r="D115">
        <v>160</v>
      </c>
      <c r="E115">
        <v>20</v>
      </c>
      <c r="F115">
        <v>391.35</v>
      </c>
      <c r="G115" t="s">
        <v>33</v>
      </c>
      <c r="H115" s="1">
        <v>45441</v>
      </c>
      <c r="I115" s="1">
        <v>45471</v>
      </c>
      <c r="J115" t="s">
        <v>37</v>
      </c>
      <c r="K115" t="b">
        <f>Table1[[#This Row],[CurrentStock]]&lt;Table1[[#This Row],[ReorderLevel]]</f>
        <v>0</v>
      </c>
      <c r="L115" s="9">
        <f>Table1[[#This Row],[CurrentStock]]*Table1[[#This Row],[UnitPrice]]</f>
        <v>62616</v>
      </c>
      <c r="M115" t="str">
        <f>IF(Table1[[#This Row],[ReorderLevel]]-Table1[[#This Row],[CurrentStock]]&gt;0,Table1[[#This Row],[ReorderLevel]]-Table1[[#This Row],[CurrentStock]],"")</f>
        <v/>
      </c>
      <c r="N115" t="str">
        <f>IF(Table1[[#This Row],[CurrentStock]]&gt;Table1[[#This Row],[ReorderLevel]]*3,"Over Stock","Okay")</f>
        <v>Over Stock</v>
      </c>
      <c r="O115" t="str">
        <f>IF(Table1[[#This Row],[CurrentStock]]&lt;Table1[[#This Row],[ReorderLevel]],"Reorder","Okay")</f>
        <v>Okay</v>
      </c>
    </row>
    <row r="116" spans="1:15" x14ac:dyDescent="0.3">
      <c r="A116">
        <v>31566</v>
      </c>
      <c r="B116" t="s">
        <v>19</v>
      </c>
      <c r="C116" t="s">
        <v>28</v>
      </c>
      <c r="D116">
        <v>336</v>
      </c>
      <c r="E116">
        <v>50</v>
      </c>
      <c r="F116">
        <v>232.2</v>
      </c>
      <c r="G116" t="s">
        <v>36</v>
      </c>
      <c r="H116" s="1">
        <v>45439</v>
      </c>
      <c r="I116" s="1">
        <v>45465</v>
      </c>
      <c r="J116" t="s">
        <v>37</v>
      </c>
      <c r="K116" t="b">
        <f>Table1[[#This Row],[CurrentStock]]&lt;Table1[[#This Row],[ReorderLevel]]</f>
        <v>0</v>
      </c>
      <c r="L116" s="9">
        <f>Table1[[#This Row],[CurrentStock]]*Table1[[#This Row],[UnitPrice]]</f>
        <v>78019.199999999997</v>
      </c>
      <c r="M116" t="str">
        <f>IF(Table1[[#This Row],[ReorderLevel]]-Table1[[#This Row],[CurrentStock]]&gt;0,Table1[[#This Row],[ReorderLevel]]-Table1[[#This Row],[CurrentStock]],"")</f>
        <v/>
      </c>
      <c r="N116" t="str">
        <f>IF(Table1[[#This Row],[CurrentStock]]&gt;Table1[[#This Row],[ReorderLevel]]*3,"Over Stock","Okay")</f>
        <v>Over Stock</v>
      </c>
      <c r="O116" t="str">
        <f>IF(Table1[[#This Row],[CurrentStock]]&lt;Table1[[#This Row],[ReorderLevel]],"Reorder","Okay")</f>
        <v>Okay</v>
      </c>
    </row>
    <row r="117" spans="1:15" x14ac:dyDescent="0.3">
      <c r="A117">
        <v>12717</v>
      </c>
      <c r="B117" t="s">
        <v>18</v>
      </c>
      <c r="C117" t="s">
        <v>28</v>
      </c>
      <c r="D117">
        <v>477</v>
      </c>
      <c r="E117">
        <v>150</v>
      </c>
      <c r="F117">
        <v>216.26</v>
      </c>
      <c r="G117" t="s">
        <v>36</v>
      </c>
      <c r="H117" s="1">
        <v>45502</v>
      </c>
      <c r="I117" s="1">
        <v>45538</v>
      </c>
      <c r="J117" t="s">
        <v>37</v>
      </c>
      <c r="K117" t="b">
        <f>Table1[[#This Row],[CurrentStock]]&lt;Table1[[#This Row],[ReorderLevel]]</f>
        <v>0</v>
      </c>
      <c r="L117" s="9">
        <f>Table1[[#This Row],[CurrentStock]]*Table1[[#This Row],[UnitPrice]]</f>
        <v>103156.01999999999</v>
      </c>
      <c r="M117" t="str">
        <f>IF(Table1[[#This Row],[ReorderLevel]]-Table1[[#This Row],[CurrentStock]]&gt;0,Table1[[#This Row],[ReorderLevel]]-Table1[[#This Row],[CurrentStock]],"")</f>
        <v/>
      </c>
      <c r="N117" t="str">
        <f>IF(Table1[[#This Row],[CurrentStock]]&gt;Table1[[#This Row],[ReorderLevel]]*3,"Over Stock","Okay")</f>
        <v>Over Stock</v>
      </c>
      <c r="O117" t="str">
        <f>IF(Table1[[#This Row],[CurrentStock]]&lt;Table1[[#This Row],[ReorderLevel]],"Reorder","Okay")</f>
        <v>Okay</v>
      </c>
    </row>
    <row r="118" spans="1:15" x14ac:dyDescent="0.3">
      <c r="A118">
        <v>16645</v>
      </c>
      <c r="B118" t="s">
        <v>26</v>
      </c>
      <c r="C118" t="s">
        <v>30</v>
      </c>
      <c r="D118">
        <v>285</v>
      </c>
      <c r="E118">
        <v>40</v>
      </c>
      <c r="F118">
        <v>37.53</v>
      </c>
      <c r="G118" t="s">
        <v>34</v>
      </c>
      <c r="H118" s="1">
        <v>45369</v>
      </c>
      <c r="I118" s="1">
        <v>45375</v>
      </c>
      <c r="J118" t="s">
        <v>37</v>
      </c>
      <c r="K118" t="b">
        <f>Table1[[#This Row],[CurrentStock]]&lt;Table1[[#This Row],[ReorderLevel]]</f>
        <v>0</v>
      </c>
      <c r="L118" s="9">
        <f>Table1[[#This Row],[CurrentStock]]*Table1[[#This Row],[UnitPrice]]</f>
        <v>10696.050000000001</v>
      </c>
      <c r="M118" t="str">
        <f>IF(Table1[[#This Row],[ReorderLevel]]-Table1[[#This Row],[CurrentStock]]&gt;0,Table1[[#This Row],[ReorderLevel]]-Table1[[#This Row],[CurrentStock]],"")</f>
        <v/>
      </c>
      <c r="N118" t="str">
        <f>IF(Table1[[#This Row],[CurrentStock]]&gt;Table1[[#This Row],[ReorderLevel]]*3,"Over Stock","Okay")</f>
        <v>Over Stock</v>
      </c>
      <c r="O118" t="str">
        <f>IF(Table1[[#This Row],[CurrentStock]]&lt;Table1[[#This Row],[ReorderLevel]],"Reorder","Okay")</f>
        <v>Okay</v>
      </c>
    </row>
    <row r="119" spans="1:15" x14ac:dyDescent="0.3">
      <c r="A119">
        <v>22342</v>
      </c>
      <c r="B119" t="s">
        <v>21</v>
      </c>
      <c r="C119" t="s">
        <v>31</v>
      </c>
      <c r="D119">
        <v>165</v>
      </c>
      <c r="E119">
        <v>40</v>
      </c>
      <c r="F119">
        <v>81.84</v>
      </c>
      <c r="G119" t="s">
        <v>32</v>
      </c>
      <c r="H119" s="1">
        <v>45555</v>
      </c>
      <c r="I119" s="1">
        <v>45588</v>
      </c>
      <c r="J119" t="s">
        <v>39</v>
      </c>
      <c r="K119" t="b">
        <f>Table1[[#This Row],[CurrentStock]]&lt;Table1[[#This Row],[ReorderLevel]]</f>
        <v>0</v>
      </c>
      <c r="L119" s="9">
        <f>Table1[[#This Row],[CurrentStock]]*Table1[[#This Row],[UnitPrice]]</f>
        <v>13503.6</v>
      </c>
      <c r="M119" t="str">
        <f>IF(Table1[[#This Row],[ReorderLevel]]-Table1[[#This Row],[CurrentStock]]&gt;0,Table1[[#This Row],[ReorderLevel]]-Table1[[#This Row],[CurrentStock]],"")</f>
        <v/>
      </c>
      <c r="N119" t="str">
        <f>IF(Table1[[#This Row],[CurrentStock]]&gt;Table1[[#This Row],[ReorderLevel]]*3,"Over Stock","Okay")</f>
        <v>Over Stock</v>
      </c>
      <c r="O119" t="str">
        <f>IF(Table1[[#This Row],[CurrentStock]]&lt;Table1[[#This Row],[ReorderLevel]],"Reorder","Okay")</f>
        <v>Okay</v>
      </c>
    </row>
    <row r="120" spans="1:15" x14ac:dyDescent="0.3">
      <c r="A120">
        <v>36399</v>
      </c>
      <c r="B120" t="s">
        <v>25</v>
      </c>
      <c r="C120" t="s">
        <v>31</v>
      </c>
      <c r="D120">
        <v>365</v>
      </c>
      <c r="E120">
        <v>30</v>
      </c>
      <c r="F120">
        <v>207.32</v>
      </c>
      <c r="G120" t="s">
        <v>33</v>
      </c>
      <c r="H120" s="1">
        <v>45378</v>
      </c>
      <c r="I120" s="1">
        <v>45410</v>
      </c>
      <c r="J120" t="s">
        <v>38</v>
      </c>
      <c r="K120" t="b">
        <f>Table1[[#This Row],[CurrentStock]]&lt;Table1[[#This Row],[ReorderLevel]]</f>
        <v>0</v>
      </c>
      <c r="L120" s="9">
        <f>Table1[[#This Row],[CurrentStock]]*Table1[[#This Row],[UnitPrice]]</f>
        <v>75671.8</v>
      </c>
      <c r="M120" t="str">
        <f>IF(Table1[[#This Row],[ReorderLevel]]-Table1[[#This Row],[CurrentStock]]&gt;0,Table1[[#This Row],[ReorderLevel]]-Table1[[#This Row],[CurrentStock]],"")</f>
        <v/>
      </c>
      <c r="N120" t="str">
        <f>IF(Table1[[#This Row],[CurrentStock]]&gt;Table1[[#This Row],[ReorderLevel]]*3,"Over Stock","Okay")</f>
        <v>Over Stock</v>
      </c>
      <c r="O120" t="str">
        <f>IF(Table1[[#This Row],[CurrentStock]]&lt;Table1[[#This Row],[ReorderLevel]],"Reorder","Okay")</f>
        <v>Okay</v>
      </c>
    </row>
    <row r="121" spans="1:15" x14ac:dyDescent="0.3">
      <c r="A121">
        <v>66373</v>
      </c>
      <c r="B121" t="s">
        <v>17</v>
      </c>
      <c r="C121" t="s">
        <v>30</v>
      </c>
      <c r="D121">
        <v>320</v>
      </c>
      <c r="E121">
        <v>20</v>
      </c>
      <c r="F121">
        <v>114.88</v>
      </c>
      <c r="G121" t="s">
        <v>35</v>
      </c>
      <c r="H121" s="1">
        <v>45546</v>
      </c>
      <c r="I121" s="1">
        <v>45558</v>
      </c>
      <c r="J121" t="s">
        <v>38</v>
      </c>
      <c r="K121" t="b">
        <f>Table1[[#This Row],[CurrentStock]]&lt;Table1[[#This Row],[ReorderLevel]]</f>
        <v>0</v>
      </c>
      <c r="L121" s="9">
        <f>Table1[[#This Row],[CurrentStock]]*Table1[[#This Row],[UnitPrice]]</f>
        <v>36761.599999999999</v>
      </c>
      <c r="M121" t="str">
        <f>IF(Table1[[#This Row],[ReorderLevel]]-Table1[[#This Row],[CurrentStock]]&gt;0,Table1[[#This Row],[ReorderLevel]]-Table1[[#This Row],[CurrentStock]],"")</f>
        <v/>
      </c>
      <c r="N121" t="str">
        <f>IF(Table1[[#This Row],[CurrentStock]]&gt;Table1[[#This Row],[ReorderLevel]]*3,"Over Stock","Okay")</f>
        <v>Over Stock</v>
      </c>
      <c r="O121" t="str">
        <f>IF(Table1[[#This Row],[CurrentStock]]&lt;Table1[[#This Row],[ReorderLevel]],"Reorder","Okay")</f>
        <v>Okay</v>
      </c>
    </row>
    <row r="122" spans="1:15" x14ac:dyDescent="0.3">
      <c r="A122">
        <v>83506</v>
      </c>
      <c r="B122" t="s">
        <v>16</v>
      </c>
      <c r="C122" t="s">
        <v>30</v>
      </c>
      <c r="D122">
        <v>50</v>
      </c>
      <c r="E122">
        <v>20</v>
      </c>
      <c r="F122">
        <v>280.58</v>
      </c>
      <c r="G122" t="s">
        <v>32</v>
      </c>
      <c r="H122" s="1">
        <v>45555</v>
      </c>
      <c r="I122" s="1">
        <v>45593</v>
      </c>
      <c r="J122" t="s">
        <v>37</v>
      </c>
      <c r="K122" t="b">
        <f>Table1[[#This Row],[CurrentStock]]&lt;Table1[[#This Row],[ReorderLevel]]</f>
        <v>0</v>
      </c>
      <c r="L122" s="9">
        <f>Table1[[#This Row],[CurrentStock]]*Table1[[#This Row],[UnitPrice]]</f>
        <v>14029</v>
      </c>
      <c r="M122" t="str">
        <f>IF(Table1[[#This Row],[ReorderLevel]]-Table1[[#This Row],[CurrentStock]]&gt;0,Table1[[#This Row],[ReorderLevel]]-Table1[[#This Row],[CurrentStock]],"")</f>
        <v/>
      </c>
      <c r="N122" t="str">
        <f>IF(Table1[[#This Row],[CurrentStock]]&gt;Table1[[#This Row],[ReorderLevel]]*3,"Over Stock","Okay")</f>
        <v>Okay</v>
      </c>
      <c r="O122" t="str">
        <f>IF(Table1[[#This Row],[CurrentStock]]&lt;Table1[[#This Row],[ReorderLevel]],"Reorder","Okay")</f>
        <v>Okay</v>
      </c>
    </row>
    <row r="123" spans="1:15" x14ac:dyDescent="0.3">
      <c r="A123">
        <v>26032</v>
      </c>
      <c r="B123" t="s">
        <v>23</v>
      </c>
      <c r="C123" t="s">
        <v>30</v>
      </c>
      <c r="D123">
        <v>222</v>
      </c>
      <c r="E123">
        <v>150</v>
      </c>
      <c r="F123">
        <v>448.69</v>
      </c>
      <c r="G123" t="s">
        <v>36</v>
      </c>
      <c r="H123" s="1">
        <v>45298</v>
      </c>
      <c r="I123" s="1">
        <v>45312</v>
      </c>
      <c r="J123" t="s">
        <v>38</v>
      </c>
      <c r="K123" t="b">
        <f>Table1[[#This Row],[CurrentStock]]&lt;Table1[[#This Row],[ReorderLevel]]</f>
        <v>0</v>
      </c>
      <c r="L123" s="9">
        <f>Table1[[#This Row],[CurrentStock]]*Table1[[#This Row],[UnitPrice]]</f>
        <v>99609.18</v>
      </c>
      <c r="M123" t="str">
        <f>IF(Table1[[#This Row],[ReorderLevel]]-Table1[[#This Row],[CurrentStock]]&gt;0,Table1[[#This Row],[ReorderLevel]]-Table1[[#This Row],[CurrentStock]],"")</f>
        <v/>
      </c>
      <c r="N123" t="str">
        <f>IF(Table1[[#This Row],[CurrentStock]]&gt;Table1[[#This Row],[ReorderLevel]]*3,"Over Stock","Okay")</f>
        <v>Okay</v>
      </c>
      <c r="O123" t="str">
        <f>IF(Table1[[#This Row],[CurrentStock]]&lt;Table1[[#This Row],[ReorderLevel]],"Reorder","Okay")</f>
        <v>Okay</v>
      </c>
    </row>
    <row r="124" spans="1:15" x14ac:dyDescent="0.3">
      <c r="A124">
        <v>33236</v>
      </c>
      <c r="B124" t="s">
        <v>16</v>
      </c>
      <c r="C124" t="s">
        <v>30</v>
      </c>
      <c r="D124">
        <v>35</v>
      </c>
      <c r="E124">
        <v>80</v>
      </c>
      <c r="F124">
        <v>213.61</v>
      </c>
      <c r="G124" t="s">
        <v>34</v>
      </c>
      <c r="H124" s="1">
        <v>45293</v>
      </c>
      <c r="I124" s="1">
        <v>45298</v>
      </c>
      <c r="J124" t="s">
        <v>38</v>
      </c>
      <c r="K124" t="b">
        <f>Table1[[#This Row],[CurrentStock]]&lt;Table1[[#This Row],[ReorderLevel]]</f>
        <v>1</v>
      </c>
      <c r="L124" s="9">
        <f>Table1[[#This Row],[CurrentStock]]*Table1[[#This Row],[UnitPrice]]</f>
        <v>7476.35</v>
      </c>
      <c r="M124">
        <f>IF(Table1[[#This Row],[ReorderLevel]]-Table1[[#This Row],[CurrentStock]]&gt;0,Table1[[#This Row],[ReorderLevel]]-Table1[[#This Row],[CurrentStock]],"")</f>
        <v>45</v>
      </c>
      <c r="N124" t="str">
        <f>IF(Table1[[#This Row],[CurrentStock]]&gt;Table1[[#This Row],[ReorderLevel]]*3,"Over Stock","Okay")</f>
        <v>Okay</v>
      </c>
      <c r="O124" t="str">
        <f>IF(Table1[[#This Row],[CurrentStock]]&lt;Table1[[#This Row],[ReorderLevel]],"Reorder","Okay")</f>
        <v>Reorder</v>
      </c>
    </row>
    <row r="125" spans="1:15" x14ac:dyDescent="0.3">
      <c r="A125">
        <v>43572</v>
      </c>
      <c r="B125" t="s">
        <v>25</v>
      </c>
      <c r="C125" t="s">
        <v>31</v>
      </c>
      <c r="D125">
        <v>385</v>
      </c>
      <c r="E125">
        <v>40</v>
      </c>
      <c r="F125">
        <v>297.2</v>
      </c>
      <c r="G125" t="s">
        <v>35</v>
      </c>
      <c r="H125" s="1">
        <v>45311</v>
      </c>
      <c r="I125" s="1">
        <v>45320</v>
      </c>
      <c r="J125" t="s">
        <v>39</v>
      </c>
      <c r="K125" t="b">
        <f>Table1[[#This Row],[CurrentStock]]&lt;Table1[[#This Row],[ReorderLevel]]</f>
        <v>0</v>
      </c>
      <c r="L125" s="9">
        <f>Table1[[#This Row],[CurrentStock]]*Table1[[#This Row],[UnitPrice]]</f>
        <v>114422</v>
      </c>
      <c r="M125" t="str">
        <f>IF(Table1[[#This Row],[ReorderLevel]]-Table1[[#This Row],[CurrentStock]]&gt;0,Table1[[#This Row],[ReorderLevel]]-Table1[[#This Row],[CurrentStock]],"")</f>
        <v/>
      </c>
      <c r="N125" t="str">
        <f>IF(Table1[[#This Row],[CurrentStock]]&gt;Table1[[#This Row],[ReorderLevel]]*3,"Over Stock","Okay")</f>
        <v>Over Stock</v>
      </c>
      <c r="O125" t="str">
        <f>IF(Table1[[#This Row],[CurrentStock]]&lt;Table1[[#This Row],[ReorderLevel]],"Reorder","Okay")</f>
        <v>Okay</v>
      </c>
    </row>
    <row r="126" spans="1:15" x14ac:dyDescent="0.3">
      <c r="A126">
        <v>55648</v>
      </c>
      <c r="B126" t="s">
        <v>17</v>
      </c>
      <c r="C126" t="s">
        <v>30</v>
      </c>
      <c r="D126">
        <v>354</v>
      </c>
      <c r="E126">
        <v>50</v>
      </c>
      <c r="F126">
        <v>487.4</v>
      </c>
      <c r="G126" t="s">
        <v>33</v>
      </c>
      <c r="H126" s="1">
        <v>45655</v>
      </c>
      <c r="I126" s="1">
        <v>45683</v>
      </c>
      <c r="J126" t="s">
        <v>39</v>
      </c>
      <c r="K126" t="b">
        <f>Table1[[#This Row],[CurrentStock]]&lt;Table1[[#This Row],[ReorderLevel]]</f>
        <v>0</v>
      </c>
      <c r="L126" s="9">
        <f>Table1[[#This Row],[CurrentStock]]*Table1[[#This Row],[UnitPrice]]</f>
        <v>172539.6</v>
      </c>
      <c r="M126" t="str">
        <f>IF(Table1[[#This Row],[ReorderLevel]]-Table1[[#This Row],[CurrentStock]]&gt;0,Table1[[#This Row],[ReorderLevel]]-Table1[[#This Row],[CurrentStock]],"")</f>
        <v/>
      </c>
      <c r="N126" t="str">
        <f>IF(Table1[[#This Row],[CurrentStock]]&gt;Table1[[#This Row],[ReorderLevel]]*3,"Over Stock","Okay")</f>
        <v>Over Stock</v>
      </c>
      <c r="O126" t="str">
        <f>IF(Table1[[#This Row],[CurrentStock]]&lt;Table1[[#This Row],[ReorderLevel]],"Reorder","Okay")</f>
        <v>Okay</v>
      </c>
    </row>
    <row r="127" spans="1:15" x14ac:dyDescent="0.3">
      <c r="A127">
        <v>88344</v>
      </c>
      <c r="B127" t="s">
        <v>15</v>
      </c>
      <c r="C127" t="s">
        <v>29</v>
      </c>
      <c r="D127">
        <v>214</v>
      </c>
      <c r="E127">
        <v>20</v>
      </c>
      <c r="F127">
        <v>244.97</v>
      </c>
      <c r="G127" t="s">
        <v>33</v>
      </c>
      <c r="H127" s="1">
        <v>45500</v>
      </c>
      <c r="I127" s="1">
        <v>45518</v>
      </c>
      <c r="J127" t="s">
        <v>37</v>
      </c>
      <c r="K127" t="b">
        <f>Table1[[#This Row],[CurrentStock]]&lt;Table1[[#This Row],[ReorderLevel]]</f>
        <v>0</v>
      </c>
      <c r="L127" s="9">
        <f>Table1[[#This Row],[CurrentStock]]*Table1[[#This Row],[UnitPrice]]</f>
        <v>52423.58</v>
      </c>
      <c r="M127" t="str">
        <f>IF(Table1[[#This Row],[ReorderLevel]]-Table1[[#This Row],[CurrentStock]]&gt;0,Table1[[#This Row],[ReorderLevel]]-Table1[[#This Row],[CurrentStock]],"")</f>
        <v/>
      </c>
      <c r="N127" t="str">
        <f>IF(Table1[[#This Row],[CurrentStock]]&gt;Table1[[#This Row],[ReorderLevel]]*3,"Over Stock","Okay")</f>
        <v>Over Stock</v>
      </c>
      <c r="O127" t="str">
        <f>IF(Table1[[#This Row],[CurrentStock]]&lt;Table1[[#This Row],[ReorderLevel]],"Reorder","Okay")</f>
        <v>Okay</v>
      </c>
    </row>
    <row r="128" spans="1:15" x14ac:dyDescent="0.3">
      <c r="A128">
        <v>86908</v>
      </c>
      <c r="B128" t="s">
        <v>19</v>
      </c>
      <c r="C128" t="s">
        <v>28</v>
      </c>
      <c r="D128">
        <v>200</v>
      </c>
      <c r="E128">
        <v>100</v>
      </c>
      <c r="F128">
        <v>324.3</v>
      </c>
      <c r="G128" t="s">
        <v>33</v>
      </c>
      <c r="H128" s="1">
        <v>45295</v>
      </c>
      <c r="I128" s="1">
        <v>45325</v>
      </c>
      <c r="J128" t="s">
        <v>38</v>
      </c>
      <c r="K128" t="b">
        <f>Table1[[#This Row],[CurrentStock]]&lt;Table1[[#This Row],[ReorderLevel]]</f>
        <v>0</v>
      </c>
      <c r="L128" s="9">
        <f>Table1[[#This Row],[CurrentStock]]*Table1[[#This Row],[UnitPrice]]</f>
        <v>64860</v>
      </c>
      <c r="M128" t="str">
        <f>IF(Table1[[#This Row],[ReorderLevel]]-Table1[[#This Row],[CurrentStock]]&gt;0,Table1[[#This Row],[ReorderLevel]]-Table1[[#This Row],[CurrentStock]],"")</f>
        <v/>
      </c>
      <c r="N128" t="str">
        <f>IF(Table1[[#This Row],[CurrentStock]]&gt;Table1[[#This Row],[ReorderLevel]]*3,"Over Stock","Okay")</f>
        <v>Okay</v>
      </c>
      <c r="O128" t="str">
        <f>IF(Table1[[#This Row],[CurrentStock]]&lt;Table1[[#This Row],[ReorderLevel]],"Reorder","Okay")</f>
        <v>Okay</v>
      </c>
    </row>
    <row r="129" spans="1:15" x14ac:dyDescent="0.3">
      <c r="A129">
        <v>49952</v>
      </c>
      <c r="B129" t="s">
        <v>16</v>
      </c>
      <c r="C129" t="s">
        <v>30</v>
      </c>
      <c r="D129">
        <v>325</v>
      </c>
      <c r="E129">
        <v>30</v>
      </c>
      <c r="F129">
        <v>267.18</v>
      </c>
      <c r="G129" t="s">
        <v>36</v>
      </c>
      <c r="H129" s="1">
        <v>45333</v>
      </c>
      <c r="I129" s="1">
        <v>45371</v>
      </c>
      <c r="J129" t="s">
        <v>37</v>
      </c>
      <c r="K129" t="b">
        <f>Table1[[#This Row],[CurrentStock]]&lt;Table1[[#This Row],[ReorderLevel]]</f>
        <v>0</v>
      </c>
      <c r="L129" s="9">
        <f>Table1[[#This Row],[CurrentStock]]*Table1[[#This Row],[UnitPrice]]</f>
        <v>86833.5</v>
      </c>
      <c r="M129" t="str">
        <f>IF(Table1[[#This Row],[ReorderLevel]]-Table1[[#This Row],[CurrentStock]]&gt;0,Table1[[#This Row],[ReorderLevel]]-Table1[[#This Row],[CurrentStock]],"")</f>
        <v/>
      </c>
      <c r="N129" t="str">
        <f>IF(Table1[[#This Row],[CurrentStock]]&gt;Table1[[#This Row],[ReorderLevel]]*3,"Over Stock","Okay")</f>
        <v>Over Stock</v>
      </c>
      <c r="O129" t="str">
        <f>IF(Table1[[#This Row],[CurrentStock]]&lt;Table1[[#This Row],[ReorderLevel]],"Reorder","Okay")</f>
        <v>Okay</v>
      </c>
    </row>
    <row r="130" spans="1:15" x14ac:dyDescent="0.3">
      <c r="A130">
        <v>92565</v>
      </c>
      <c r="B130" t="s">
        <v>25</v>
      </c>
      <c r="C130" t="s">
        <v>31</v>
      </c>
      <c r="D130">
        <v>116</v>
      </c>
      <c r="E130">
        <v>30</v>
      </c>
      <c r="F130">
        <v>74.31</v>
      </c>
      <c r="G130" t="s">
        <v>32</v>
      </c>
      <c r="H130" s="1">
        <v>45318</v>
      </c>
      <c r="I130" s="1">
        <v>45353</v>
      </c>
      <c r="J130" t="s">
        <v>39</v>
      </c>
      <c r="K130" t="b">
        <f>Table1[[#This Row],[CurrentStock]]&lt;Table1[[#This Row],[ReorderLevel]]</f>
        <v>0</v>
      </c>
      <c r="L130" s="9">
        <f>Table1[[#This Row],[CurrentStock]]*Table1[[#This Row],[UnitPrice]]</f>
        <v>8619.9600000000009</v>
      </c>
      <c r="M130" t="str">
        <f>IF(Table1[[#This Row],[ReorderLevel]]-Table1[[#This Row],[CurrentStock]]&gt;0,Table1[[#This Row],[ReorderLevel]]-Table1[[#This Row],[CurrentStock]],"")</f>
        <v/>
      </c>
      <c r="N130" t="str">
        <f>IF(Table1[[#This Row],[CurrentStock]]&gt;Table1[[#This Row],[ReorderLevel]]*3,"Over Stock","Okay")</f>
        <v>Over Stock</v>
      </c>
      <c r="O130" t="str">
        <f>IF(Table1[[#This Row],[CurrentStock]]&lt;Table1[[#This Row],[ReorderLevel]],"Reorder","Okay")</f>
        <v>Okay</v>
      </c>
    </row>
    <row r="131" spans="1:15" x14ac:dyDescent="0.3">
      <c r="A131">
        <v>48709</v>
      </c>
      <c r="B131" t="s">
        <v>10</v>
      </c>
      <c r="C131" t="s">
        <v>27</v>
      </c>
      <c r="D131">
        <v>308</v>
      </c>
      <c r="E131">
        <v>150</v>
      </c>
      <c r="F131">
        <v>288.77999999999997</v>
      </c>
      <c r="G131" t="s">
        <v>32</v>
      </c>
      <c r="H131" s="1">
        <v>45481</v>
      </c>
      <c r="I131" s="1">
        <v>45487</v>
      </c>
      <c r="J131" t="s">
        <v>37</v>
      </c>
      <c r="K131" t="b">
        <f>Table1[[#This Row],[CurrentStock]]&lt;Table1[[#This Row],[ReorderLevel]]</f>
        <v>0</v>
      </c>
      <c r="L131" s="9">
        <f>Table1[[#This Row],[CurrentStock]]*Table1[[#This Row],[UnitPrice]]</f>
        <v>88944.239999999991</v>
      </c>
      <c r="M131" t="str">
        <f>IF(Table1[[#This Row],[ReorderLevel]]-Table1[[#This Row],[CurrentStock]]&gt;0,Table1[[#This Row],[ReorderLevel]]-Table1[[#This Row],[CurrentStock]],"")</f>
        <v/>
      </c>
      <c r="N131" t="str">
        <f>IF(Table1[[#This Row],[CurrentStock]]&gt;Table1[[#This Row],[ReorderLevel]]*3,"Over Stock","Okay")</f>
        <v>Okay</v>
      </c>
      <c r="O131" t="str">
        <f>IF(Table1[[#This Row],[CurrentStock]]&lt;Table1[[#This Row],[ReorderLevel]],"Reorder","Okay")</f>
        <v>Okay</v>
      </c>
    </row>
    <row r="132" spans="1:15" x14ac:dyDescent="0.3">
      <c r="A132">
        <v>99599</v>
      </c>
      <c r="B132" t="s">
        <v>20</v>
      </c>
      <c r="C132" t="s">
        <v>29</v>
      </c>
      <c r="D132">
        <v>291</v>
      </c>
      <c r="E132">
        <v>40</v>
      </c>
      <c r="F132">
        <v>126.45</v>
      </c>
      <c r="G132" t="s">
        <v>34</v>
      </c>
      <c r="H132" s="1">
        <v>45440</v>
      </c>
      <c r="I132" s="1">
        <v>45455</v>
      </c>
      <c r="J132" t="s">
        <v>37</v>
      </c>
      <c r="K132" t="b">
        <f>Table1[[#This Row],[CurrentStock]]&lt;Table1[[#This Row],[ReorderLevel]]</f>
        <v>0</v>
      </c>
      <c r="L132" s="9">
        <f>Table1[[#This Row],[CurrentStock]]*Table1[[#This Row],[UnitPrice]]</f>
        <v>36796.950000000004</v>
      </c>
      <c r="M132" t="str">
        <f>IF(Table1[[#This Row],[ReorderLevel]]-Table1[[#This Row],[CurrentStock]]&gt;0,Table1[[#This Row],[ReorderLevel]]-Table1[[#This Row],[CurrentStock]],"")</f>
        <v/>
      </c>
      <c r="N132" t="str">
        <f>IF(Table1[[#This Row],[CurrentStock]]&gt;Table1[[#This Row],[ReorderLevel]]*3,"Over Stock","Okay")</f>
        <v>Over Stock</v>
      </c>
      <c r="O132" t="str">
        <f>IF(Table1[[#This Row],[CurrentStock]]&lt;Table1[[#This Row],[ReorderLevel]],"Reorder","Okay")</f>
        <v>Okay</v>
      </c>
    </row>
    <row r="133" spans="1:15" x14ac:dyDescent="0.3">
      <c r="A133">
        <v>14853</v>
      </c>
      <c r="B133" t="s">
        <v>13</v>
      </c>
      <c r="C133" t="s">
        <v>29</v>
      </c>
      <c r="D133">
        <v>231</v>
      </c>
      <c r="E133">
        <v>40</v>
      </c>
      <c r="F133">
        <v>474.91</v>
      </c>
      <c r="G133" t="s">
        <v>36</v>
      </c>
      <c r="H133" s="1">
        <v>45346</v>
      </c>
      <c r="I133" s="1">
        <v>45374</v>
      </c>
      <c r="J133" t="s">
        <v>37</v>
      </c>
      <c r="K133" t="b">
        <f>Table1[[#This Row],[CurrentStock]]&lt;Table1[[#This Row],[ReorderLevel]]</f>
        <v>0</v>
      </c>
      <c r="L133" s="9">
        <f>Table1[[#This Row],[CurrentStock]]*Table1[[#This Row],[UnitPrice]]</f>
        <v>109704.21</v>
      </c>
      <c r="M133" t="str">
        <f>IF(Table1[[#This Row],[ReorderLevel]]-Table1[[#This Row],[CurrentStock]]&gt;0,Table1[[#This Row],[ReorderLevel]]-Table1[[#This Row],[CurrentStock]],"")</f>
        <v/>
      </c>
      <c r="N133" t="str">
        <f>IF(Table1[[#This Row],[CurrentStock]]&gt;Table1[[#This Row],[ReorderLevel]]*3,"Over Stock","Okay")</f>
        <v>Over Stock</v>
      </c>
      <c r="O133" t="str">
        <f>IF(Table1[[#This Row],[CurrentStock]]&lt;Table1[[#This Row],[ReorderLevel]],"Reorder","Okay")</f>
        <v>Okay</v>
      </c>
    </row>
    <row r="134" spans="1:15" x14ac:dyDescent="0.3">
      <c r="A134">
        <v>57304</v>
      </c>
      <c r="B134" t="s">
        <v>25</v>
      </c>
      <c r="C134" t="s">
        <v>31</v>
      </c>
      <c r="D134">
        <v>147</v>
      </c>
      <c r="E134">
        <v>40</v>
      </c>
      <c r="F134">
        <v>299.56</v>
      </c>
      <c r="G134" t="s">
        <v>33</v>
      </c>
      <c r="H134" s="1">
        <v>45628</v>
      </c>
      <c r="I134" s="1">
        <v>45666</v>
      </c>
      <c r="J134" t="s">
        <v>39</v>
      </c>
      <c r="K134" t="b">
        <f>Table1[[#This Row],[CurrentStock]]&lt;Table1[[#This Row],[ReorderLevel]]</f>
        <v>0</v>
      </c>
      <c r="L134" s="9">
        <f>Table1[[#This Row],[CurrentStock]]*Table1[[#This Row],[UnitPrice]]</f>
        <v>44035.32</v>
      </c>
      <c r="M134" t="str">
        <f>IF(Table1[[#This Row],[ReorderLevel]]-Table1[[#This Row],[CurrentStock]]&gt;0,Table1[[#This Row],[ReorderLevel]]-Table1[[#This Row],[CurrentStock]],"")</f>
        <v/>
      </c>
      <c r="N134" t="str">
        <f>IF(Table1[[#This Row],[CurrentStock]]&gt;Table1[[#This Row],[ReorderLevel]]*3,"Over Stock","Okay")</f>
        <v>Over Stock</v>
      </c>
      <c r="O134" t="str">
        <f>IF(Table1[[#This Row],[CurrentStock]]&lt;Table1[[#This Row],[ReorderLevel]],"Reorder","Okay")</f>
        <v>Okay</v>
      </c>
    </row>
    <row r="135" spans="1:15" x14ac:dyDescent="0.3">
      <c r="A135">
        <v>23350</v>
      </c>
      <c r="B135" t="s">
        <v>26</v>
      </c>
      <c r="C135" t="s">
        <v>30</v>
      </c>
      <c r="D135">
        <v>200</v>
      </c>
      <c r="E135">
        <v>20</v>
      </c>
      <c r="F135">
        <v>209.33</v>
      </c>
      <c r="G135" t="s">
        <v>32</v>
      </c>
      <c r="H135" s="1">
        <v>45352</v>
      </c>
      <c r="I135" s="1">
        <v>45381</v>
      </c>
      <c r="J135" t="s">
        <v>38</v>
      </c>
      <c r="K135" t="b">
        <f>Table1[[#This Row],[CurrentStock]]&lt;Table1[[#This Row],[ReorderLevel]]</f>
        <v>0</v>
      </c>
      <c r="L135" s="9">
        <f>Table1[[#This Row],[CurrentStock]]*Table1[[#This Row],[UnitPrice]]</f>
        <v>41866</v>
      </c>
      <c r="M135" t="str">
        <f>IF(Table1[[#This Row],[ReorderLevel]]-Table1[[#This Row],[CurrentStock]]&gt;0,Table1[[#This Row],[ReorderLevel]]-Table1[[#This Row],[CurrentStock]],"")</f>
        <v/>
      </c>
      <c r="N135" t="str">
        <f>IF(Table1[[#This Row],[CurrentStock]]&gt;Table1[[#This Row],[ReorderLevel]]*3,"Over Stock","Okay")</f>
        <v>Over Stock</v>
      </c>
      <c r="O135" t="str">
        <f>IF(Table1[[#This Row],[CurrentStock]]&lt;Table1[[#This Row],[ReorderLevel]],"Reorder","Okay")</f>
        <v>Okay</v>
      </c>
    </row>
    <row r="136" spans="1:15" x14ac:dyDescent="0.3">
      <c r="A136">
        <v>33051</v>
      </c>
      <c r="B136" t="s">
        <v>24</v>
      </c>
      <c r="C136" t="s">
        <v>31</v>
      </c>
      <c r="D136">
        <v>107</v>
      </c>
      <c r="E136">
        <v>50</v>
      </c>
      <c r="F136">
        <v>484.01</v>
      </c>
      <c r="G136" t="s">
        <v>32</v>
      </c>
      <c r="H136" s="1">
        <v>45393</v>
      </c>
      <c r="I136" s="1">
        <v>45431</v>
      </c>
      <c r="J136" t="s">
        <v>37</v>
      </c>
      <c r="K136" t="b">
        <f>Table1[[#This Row],[CurrentStock]]&lt;Table1[[#This Row],[ReorderLevel]]</f>
        <v>0</v>
      </c>
      <c r="L136" s="9">
        <f>Table1[[#This Row],[CurrentStock]]*Table1[[#This Row],[UnitPrice]]</f>
        <v>51789.07</v>
      </c>
      <c r="M136" t="str">
        <f>IF(Table1[[#This Row],[ReorderLevel]]-Table1[[#This Row],[CurrentStock]]&gt;0,Table1[[#This Row],[ReorderLevel]]-Table1[[#This Row],[CurrentStock]],"")</f>
        <v/>
      </c>
      <c r="N136" t="str">
        <f>IF(Table1[[#This Row],[CurrentStock]]&gt;Table1[[#This Row],[ReorderLevel]]*3,"Over Stock","Okay")</f>
        <v>Okay</v>
      </c>
      <c r="O136" t="str">
        <f>IF(Table1[[#This Row],[CurrentStock]]&lt;Table1[[#This Row],[ReorderLevel]],"Reorder","Okay")</f>
        <v>Okay</v>
      </c>
    </row>
    <row r="137" spans="1:15" x14ac:dyDescent="0.3">
      <c r="A137">
        <v>11341</v>
      </c>
      <c r="B137" t="s">
        <v>22</v>
      </c>
      <c r="C137" t="s">
        <v>27</v>
      </c>
      <c r="D137">
        <v>304</v>
      </c>
      <c r="E137">
        <v>80</v>
      </c>
      <c r="F137">
        <v>396.06</v>
      </c>
      <c r="G137" t="s">
        <v>32</v>
      </c>
      <c r="H137" s="1">
        <v>45348</v>
      </c>
      <c r="I137" s="1">
        <v>45364</v>
      </c>
      <c r="J137" t="s">
        <v>38</v>
      </c>
      <c r="K137" t="b">
        <f>Table1[[#This Row],[CurrentStock]]&lt;Table1[[#This Row],[ReorderLevel]]</f>
        <v>0</v>
      </c>
      <c r="L137" s="9">
        <f>Table1[[#This Row],[CurrentStock]]*Table1[[#This Row],[UnitPrice]]</f>
        <v>120402.24000000001</v>
      </c>
      <c r="M137" t="str">
        <f>IF(Table1[[#This Row],[ReorderLevel]]-Table1[[#This Row],[CurrentStock]]&gt;0,Table1[[#This Row],[ReorderLevel]]-Table1[[#This Row],[CurrentStock]],"")</f>
        <v/>
      </c>
      <c r="N137" t="str">
        <f>IF(Table1[[#This Row],[CurrentStock]]&gt;Table1[[#This Row],[ReorderLevel]]*3,"Over Stock","Okay")</f>
        <v>Over Stock</v>
      </c>
      <c r="O137" t="str">
        <f>IF(Table1[[#This Row],[CurrentStock]]&lt;Table1[[#This Row],[ReorderLevel]],"Reorder","Okay")</f>
        <v>Okay</v>
      </c>
    </row>
    <row r="138" spans="1:15" x14ac:dyDescent="0.3">
      <c r="A138">
        <v>25896</v>
      </c>
      <c r="B138" t="s">
        <v>26</v>
      </c>
      <c r="C138" t="s">
        <v>30</v>
      </c>
      <c r="D138">
        <v>214</v>
      </c>
      <c r="E138">
        <v>80</v>
      </c>
      <c r="F138">
        <v>347.68</v>
      </c>
      <c r="G138" t="s">
        <v>33</v>
      </c>
      <c r="H138" s="1">
        <v>45489</v>
      </c>
      <c r="I138" s="1">
        <v>45501</v>
      </c>
      <c r="J138" t="s">
        <v>37</v>
      </c>
      <c r="K138" t="b">
        <f>Table1[[#This Row],[CurrentStock]]&lt;Table1[[#This Row],[ReorderLevel]]</f>
        <v>0</v>
      </c>
      <c r="L138" s="9">
        <f>Table1[[#This Row],[CurrentStock]]*Table1[[#This Row],[UnitPrice]]</f>
        <v>74403.520000000004</v>
      </c>
      <c r="M138" t="str">
        <f>IF(Table1[[#This Row],[ReorderLevel]]-Table1[[#This Row],[CurrentStock]]&gt;0,Table1[[#This Row],[ReorderLevel]]-Table1[[#This Row],[CurrentStock]],"")</f>
        <v/>
      </c>
      <c r="N138" t="str">
        <f>IF(Table1[[#This Row],[CurrentStock]]&gt;Table1[[#This Row],[ReorderLevel]]*3,"Over Stock","Okay")</f>
        <v>Okay</v>
      </c>
      <c r="O138" t="str">
        <f>IF(Table1[[#This Row],[CurrentStock]]&lt;Table1[[#This Row],[ReorderLevel]],"Reorder","Okay")</f>
        <v>Okay</v>
      </c>
    </row>
    <row r="139" spans="1:15" x14ac:dyDescent="0.3">
      <c r="A139">
        <v>47641</v>
      </c>
      <c r="B139" t="s">
        <v>22</v>
      </c>
      <c r="C139" t="s">
        <v>27</v>
      </c>
      <c r="D139">
        <v>58</v>
      </c>
      <c r="E139">
        <v>30</v>
      </c>
      <c r="F139">
        <v>30.54</v>
      </c>
      <c r="G139" t="s">
        <v>35</v>
      </c>
      <c r="H139" s="1">
        <v>45317</v>
      </c>
      <c r="I139" s="1">
        <v>45353</v>
      </c>
      <c r="J139" t="s">
        <v>38</v>
      </c>
      <c r="K139" t="b">
        <f>Table1[[#This Row],[CurrentStock]]&lt;Table1[[#This Row],[ReorderLevel]]</f>
        <v>0</v>
      </c>
      <c r="L139" s="9">
        <f>Table1[[#This Row],[CurrentStock]]*Table1[[#This Row],[UnitPrice]]</f>
        <v>1771.32</v>
      </c>
      <c r="M139" t="str">
        <f>IF(Table1[[#This Row],[ReorderLevel]]-Table1[[#This Row],[CurrentStock]]&gt;0,Table1[[#This Row],[ReorderLevel]]-Table1[[#This Row],[CurrentStock]],"")</f>
        <v/>
      </c>
      <c r="N139" t="str">
        <f>IF(Table1[[#This Row],[CurrentStock]]&gt;Table1[[#This Row],[ReorderLevel]]*3,"Over Stock","Okay")</f>
        <v>Okay</v>
      </c>
      <c r="O139" t="str">
        <f>IF(Table1[[#This Row],[CurrentStock]]&lt;Table1[[#This Row],[ReorderLevel]],"Reorder","Okay")</f>
        <v>Okay</v>
      </c>
    </row>
    <row r="140" spans="1:15" x14ac:dyDescent="0.3">
      <c r="A140">
        <v>79768</v>
      </c>
      <c r="B140" t="s">
        <v>24</v>
      </c>
      <c r="C140" t="s">
        <v>31</v>
      </c>
      <c r="D140">
        <v>85</v>
      </c>
      <c r="E140">
        <v>30</v>
      </c>
      <c r="F140">
        <v>159.86000000000001</v>
      </c>
      <c r="G140" t="s">
        <v>32</v>
      </c>
      <c r="H140" s="1">
        <v>45626</v>
      </c>
      <c r="I140" s="1">
        <v>45637</v>
      </c>
      <c r="J140" t="s">
        <v>39</v>
      </c>
      <c r="K140" t="b">
        <f>Table1[[#This Row],[CurrentStock]]&lt;Table1[[#This Row],[ReorderLevel]]</f>
        <v>0</v>
      </c>
      <c r="L140" s="9">
        <f>Table1[[#This Row],[CurrentStock]]*Table1[[#This Row],[UnitPrice]]</f>
        <v>13588.1</v>
      </c>
      <c r="M140" t="str">
        <f>IF(Table1[[#This Row],[ReorderLevel]]-Table1[[#This Row],[CurrentStock]]&gt;0,Table1[[#This Row],[ReorderLevel]]-Table1[[#This Row],[CurrentStock]],"")</f>
        <v/>
      </c>
      <c r="N140" t="str">
        <f>IF(Table1[[#This Row],[CurrentStock]]&gt;Table1[[#This Row],[ReorderLevel]]*3,"Over Stock","Okay")</f>
        <v>Okay</v>
      </c>
      <c r="O140" t="str">
        <f>IF(Table1[[#This Row],[CurrentStock]]&lt;Table1[[#This Row],[ReorderLevel]],"Reorder","Okay")</f>
        <v>Okay</v>
      </c>
    </row>
    <row r="141" spans="1:15" x14ac:dyDescent="0.3">
      <c r="A141">
        <v>99613</v>
      </c>
      <c r="B141" t="s">
        <v>13</v>
      </c>
      <c r="C141" t="s">
        <v>29</v>
      </c>
      <c r="D141">
        <v>476</v>
      </c>
      <c r="E141">
        <v>30</v>
      </c>
      <c r="F141">
        <v>373.81</v>
      </c>
      <c r="G141" t="s">
        <v>32</v>
      </c>
      <c r="H141" s="1">
        <v>45394</v>
      </c>
      <c r="I141" s="1">
        <v>45415</v>
      </c>
      <c r="J141" t="s">
        <v>37</v>
      </c>
      <c r="K141" t="b">
        <f>Table1[[#This Row],[CurrentStock]]&lt;Table1[[#This Row],[ReorderLevel]]</f>
        <v>0</v>
      </c>
      <c r="L141" s="9">
        <f>Table1[[#This Row],[CurrentStock]]*Table1[[#This Row],[UnitPrice]]</f>
        <v>177933.56</v>
      </c>
      <c r="M141" t="str">
        <f>IF(Table1[[#This Row],[ReorderLevel]]-Table1[[#This Row],[CurrentStock]]&gt;0,Table1[[#This Row],[ReorderLevel]]-Table1[[#This Row],[CurrentStock]],"")</f>
        <v/>
      </c>
      <c r="N141" t="str">
        <f>IF(Table1[[#This Row],[CurrentStock]]&gt;Table1[[#This Row],[ReorderLevel]]*3,"Over Stock","Okay")</f>
        <v>Over Stock</v>
      </c>
      <c r="O141" t="str">
        <f>IF(Table1[[#This Row],[CurrentStock]]&lt;Table1[[#This Row],[ReorderLevel]],"Reorder","Okay")</f>
        <v>Okay</v>
      </c>
    </row>
    <row r="142" spans="1:15" x14ac:dyDescent="0.3">
      <c r="A142">
        <v>88187</v>
      </c>
      <c r="B142" t="s">
        <v>25</v>
      </c>
      <c r="C142" t="s">
        <v>31</v>
      </c>
      <c r="D142">
        <v>292</v>
      </c>
      <c r="E142">
        <v>40</v>
      </c>
      <c r="F142">
        <v>173.24</v>
      </c>
      <c r="G142" t="s">
        <v>35</v>
      </c>
      <c r="H142" s="1">
        <v>45474</v>
      </c>
      <c r="I142" s="1">
        <v>45501</v>
      </c>
      <c r="J142" t="s">
        <v>37</v>
      </c>
      <c r="K142" t="b">
        <f>Table1[[#This Row],[CurrentStock]]&lt;Table1[[#This Row],[ReorderLevel]]</f>
        <v>0</v>
      </c>
      <c r="L142" s="9">
        <f>Table1[[#This Row],[CurrentStock]]*Table1[[#This Row],[UnitPrice]]</f>
        <v>50586.080000000002</v>
      </c>
      <c r="M142" t="str">
        <f>IF(Table1[[#This Row],[ReorderLevel]]-Table1[[#This Row],[CurrentStock]]&gt;0,Table1[[#This Row],[ReorderLevel]]-Table1[[#This Row],[CurrentStock]],"")</f>
        <v/>
      </c>
      <c r="N142" t="str">
        <f>IF(Table1[[#This Row],[CurrentStock]]&gt;Table1[[#This Row],[ReorderLevel]]*3,"Over Stock","Okay")</f>
        <v>Over Stock</v>
      </c>
      <c r="O142" t="str">
        <f>IF(Table1[[#This Row],[CurrentStock]]&lt;Table1[[#This Row],[ReorderLevel]],"Reorder","Okay")</f>
        <v>Okay</v>
      </c>
    </row>
    <row r="143" spans="1:15" x14ac:dyDescent="0.3">
      <c r="A143">
        <v>84038</v>
      </c>
      <c r="B143" t="s">
        <v>18</v>
      </c>
      <c r="C143" t="s">
        <v>28</v>
      </c>
      <c r="D143">
        <v>209</v>
      </c>
      <c r="E143">
        <v>20</v>
      </c>
      <c r="F143">
        <v>443.56</v>
      </c>
      <c r="G143" t="s">
        <v>32</v>
      </c>
      <c r="H143" s="1">
        <v>45399</v>
      </c>
      <c r="I143" s="1">
        <v>45405</v>
      </c>
      <c r="J143" t="s">
        <v>39</v>
      </c>
      <c r="K143" t="b">
        <f>Table1[[#This Row],[CurrentStock]]&lt;Table1[[#This Row],[ReorderLevel]]</f>
        <v>0</v>
      </c>
      <c r="L143" s="9">
        <f>Table1[[#This Row],[CurrentStock]]*Table1[[#This Row],[UnitPrice]]</f>
        <v>92704.04</v>
      </c>
      <c r="M143" t="str">
        <f>IF(Table1[[#This Row],[ReorderLevel]]-Table1[[#This Row],[CurrentStock]]&gt;0,Table1[[#This Row],[ReorderLevel]]-Table1[[#This Row],[CurrentStock]],"")</f>
        <v/>
      </c>
      <c r="N143" t="str">
        <f>IF(Table1[[#This Row],[CurrentStock]]&gt;Table1[[#This Row],[ReorderLevel]]*3,"Over Stock","Okay")</f>
        <v>Over Stock</v>
      </c>
      <c r="O143" t="str">
        <f>IF(Table1[[#This Row],[CurrentStock]]&lt;Table1[[#This Row],[ReorderLevel]],"Reorder","Okay")</f>
        <v>Okay</v>
      </c>
    </row>
    <row r="144" spans="1:15" x14ac:dyDescent="0.3">
      <c r="A144">
        <v>23919</v>
      </c>
      <c r="B144" t="s">
        <v>21</v>
      </c>
      <c r="C144" t="s">
        <v>31</v>
      </c>
      <c r="D144">
        <v>250</v>
      </c>
      <c r="E144">
        <v>150</v>
      </c>
      <c r="F144">
        <v>96.81</v>
      </c>
      <c r="G144" t="s">
        <v>32</v>
      </c>
      <c r="H144" s="1">
        <v>45565</v>
      </c>
      <c r="I144" s="1">
        <v>45601</v>
      </c>
      <c r="J144" t="s">
        <v>38</v>
      </c>
      <c r="K144" t="b">
        <f>Table1[[#This Row],[CurrentStock]]&lt;Table1[[#This Row],[ReorderLevel]]</f>
        <v>0</v>
      </c>
      <c r="L144" s="9">
        <f>Table1[[#This Row],[CurrentStock]]*Table1[[#This Row],[UnitPrice]]</f>
        <v>24202.5</v>
      </c>
      <c r="M144" t="str">
        <f>IF(Table1[[#This Row],[ReorderLevel]]-Table1[[#This Row],[CurrentStock]]&gt;0,Table1[[#This Row],[ReorderLevel]]-Table1[[#This Row],[CurrentStock]],"")</f>
        <v/>
      </c>
      <c r="N144" t="str">
        <f>IF(Table1[[#This Row],[CurrentStock]]&gt;Table1[[#This Row],[ReorderLevel]]*3,"Over Stock","Okay")</f>
        <v>Okay</v>
      </c>
      <c r="O144" t="str">
        <f>IF(Table1[[#This Row],[CurrentStock]]&lt;Table1[[#This Row],[ReorderLevel]],"Reorder","Okay")</f>
        <v>Okay</v>
      </c>
    </row>
    <row r="145" spans="1:15" x14ac:dyDescent="0.3">
      <c r="A145">
        <v>95431</v>
      </c>
      <c r="B145" t="s">
        <v>10</v>
      </c>
      <c r="C145" t="s">
        <v>27</v>
      </c>
      <c r="D145">
        <v>445</v>
      </c>
      <c r="E145">
        <v>20</v>
      </c>
      <c r="F145">
        <v>203.96</v>
      </c>
      <c r="G145" t="s">
        <v>34</v>
      </c>
      <c r="H145" s="1">
        <v>45536</v>
      </c>
      <c r="I145" s="1">
        <v>45556</v>
      </c>
      <c r="J145" t="s">
        <v>38</v>
      </c>
      <c r="K145" t="b">
        <f>Table1[[#This Row],[CurrentStock]]&lt;Table1[[#This Row],[ReorderLevel]]</f>
        <v>0</v>
      </c>
      <c r="L145" s="9">
        <f>Table1[[#This Row],[CurrentStock]]*Table1[[#This Row],[UnitPrice]]</f>
        <v>90762.2</v>
      </c>
      <c r="M145" t="str">
        <f>IF(Table1[[#This Row],[ReorderLevel]]-Table1[[#This Row],[CurrentStock]]&gt;0,Table1[[#This Row],[ReorderLevel]]-Table1[[#This Row],[CurrentStock]],"")</f>
        <v/>
      </c>
      <c r="N145" t="str">
        <f>IF(Table1[[#This Row],[CurrentStock]]&gt;Table1[[#This Row],[ReorderLevel]]*3,"Over Stock","Okay")</f>
        <v>Over Stock</v>
      </c>
      <c r="O145" t="str">
        <f>IF(Table1[[#This Row],[CurrentStock]]&lt;Table1[[#This Row],[ReorderLevel]],"Reorder","Okay")</f>
        <v>Okay</v>
      </c>
    </row>
    <row r="146" spans="1:15" x14ac:dyDescent="0.3">
      <c r="A146">
        <v>20816</v>
      </c>
      <c r="B146" t="s">
        <v>12</v>
      </c>
      <c r="C146" t="s">
        <v>28</v>
      </c>
      <c r="D146">
        <v>413</v>
      </c>
      <c r="E146">
        <v>20</v>
      </c>
      <c r="F146">
        <v>171.5</v>
      </c>
      <c r="G146" t="s">
        <v>35</v>
      </c>
      <c r="H146" s="1">
        <v>45631</v>
      </c>
      <c r="I146" s="1">
        <v>45640</v>
      </c>
      <c r="J146" t="s">
        <v>38</v>
      </c>
      <c r="K146" t="b">
        <f>Table1[[#This Row],[CurrentStock]]&lt;Table1[[#This Row],[ReorderLevel]]</f>
        <v>0</v>
      </c>
      <c r="L146" s="9">
        <f>Table1[[#This Row],[CurrentStock]]*Table1[[#This Row],[UnitPrice]]</f>
        <v>70829.5</v>
      </c>
      <c r="M146" t="str">
        <f>IF(Table1[[#This Row],[ReorderLevel]]-Table1[[#This Row],[CurrentStock]]&gt;0,Table1[[#This Row],[ReorderLevel]]-Table1[[#This Row],[CurrentStock]],"")</f>
        <v/>
      </c>
      <c r="N146" t="str">
        <f>IF(Table1[[#This Row],[CurrentStock]]&gt;Table1[[#This Row],[ReorderLevel]]*3,"Over Stock","Okay")</f>
        <v>Over Stock</v>
      </c>
      <c r="O146" t="str">
        <f>IF(Table1[[#This Row],[CurrentStock]]&lt;Table1[[#This Row],[ReorderLevel]],"Reorder","Okay")</f>
        <v>Okay</v>
      </c>
    </row>
    <row r="147" spans="1:15" x14ac:dyDescent="0.3">
      <c r="A147">
        <v>67775</v>
      </c>
      <c r="B147" t="s">
        <v>23</v>
      </c>
      <c r="C147" t="s">
        <v>30</v>
      </c>
      <c r="D147">
        <v>375</v>
      </c>
      <c r="E147">
        <v>100</v>
      </c>
      <c r="F147">
        <v>427.15</v>
      </c>
      <c r="G147" t="s">
        <v>35</v>
      </c>
      <c r="H147" s="1">
        <v>45437</v>
      </c>
      <c r="I147" s="1">
        <v>45466</v>
      </c>
      <c r="J147" t="s">
        <v>37</v>
      </c>
      <c r="K147" t="b">
        <f>Table1[[#This Row],[CurrentStock]]&lt;Table1[[#This Row],[ReorderLevel]]</f>
        <v>0</v>
      </c>
      <c r="L147" s="9">
        <f>Table1[[#This Row],[CurrentStock]]*Table1[[#This Row],[UnitPrice]]</f>
        <v>160181.25</v>
      </c>
      <c r="M147" t="str">
        <f>IF(Table1[[#This Row],[ReorderLevel]]-Table1[[#This Row],[CurrentStock]]&gt;0,Table1[[#This Row],[ReorderLevel]]-Table1[[#This Row],[CurrentStock]],"")</f>
        <v/>
      </c>
      <c r="N147" t="str">
        <f>IF(Table1[[#This Row],[CurrentStock]]&gt;Table1[[#This Row],[ReorderLevel]]*3,"Over Stock","Okay")</f>
        <v>Over Stock</v>
      </c>
      <c r="O147" t="str">
        <f>IF(Table1[[#This Row],[CurrentStock]]&lt;Table1[[#This Row],[ReorderLevel]],"Reorder","Okay")</f>
        <v>Okay</v>
      </c>
    </row>
    <row r="148" spans="1:15" x14ac:dyDescent="0.3">
      <c r="A148">
        <v>10806</v>
      </c>
      <c r="B148" t="s">
        <v>19</v>
      </c>
      <c r="C148" t="s">
        <v>28</v>
      </c>
      <c r="D148">
        <v>304</v>
      </c>
      <c r="E148">
        <v>20</v>
      </c>
      <c r="F148">
        <v>341.43</v>
      </c>
      <c r="G148" t="s">
        <v>32</v>
      </c>
      <c r="H148" s="1">
        <v>45431</v>
      </c>
      <c r="I148" s="1">
        <v>45441</v>
      </c>
      <c r="J148" t="s">
        <v>39</v>
      </c>
      <c r="K148" t="b">
        <f>Table1[[#This Row],[CurrentStock]]&lt;Table1[[#This Row],[ReorderLevel]]</f>
        <v>0</v>
      </c>
      <c r="L148" s="9">
        <f>Table1[[#This Row],[CurrentStock]]*Table1[[#This Row],[UnitPrice]]</f>
        <v>103794.72</v>
      </c>
      <c r="M148" t="str">
        <f>IF(Table1[[#This Row],[ReorderLevel]]-Table1[[#This Row],[CurrentStock]]&gt;0,Table1[[#This Row],[ReorderLevel]]-Table1[[#This Row],[CurrentStock]],"")</f>
        <v/>
      </c>
      <c r="N148" t="str">
        <f>IF(Table1[[#This Row],[CurrentStock]]&gt;Table1[[#This Row],[ReorderLevel]]*3,"Over Stock","Okay")</f>
        <v>Over Stock</v>
      </c>
      <c r="O148" t="str">
        <f>IF(Table1[[#This Row],[CurrentStock]]&lt;Table1[[#This Row],[ReorderLevel]],"Reorder","Okay")</f>
        <v>Okay</v>
      </c>
    </row>
    <row r="149" spans="1:15" x14ac:dyDescent="0.3">
      <c r="A149">
        <v>66979</v>
      </c>
      <c r="B149" t="s">
        <v>23</v>
      </c>
      <c r="C149" t="s">
        <v>30</v>
      </c>
      <c r="D149">
        <v>152</v>
      </c>
      <c r="E149">
        <v>150</v>
      </c>
      <c r="F149">
        <v>495.63</v>
      </c>
      <c r="G149" t="s">
        <v>36</v>
      </c>
      <c r="H149" s="1">
        <v>45350</v>
      </c>
      <c r="I149" s="1">
        <v>45362</v>
      </c>
      <c r="J149" t="s">
        <v>38</v>
      </c>
      <c r="K149" t="b">
        <f>Table1[[#This Row],[CurrentStock]]&lt;Table1[[#This Row],[ReorderLevel]]</f>
        <v>0</v>
      </c>
      <c r="L149" s="9">
        <f>Table1[[#This Row],[CurrentStock]]*Table1[[#This Row],[UnitPrice]]</f>
        <v>75335.759999999995</v>
      </c>
      <c r="M149" t="str">
        <f>IF(Table1[[#This Row],[ReorderLevel]]-Table1[[#This Row],[CurrentStock]]&gt;0,Table1[[#This Row],[ReorderLevel]]-Table1[[#This Row],[CurrentStock]],"")</f>
        <v/>
      </c>
      <c r="N149" t="str">
        <f>IF(Table1[[#This Row],[CurrentStock]]&gt;Table1[[#This Row],[ReorderLevel]]*3,"Over Stock","Okay")</f>
        <v>Okay</v>
      </c>
      <c r="O149" t="str">
        <f>IF(Table1[[#This Row],[CurrentStock]]&lt;Table1[[#This Row],[ReorderLevel]],"Reorder","Okay")</f>
        <v>Okay</v>
      </c>
    </row>
    <row r="150" spans="1:15" x14ac:dyDescent="0.3">
      <c r="A150">
        <v>92856</v>
      </c>
      <c r="B150" t="s">
        <v>16</v>
      </c>
      <c r="C150" t="s">
        <v>30</v>
      </c>
      <c r="D150">
        <v>492</v>
      </c>
      <c r="E150">
        <v>100</v>
      </c>
      <c r="F150">
        <v>119.18</v>
      </c>
      <c r="G150" t="s">
        <v>35</v>
      </c>
      <c r="H150" s="1">
        <v>45517</v>
      </c>
      <c r="I150" s="1">
        <v>45547</v>
      </c>
      <c r="J150" t="s">
        <v>39</v>
      </c>
      <c r="K150" t="b">
        <f>Table1[[#This Row],[CurrentStock]]&lt;Table1[[#This Row],[ReorderLevel]]</f>
        <v>0</v>
      </c>
      <c r="L150" s="9">
        <f>Table1[[#This Row],[CurrentStock]]*Table1[[#This Row],[UnitPrice]]</f>
        <v>58636.560000000005</v>
      </c>
      <c r="M150" t="str">
        <f>IF(Table1[[#This Row],[ReorderLevel]]-Table1[[#This Row],[CurrentStock]]&gt;0,Table1[[#This Row],[ReorderLevel]]-Table1[[#This Row],[CurrentStock]],"")</f>
        <v/>
      </c>
      <c r="N150" t="str">
        <f>IF(Table1[[#This Row],[CurrentStock]]&gt;Table1[[#This Row],[ReorderLevel]]*3,"Over Stock","Okay")</f>
        <v>Over Stock</v>
      </c>
      <c r="O150" t="str">
        <f>IF(Table1[[#This Row],[CurrentStock]]&lt;Table1[[#This Row],[ReorderLevel]],"Reorder","Okay")</f>
        <v>Okay</v>
      </c>
    </row>
    <row r="151" spans="1:15" x14ac:dyDescent="0.3">
      <c r="A151">
        <v>86898</v>
      </c>
      <c r="B151" t="s">
        <v>15</v>
      </c>
      <c r="C151" t="s">
        <v>29</v>
      </c>
      <c r="D151">
        <v>4</v>
      </c>
      <c r="E151">
        <v>80</v>
      </c>
      <c r="F151">
        <v>316.74</v>
      </c>
      <c r="G151" t="s">
        <v>34</v>
      </c>
      <c r="H151" s="1">
        <v>45506</v>
      </c>
      <c r="I151" s="1">
        <v>45519</v>
      </c>
      <c r="J151" t="s">
        <v>39</v>
      </c>
      <c r="K151" t="b">
        <f>Table1[[#This Row],[CurrentStock]]&lt;Table1[[#This Row],[ReorderLevel]]</f>
        <v>1</v>
      </c>
      <c r="L151" s="9">
        <f>Table1[[#This Row],[CurrentStock]]*Table1[[#This Row],[UnitPrice]]</f>
        <v>1266.96</v>
      </c>
      <c r="M151">
        <f>IF(Table1[[#This Row],[ReorderLevel]]-Table1[[#This Row],[CurrentStock]]&gt;0,Table1[[#This Row],[ReorderLevel]]-Table1[[#This Row],[CurrentStock]],"")</f>
        <v>76</v>
      </c>
      <c r="N151" t="str">
        <f>IF(Table1[[#This Row],[CurrentStock]]&gt;Table1[[#This Row],[ReorderLevel]]*3,"Over Stock","Okay")</f>
        <v>Okay</v>
      </c>
      <c r="O151" t="str">
        <f>IF(Table1[[#This Row],[CurrentStock]]&lt;Table1[[#This Row],[ReorderLevel]],"Reorder","Okay")</f>
        <v>Reorder</v>
      </c>
    </row>
    <row r="152" spans="1:15" x14ac:dyDescent="0.3">
      <c r="A152">
        <v>34578</v>
      </c>
      <c r="B152" t="s">
        <v>18</v>
      </c>
      <c r="C152" t="s">
        <v>28</v>
      </c>
      <c r="D152">
        <v>378</v>
      </c>
      <c r="E152">
        <v>30</v>
      </c>
      <c r="F152">
        <v>260.05</v>
      </c>
      <c r="G152" t="s">
        <v>32</v>
      </c>
      <c r="H152" s="1">
        <v>45629</v>
      </c>
      <c r="I152" s="1">
        <v>45650</v>
      </c>
      <c r="J152" t="s">
        <v>39</v>
      </c>
      <c r="K152" t="b">
        <f>Table1[[#This Row],[CurrentStock]]&lt;Table1[[#This Row],[ReorderLevel]]</f>
        <v>0</v>
      </c>
      <c r="L152" s="9">
        <f>Table1[[#This Row],[CurrentStock]]*Table1[[#This Row],[UnitPrice]]</f>
        <v>98298.900000000009</v>
      </c>
      <c r="M152" t="str">
        <f>IF(Table1[[#This Row],[ReorderLevel]]-Table1[[#This Row],[CurrentStock]]&gt;0,Table1[[#This Row],[ReorderLevel]]-Table1[[#This Row],[CurrentStock]],"")</f>
        <v/>
      </c>
      <c r="N152" t="str">
        <f>IF(Table1[[#This Row],[CurrentStock]]&gt;Table1[[#This Row],[ReorderLevel]]*3,"Over Stock","Okay")</f>
        <v>Over Stock</v>
      </c>
      <c r="O152" t="str">
        <f>IF(Table1[[#This Row],[CurrentStock]]&lt;Table1[[#This Row],[ReorderLevel]],"Reorder","Okay")</f>
        <v>Okay</v>
      </c>
    </row>
    <row r="153" spans="1:15" x14ac:dyDescent="0.3">
      <c r="A153">
        <v>93300</v>
      </c>
      <c r="B153" t="s">
        <v>17</v>
      </c>
      <c r="C153" t="s">
        <v>30</v>
      </c>
      <c r="D153">
        <v>380</v>
      </c>
      <c r="E153">
        <v>150</v>
      </c>
      <c r="F153">
        <v>22.26</v>
      </c>
      <c r="G153" t="s">
        <v>33</v>
      </c>
      <c r="H153" s="1">
        <v>45359</v>
      </c>
      <c r="I153" s="1">
        <v>45377</v>
      </c>
      <c r="J153" t="s">
        <v>38</v>
      </c>
      <c r="K153" t="b">
        <f>Table1[[#This Row],[CurrentStock]]&lt;Table1[[#This Row],[ReorderLevel]]</f>
        <v>0</v>
      </c>
      <c r="L153" s="9">
        <f>Table1[[#This Row],[CurrentStock]]*Table1[[#This Row],[UnitPrice]]</f>
        <v>8458.8000000000011</v>
      </c>
      <c r="M153" t="str">
        <f>IF(Table1[[#This Row],[ReorderLevel]]-Table1[[#This Row],[CurrentStock]]&gt;0,Table1[[#This Row],[ReorderLevel]]-Table1[[#This Row],[CurrentStock]],"")</f>
        <v/>
      </c>
      <c r="N153" t="str">
        <f>IF(Table1[[#This Row],[CurrentStock]]&gt;Table1[[#This Row],[ReorderLevel]]*3,"Over Stock","Okay")</f>
        <v>Okay</v>
      </c>
      <c r="O153" t="str">
        <f>IF(Table1[[#This Row],[CurrentStock]]&lt;Table1[[#This Row],[ReorderLevel]],"Reorder","Okay")</f>
        <v>Okay</v>
      </c>
    </row>
    <row r="154" spans="1:15" x14ac:dyDescent="0.3">
      <c r="A154">
        <v>98801</v>
      </c>
      <c r="B154" t="s">
        <v>19</v>
      </c>
      <c r="C154" t="s">
        <v>28</v>
      </c>
      <c r="D154">
        <v>122</v>
      </c>
      <c r="E154">
        <v>50</v>
      </c>
      <c r="F154">
        <v>240.96</v>
      </c>
      <c r="G154" t="s">
        <v>34</v>
      </c>
      <c r="H154" s="1">
        <v>45486</v>
      </c>
      <c r="I154" s="1">
        <v>45515</v>
      </c>
      <c r="J154" t="s">
        <v>39</v>
      </c>
      <c r="K154" t="b">
        <f>Table1[[#This Row],[CurrentStock]]&lt;Table1[[#This Row],[ReorderLevel]]</f>
        <v>0</v>
      </c>
      <c r="L154" s="9">
        <f>Table1[[#This Row],[CurrentStock]]*Table1[[#This Row],[UnitPrice]]</f>
        <v>29397.120000000003</v>
      </c>
      <c r="M154" t="str">
        <f>IF(Table1[[#This Row],[ReorderLevel]]-Table1[[#This Row],[CurrentStock]]&gt;0,Table1[[#This Row],[ReorderLevel]]-Table1[[#This Row],[CurrentStock]],"")</f>
        <v/>
      </c>
      <c r="N154" t="str">
        <f>IF(Table1[[#This Row],[CurrentStock]]&gt;Table1[[#This Row],[ReorderLevel]]*3,"Over Stock","Okay")</f>
        <v>Okay</v>
      </c>
      <c r="O154" t="str">
        <f>IF(Table1[[#This Row],[CurrentStock]]&lt;Table1[[#This Row],[ReorderLevel]],"Reorder","Okay")</f>
        <v>Okay</v>
      </c>
    </row>
    <row r="155" spans="1:15" x14ac:dyDescent="0.3">
      <c r="A155">
        <v>43742</v>
      </c>
      <c r="B155" t="s">
        <v>19</v>
      </c>
      <c r="C155" t="s">
        <v>28</v>
      </c>
      <c r="D155">
        <v>39</v>
      </c>
      <c r="E155">
        <v>20</v>
      </c>
      <c r="F155">
        <v>277.67</v>
      </c>
      <c r="G155" t="s">
        <v>32</v>
      </c>
      <c r="H155" s="1">
        <v>45517</v>
      </c>
      <c r="I155" s="1">
        <v>45545</v>
      </c>
      <c r="J155" t="s">
        <v>37</v>
      </c>
      <c r="K155" t="b">
        <f>Table1[[#This Row],[CurrentStock]]&lt;Table1[[#This Row],[ReorderLevel]]</f>
        <v>0</v>
      </c>
      <c r="L155" s="9">
        <f>Table1[[#This Row],[CurrentStock]]*Table1[[#This Row],[UnitPrice]]</f>
        <v>10829.130000000001</v>
      </c>
      <c r="M155" t="str">
        <f>IF(Table1[[#This Row],[ReorderLevel]]-Table1[[#This Row],[CurrentStock]]&gt;0,Table1[[#This Row],[ReorderLevel]]-Table1[[#This Row],[CurrentStock]],"")</f>
        <v/>
      </c>
      <c r="N155" t="str">
        <f>IF(Table1[[#This Row],[CurrentStock]]&gt;Table1[[#This Row],[ReorderLevel]]*3,"Over Stock","Okay")</f>
        <v>Okay</v>
      </c>
      <c r="O155" t="str">
        <f>IF(Table1[[#This Row],[CurrentStock]]&lt;Table1[[#This Row],[ReorderLevel]],"Reorder","Okay")</f>
        <v>Okay</v>
      </c>
    </row>
    <row r="156" spans="1:15" x14ac:dyDescent="0.3">
      <c r="A156">
        <v>96988</v>
      </c>
      <c r="B156" t="s">
        <v>21</v>
      </c>
      <c r="C156" t="s">
        <v>31</v>
      </c>
      <c r="D156">
        <v>453</v>
      </c>
      <c r="E156">
        <v>80</v>
      </c>
      <c r="F156">
        <v>113.99</v>
      </c>
      <c r="G156" t="s">
        <v>35</v>
      </c>
      <c r="H156" s="1">
        <v>45575</v>
      </c>
      <c r="I156" s="1">
        <v>45584</v>
      </c>
      <c r="J156" t="s">
        <v>39</v>
      </c>
      <c r="K156" t="b">
        <f>Table1[[#This Row],[CurrentStock]]&lt;Table1[[#This Row],[ReorderLevel]]</f>
        <v>0</v>
      </c>
      <c r="L156" s="9">
        <f>Table1[[#This Row],[CurrentStock]]*Table1[[#This Row],[UnitPrice]]</f>
        <v>51637.47</v>
      </c>
      <c r="M156" t="str">
        <f>IF(Table1[[#This Row],[ReorderLevel]]-Table1[[#This Row],[CurrentStock]]&gt;0,Table1[[#This Row],[ReorderLevel]]-Table1[[#This Row],[CurrentStock]],"")</f>
        <v/>
      </c>
      <c r="N156" t="str">
        <f>IF(Table1[[#This Row],[CurrentStock]]&gt;Table1[[#This Row],[ReorderLevel]]*3,"Over Stock","Okay")</f>
        <v>Over Stock</v>
      </c>
      <c r="O156" t="str">
        <f>IF(Table1[[#This Row],[CurrentStock]]&lt;Table1[[#This Row],[ReorderLevel]],"Reorder","Okay")</f>
        <v>Okay</v>
      </c>
    </row>
    <row r="157" spans="1:15" x14ac:dyDescent="0.3">
      <c r="A157">
        <v>81719</v>
      </c>
      <c r="B157" t="s">
        <v>17</v>
      </c>
      <c r="C157" t="s">
        <v>30</v>
      </c>
      <c r="D157">
        <v>317</v>
      </c>
      <c r="E157">
        <v>80</v>
      </c>
      <c r="F157">
        <v>453.72</v>
      </c>
      <c r="G157" t="s">
        <v>32</v>
      </c>
      <c r="H157" s="1">
        <v>45614</v>
      </c>
      <c r="I157" s="1">
        <v>45652</v>
      </c>
      <c r="J157" t="s">
        <v>37</v>
      </c>
      <c r="K157" t="b">
        <f>Table1[[#This Row],[CurrentStock]]&lt;Table1[[#This Row],[ReorderLevel]]</f>
        <v>0</v>
      </c>
      <c r="L157" s="9">
        <f>Table1[[#This Row],[CurrentStock]]*Table1[[#This Row],[UnitPrice]]</f>
        <v>143829.24000000002</v>
      </c>
      <c r="M157" t="str">
        <f>IF(Table1[[#This Row],[ReorderLevel]]-Table1[[#This Row],[CurrentStock]]&gt;0,Table1[[#This Row],[ReorderLevel]]-Table1[[#This Row],[CurrentStock]],"")</f>
        <v/>
      </c>
      <c r="N157" t="str">
        <f>IF(Table1[[#This Row],[CurrentStock]]&gt;Table1[[#This Row],[ReorderLevel]]*3,"Over Stock","Okay")</f>
        <v>Over Stock</v>
      </c>
      <c r="O157" t="str">
        <f>IF(Table1[[#This Row],[CurrentStock]]&lt;Table1[[#This Row],[ReorderLevel]],"Reorder","Okay")</f>
        <v>Okay</v>
      </c>
    </row>
    <row r="158" spans="1:15" x14ac:dyDescent="0.3">
      <c r="A158">
        <v>75082</v>
      </c>
      <c r="B158" t="s">
        <v>26</v>
      </c>
      <c r="C158" t="s">
        <v>30</v>
      </c>
      <c r="D158">
        <v>261</v>
      </c>
      <c r="E158">
        <v>40</v>
      </c>
      <c r="F158">
        <v>434.74</v>
      </c>
      <c r="G158" t="s">
        <v>35</v>
      </c>
      <c r="H158" s="1">
        <v>45383</v>
      </c>
      <c r="I158" s="1">
        <v>45420</v>
      </c>
      <c r="J158" t="s">
        <v>37</v>
      </c>
      <c r="K158" t="b">
        <f>Table1[[#This Row],[CurrentStock]]&lt;Table1[[#This Row],[ReorderLevel]]</f>
        <v>0</v>
      </c>
      <c r="L158" s="9">
        <f>Table1[[#This Row],[CurrentStock]]*Table1[[#This Row],[UnitPrice]]</f>
        <v>113467.14</v>
      </c>
      <c r="M158" t="str">
        <f>IF(Table1[[#This Row],[ReorderLevel]]-Table1[[#This Row],[CurrentStock]]&gt;0,Table1[[#This Row],[ReorderLevel]]-Table1[[#This Row],[CurrentStock]],"")</f>
        <v/>
      </c>
      <c r="N158" t="str">
        <f>IF(Table1[[#This Row],[CurrentStock]]&gt;Table1[[#This Row],[ReorderLevel]]*3,"Over Stock","Okay")</f>
        <v>Over Stock</v>
      </c>
      <c r="O158" t="str">
        <f>IF(Table1[[#This Row],[CurrentStock]]&lt;Table1[[#This Row],[ReorderLevel]],"Reorder","Okay")</f>
        <v>Okay</v>
      </c>
    </row>
    <row r="159" spans="1:15" x14ac:dyDescent="0.3">
      <c r="A159">
        <v>12469</v>
      </c>
      <c r="B159" t="s">
        <v>20</v>
      </c>
      <c r="C159" t="s">
        <v>29</v>
      </c>
      <c r="D159">
        <v>344</v>
      </c>
      <c r="E159">
        <v>80</v>
      </c>
      <c r="F159">
        <v>341.67</v>
      </c>
      <c r="G159" t="s">
        <v>34</v>
      </c>
      <c r="H159" s="1">
        <v>45482</v>
      </c>
      <c r="I159" s="1">
        <v>45513</v>
      </c>
      <c r="J159" t="s">
        <v>38</v>
      </c>
      <c r="K159" t="b">
        <f>Table1[[#This Row],[CurrentStock]]&lt;Table1[[#This Row],[ReorderLevel]]</f>
        <v>0</v>
      </c>
      <c r="L159" s="9">
        <f>Table1[[#This Row],[CurrentStock]]*Table1[[#This Row],[UnitPrice]]</f>
        <v>117534.48000000001</v>
      </c>
      <c r="M159" t="str">
        <f>IF(Table1[[#This Row],[ReorderLevel]]-Table1[[#This Row],[CurrentStock]]&gt;0,Table1[[#This Row],[ReorderLevel]]-Table1[[#This Row],[CurrentStock]],"")</f>
        <v/>
      </c>
      <c r="N159" t="str">
        <f>IF(Table1[[#This Row],[CurrentStock]]&gt;Table1[[#This Row],[ReorderLevel]]*3,"Over Stock","Okay")</f>
        <v>Over Stock</v>
      </c>
      <c r="O159" t="str">
        <f>IF(Table1[[#This Row],[CurrentStock]]&lt;Table1[[#This Row],[ReorderLevel]],"Reorder","Okay")</f>
        <v>Okay</v>
      </c>
    </row>
    <row r="160" spans="1:15" x14ac:dyDescent="0.3">
      <c r="A160">
        <v>88249</v>
      </c>
      <c r="B160" t="s">
        <v>16</v>
      </c>
      <c r="C160" t="s">
        <v>30</v>
      </c>
      <c r="D160">
        <v>44</v>
      </c>
      <c r="E160">
        <v>30</v>
      </c>
      <c r="F160">
        <v>235.41</v>
      </c>
      <c r="G160" t="s">
        <v>33</v>
      </c>
      <c r="H160" s="1">
        <v>45322</v>
      </c>
      <c r="I160" s="1">
        <v>45349</v>
      </c>
      <c r="J160" t="s">
        <v>38</v>
      </c>
      <c r="K160" t="b">
        <f>Table1[[#This Row],[CurrentStock]]&lt;Table1[[#This Row],[ReorderLevel]]</f>
        <v>0</v>
      </c>
      <c r="L160" s="9">
        <f>Table1[[#This Row],[CurrentStock]]*Table1[[#This Row],[UnitPrice]]</f>
        <v>10358.039999999999</v>
      </c>
      <c r="M160" t="str">
        <f>IF(Table1[[#This Row],[ReorderLevel]]-Table1[[#This Row],[CurrentStock]]&gt;0,Table1[[#This Row],[ReorderLevel]]-Table1[[#This Row],[CurrentStock]],"")</f>
        <v/>
      </c>
      <c r="N160" t="str">
        <f>IF(Table1[[#This Row],[CurrentStock]]&gt;Table1[[#This Row],[ReorderLevel]]*3,"Over Stock","Okay")</f>
        <v>Okay</v>
      </c>
      <c r="O160" t="str">
        <f>IF(Table1[[#This Row],[CurrentStock]]&lt;Table1[[#This Row],[ReorderLevel]],"Reorder","Okay")</f>
        <v>Okay</v>
      </c>
    </row>
    <row r="161" spans="1:15" x14ac:dyDescent="0.3">
      <c r="A161">
        <v>67932</v>
      </c>
      <c r="B161" t="s">
        <v>23</v>
      </c>
      <c r="C161" t="s">
        <v>30</v>
      </c>
      <c r="D161">
        <v>38</v>
      </c>
      <c r="E161">
        <v>150</v>
      </c>
      <c r="F161">
        <v>5.55</v>
      </c>
      <c r="G161" t="s">
        <v>36</v>
      </c>
      <c r="H161" s="1">
        <v>45549</v>
      </c>
      <c r="I161" s="1">
        <v>45567</v>
      </c>
      <c r="J161" t="s">
        <v>38</v>
      </c>
      <c r="K161" t="b">
        <f>Table1[[#This Row],[CurrentStock]]&lt;Table1[[#This Row],[ReorderLevel]]</f>
        <v>1</v>
      </c>
      <c r="L161" s="9">
        <f>Table1[[#This Row],[CurrentStock]]*Table1[[#This Row],[UnitPrice]]</f>
        <v>210.9</v>
      </c>
      <c r="M161">
        <f>IF(Table1[[#This Row],[ReorderLevel]]-Table1[[#This Row],[CurrentStock]]&gt;0,Table1[[#This Row],[ReorderLevel]]-Table1[[#This Row],[CurrentStock]],"")</f>
        <v>112</v>
      </c>
      <c r="N161" t="str">
        <f>IF(Table1[[#This Row],[CurrentStock]]&gt;Table1[[#This Row],[ReorderLevel]]*3,"Over Stock","Okay")</f>
        <v>Okay</v>
      </c>
      <c r="O161" t="str">
        <f>IF(Table1[[#This Row],[CurrentStock]]&lt;Table1[[#This Row],[ReorderLevel]],"Reorder","Okay")</f>
        <v>Reorder</v>
      </c>
    </row>
    <row r="162" spans="1:15" x14ac:dyDescent="0.3">
      <c r="A162">
        <v>82545</v>
      </c>
      <c r="B162" t="s">
        <v>24</v>
      </c>
      <c r="C162" t="s">
        <v>31</v>
      </c>
      <c r="D162">
        <v>45</v>
      </c>
      <c r="E162">
        <v>40</v>
      </c>
      <c r="F162">
        <v>490.69</v>
      </c>
      <c r="G162" t="s">
        <v>34</v>
      </c>
      <c r="H162" s="1">
        <v>45308</v>
      </c>
      <c r="I162" s="1">
        <v>45343</v>
      </c>
      <c r="J162" t="s">
        <v>37</v>
      </c>
      <c r="K162" t="b">
        <f>Table1[[#This Row],[CurrentStock]]&lt;Table1[[#This Row],[ReorderLevel]]</f>
        <v>0</v>
      </c>
      <c r="L162" s="9">
        <f>Table1[[#This Row],[CurrentStock]]*Table1[[#This Row],[UnitPrice]]</f>
        <v>22081.05</v>
      </c>
      <c r="M162" t="str">
        <f>IF(Table1[[#This Row],[ReorderLevel]]-Table1[[#This Row],[CurrentStock]]&gt;0,Table1[[#This Row],[ReorderLevel]]-Table1[[#This Row],[CurrentStock]],"")</f>
        <v/>
      </c>
      <c r="N162" t="str">
        <f>IF(Table1[[#This Row],[CurrentStock]]&gt;Table1[[#This Row],[ReorderLevel]]*3,"Over Stock","Okay")</f>
        <v>Okay</v>
      </c>
      <c r="O162" t="str">
        <f>IF(Table1[[#This Row],[CurrentStock]]&lt;Table1[[#This Row],[ReorderLevel]],"Reorder","Okay")</f>
        <v>Okay</v>
      </c>
    </row>
    <row r="163" spans="1:15" x14ac:dyDescent="0.3">
      <c r="A163">
        <v>23281</v>
      </c>
      <c r="B163" t="s">
        <v>15</v>
      </c>
      <c r="C163" t="s">
        <v>29</v>
      </c>
      <c r="D163">
        <v>466</v>
      </c>
      <c r="E163">
        <v>100</v>
      </c>
      <c r="F163">
        <v>14.12</v>
      </c>
      <c r="G163" t="s">
        <v>34</v>
      </c>
      <c r="H163" s="1">
        <v>45524</v>
      </c>
      <c r="I163" s="1">
        <v>45560</v>
      </c>
      <c r="J163" t="s">
        <v>38</v>
      </c>
      <c r="K163" t="b">
        <f>Table1[[#This Row],[CurrentStock]]&lt;Table1[[#This Row],[ReorderLevel]]</f>
        <v>0</v>
      </c>
      <c r="L163" s="9">
        <f>Table1[[#This Row],[CurrentStock]]*Table1[[#This Row],[UnitPrice]]</f>
        <v>6579.92</v>
      </c>
      <c r="M163" t="str">
        <f>IF(Table1[[#This Row],[ReorderLevel]]-Table1[[#This Row],[CurrentStock]]&gt;0,Table1[[#This Row],[ReorderLevel]]-Table1[[#This Row],[CurrentStock]],"")</f>
        <v/>
      </c>
      <c r="N163" t="str">
        <f>IF(Table1[[#This Row],[CurrentStock]]&gt;Table1[[#This Row],[ReorderLevel]]*3,"Over Stock","Okay")</f>
        <v>Over Stock</v>
      </c>
      <c r="O163" t="str">
        <f>IF(Table1[[#This Row],[CurrentStock]]&lt;Table1[[#This Row],[ReorderLevel]],"Reorder","Okay")</f>
        <v>Okay</v>
      </c>
    </row>
    <row r="164" spans="1:15" x14ac:dyDescent="0.3">
      <c r="A164">
        <v>60192</v>
      </c>
      <c r="B164" t="s">
        <v>26</v>
      </c>
      <c r="C164" t="s">
        <v>30</v>
      </c>
      <c r="D164">
        <v>277</v>
      </c>
      <c r="E164">
        <v>50</v>
      </c>
      <c r="F164">
        <v>91.01</v>
      </c>
      <c r="G164" t="s">
        <v>34</v>
      </c>
      <c r="H164" s="1">
        <v>45533</v>
      </c>
      <c r="I164" s="1">
        <v>45541</v>
      </c>
      <c r="J164" t="s">
        <v>39</v>
      </c>
      <c r="K164" t="b">
        <f>Table1[[#This Row],[CurrentStock]]&lt;Table1[[#This Row],[ReorderLevel]]</f>
        <v>0</v>
      </c>
      <c r="L164" s="9">
        <f>Table1[[#This Row],[CurrentStock]]*Table1[[#This Row],[UnitPrice]]</f>
        <v>25209.77</v>
      </c>
      <c r="M164" t="str">
        <f>IF(Table1[[#This Row],[ReorderLevel]]-Table1[[#This Row],[CurrentStock]]&gt;0,Table1[[#This Row],[ReorderLevel]]-Table1[[#This Row],[CurrentStock]],"")</f>
        <v/>
      </c>
      <c r="N164" t="str">
        <f>IF(Table1[[#This Row],[CurrentStock]]&gt;Table1[[#This Row],[ReorderLevel]]*3,"Over Stock","Okay")</f>
        <v>Over Stock</v>
      </c>
      <c r="O164" t="str">
        <f>IF(Table1[[#This Row],[CurrentStock]]&lt;Table1[[#This Row],[ReorderLevel]],"Reorder","Okay")</f>
        <v>Okay</v>
      </c>
    </row>
    <row r="165" spans="1:15" x14ac:dyDescent="0.3">
      <c r="A165">
        <v>77889</v>
      </c>
      <c r="B165" t="s">
        <v>12</v>
      </c>
      <c r="C165" t="s">
        <v>28</v>
      </c>
      <c r="D165">
        <v>373</v>
      </c>
      <c r="E165">
        <v>20</v>
      </c>
      <c r="F165">
        <v>33.67</v>
      </c>
      <c r="G165" t="s">
        <v>36</v>
      </c>
      <c r="H165" s="1">
        <v>45411</v>
      </c>
      <c r="I165" s="1">
        <v>45433</v>
      </c>
      <c r="J165" t="s">
        <v>38</v>
      </c>
      <c r="K165" t="b">
        <f>Table1[[#This Row],[CurrentStock]]&lt;Table1[[#This Row],[ReorderLevel]]</f>
        <v>0</v>
      </c>
      <c r="L165" s="9">
        <f>Table1[[#This Row],[CurrentStock]]*Table1[[#This Row],[UnitPrice]]</f>
        <v>12558.91</v>
      </c>
      <c r="M165" t="str">
        <f>IF(Table1[[#This Row],[ReorderLevel]]-Table1[[#This Row],[CurrentStock]]&gt;0,Table1[[#This Row],[ReorderLevel]]-Table1[[#This Row],[CurrentStock]],"")</f>
        <v/>
      </c>
      <c r="N165" t="str">
        <f>IF(Table1[[#This Row],[CurrentStock]]&gt;Table1[[#This Row],[ReorderLevel]]*3,"Over Stock","Okay")</f>
        <v>Over Stock</v>
      </c>
      <c r="O165" t="str">
        <f>IF(Table1[[#This Row],[CurrentStock]]&lt;Table1[[#This Row],[ReorderLevel]],"Reorder","Okay")</f>
        <v>Okay</v>
      </c>
    </row>
    <row r="166" spans="1:15" x14ac:dyDescent="0.3">
      <c r="A166">
        <v>41598</v>
      </c>
      <c r="B166" t="s">
        <v>20</v>
      </c>
      <c r="C166" t="s">
        <v>29</v>
      </c>
      <c r="D166">
        <v>459</v>
      </c>
      <c r="E166">
        <v>150</v>
      </c>
      <c r="F166">
        <v>37.479999999999997</v>
      </c>
      <c r="G166" t="s">
        <v>32</v>
      </c>
      <c r="H166" s="1">
        <v>45324</v>
      </c>
      <c r="I166" s="1">
        <v>45334</v>
      </c>
      <c r="J166" t="s">
        <v>38</v>
      </c>
      <c r="K166" t="b">
        <f>Table1[[#This Row],[CurrentStock]]&lt;Table1[[#This Row],[ReorderLevel]]</f>
        <v>0</v>
      </c>
      <c r="L166" s="9">
        <f>Table1[[#This Row],[CurrentStock]]*Table1[[#This Row],[UnitPrice]]</f>
        <v>17203.32</v>
      </c>
      <c r="M166" t="str">
        <f>IF(Table1[[#This Row],[ReorderLevel]]-Table1[[#This Row],[CurrentStock]]&gt;0,Table1[[#This Row],[ReorderLevel]]-Table1[[#This Row],[CurrentStock]],"")</f>
        <v/>
      </c>
      <c r="N166" t="str">
        <f>IF(Table1[[#This Row],[CurrentStock]]&gt;Table1[[#This Row],[ReorderLevel]]*3,"Over Stock","Okay")</f>
        <v>Over Stock</v>
      </c>
      <c r="O166" t="str">
        <f>IF(Table1[[#This Row],[CurrentStock]]&lt;Table1[[#This Row],[ReorderLevel]],"Reorder","Okay")</f>
        <v>Okay</v>
      </c>
    </row>
    <row r="167" spans="1:15" x14ac:dyDescent="0.3">
      <c r="A167">
        <v>24288</v>
      </c>
      <c r="B167" t="s">
        <v>25</v>
      </c>
      <c r="C167" t="s">
        <v>31</v>
      </c>
      <c r="D167">
        <v>25</v>
      </c>
      <c r="E167">
        <v>30</v>
      </c>
      <c r="F167">
        <v>140.44999999999999</v>
      </c>
      <c r="G167" t="s">
        <v>32</v>
      </c>
      <c r="H167" s="1">
        <v>45576</v>
      </c>
      <c r="I167" s="1">
        <v>45584</v>
      </c>
      <c r="J167" t="s">
        <v>37</v>
      </c>
      <c r="K167" t="b">
        <f>Table1[[#This Row],[CurrentStock]]&lt;Table1[[#This Row],[ReorderLevel]]</f>
        <v>1</v>
      </c>
      <c r="L167" s="9">
        <f>Table1[[#This Row],[CurrentStock]]*Table1[[#This Row],[UnitPrice]]</f>
        <v>3511.2499999999995</v>
      </c>
      <c r="M167">
        <f>IF(Table1[[#This Row],[ReorderLevel]]-Table1[[#This Row],[CurrentStock]]&gt;0,Table1[[#This Row],[ReorderLevel]]-Table1[[#This Row],[CurrentStock]],"")</f>
        <v>5</v>
      </c>
      <c r="N167" t="str">
        <f>IF(Table1[[#This Row],[CurrentStock]]&gt;Table1[[#This Row],[ReorderLevel]]*3,"Over Stock","Okay")</f>
        <v>Okay</v>
      </c>
      <c r="O167" t="str">
        <f>IF(Table1[[#This Row],[CurrentStock]]&lt;Table1[[#This Row],[ReorderLevel]],"Reorder","Okay")</f>
        <v>Reorder</v>
      </c>
    </row>
    <row r="168" spans="1:15" x14ac:dyDescent="0.3">
      <c r="A168">
        <v>70545</v>
      </c>
      <c r="B168" t="s">
        <v>19</v>
      </c>
      <c r="C168" t="s">
        <v>28</v>
      </c>
      <c r="D168">
        <v>270</v>
      </c>
      <c r="E168">
        <v>150</v>
      </c>
      <c r="F168">
        <v>413.83</v>
      </c>
      <c r="G168" t="s">
        <v>34</v>
      </c>
      <c r="H168" s="1">
        <v>45366</v>
      </c>
      <c r="I168" s="1">
        <v>45402</v>
      </c>
      <c r="J168" t="s">
        <v>39</v>
      </c>
      <c r="K168" t="b">
        <f>Table1[[#This Row],[CurrentStock]]&lt;Table1[[#This Row],[ReorderLevel]]</f>
        <v>0</v>
      </c>
      <c r="L168" s="9">
        <f>Table1[[#This Row],[CurrentStock]]*Table1[[#This Row],[UnitPrice]]</f>
        <v>111734.09999999999</v>
      </c>
      <c r="M168" t="str">
        <f>IF(Table1[[#This Row],[ReorderLevel]]-Table1[[#This Row],[CurrentStock]]&gt;0,Table1[[#This Row],[ReorderLevel]]-Table1[[#This Row],[CurrentStock]],"")</f>
        <v/>
      </c>
      <c r="N168" t="str">
        <f>IF(Table1[[#This Row],[CurrentStock]]&gt;Table1[[#This Row],[ReorderLevel]]*3,"Over Stock","Okay")</f>
        <v>Okay</v>
      </c>
      <c r="O168" t="str">
        <f>IF(Table1[[#This Row],[CurrentStock]]&lt;Table1[[#This Row],[ReorderLevel]],"Reorder","Okay")</f>
        <v>Okay</v>
      </c>
    </row>
    <row r="169" spans="1:15" x14ac:dyDescent="0.3">
      <c r="A169">
        <v>63268</v>
      </c>
      <c r="B169" t="s">
        <v>13</v>
      </c>
      <c r="C169" t="s">
        <v>29</v>
      </c>
      <c r="D169">
        <v>194</v>
      </c>
      <c r="E169">
        <v>20</v>
      </c>
      <c r="F169">
        <v>481.8</v>
      </c>
      <c r="G169" t="s">
        <v>36</v>
      </c>
      <c r="H169" s="1">
        <v>45383</v>
      </c>
      <c r="I169" s="1">
        <v>45416</v>
      </c>
      <c r="J169" t="s">
        <v>38</v>
      </c>
      <c r="K169" t="b">
        <f>Table1[[#This Row],[CurrentStock]]&lt;Table1[[#This Row],[ReorderLevel]]</f>
        <v>0</v>
      </c>
      <c r="L169" s="9">
        <f>Table1[[#This Row],[CurrentStock]]*Table1[[#This Row],[UnitPrice]]</f>
        <v>93469.2</v>
      </c>
      <c r="M169" t="str">
        <f>IF(Table1[[#This Row],[ReorderLevel]]-Table1[[#This Row],[CurrentStock]]&gt;0,Table1[[#This Row],[ReorderLevel]]-Table1[[#This Row],[CurrentStock]],"")</f>
        <v/>
      </c>
      <c r="N169" t="str">
        <f>IF(Table1[[#This Row],[CurrentStock]]&gt;Table1[[#This Row],[ReorderLevel]]*3,"Over Stock","Okay")</f>
        <v>Over Stock</v>
      </c>
      <c r="O169" t="str">
        <f>IF(Table1[[#This Row],[CurrentStock]]&lt;Table1[[#This Row],[ReorderLevel]],"Reorder","Okay")</f>
        <v>Okay</v>
      </c>
    </row>
    <row r="170" spans="1:15" x14ac:dyDescent="0.3">
      <c r="A170">
        <v>86961</v>
      </c>
      <c r="B170" t="s">
        <v>14</v>
      </c>
      <c r="C170" t="s">
        <v>27</v>
      </c>
      <c r="D170">
        <v>146</v>
      </c>
      <c r="E170">
        <v>20</v>
      </c>
      <c r="F170">
        <v>223.94</v>
      </c>
      <c r="G170" t="s">
        <v>36</v>
      </c>
      <c r="H170" s="1">
        <v>45548</v>
      </c>
      <c r="I170" s="1">
        <v>45567</v>
      </c>
      <c r="J170" t="s">
        <v>38</v>
      </c>
      <c r="K170" t="b">
        <f>Table1[[#This Row],[CurrentStock]]&lt;Table1[[#This Row],[ReorderLevel]]</f>
        <v>0</v>
      </c>
      <c r="L170" s="9">
        <f>Table1[[#This Row],[CurrentStock]]*Table1[[#This Row],[UnitPrice]]</f>
        <v>32695.239999999998</v>
      </c>
      <c r="M170" t="str">
        <f>IF(Table1[[#This Row],[ReorderLevel]]-Table1[[#This Row],[CurrentStock]]&gt;0,Table1[[#This Row],[ReorderLevel]]-Table1[[#This Row],[CurrentStock]],"")</f>
        <v/>
      </c>
      <c r="N170" t="str">
        <f>IF(Table1[[#This Row],[CurrentStock]]&gt;Table1[[#This Row],[ReorderLevel]]*3,"Over Stock","Okay")</f>
        <v>Over Stock</v>
      </c>
      <c r="O170" t="str">
        <f>IF(Table1[[#This Row],[CurrentStock]]&lt;Table1[[#This Row],[ReorderLevel]],"Reorder","Okay")</f>
        <v>Okay</v>
      </c>
    </row>
    <row r="171" spans="1:15" x14ac:dyDescent="0.3">
      <c r="A171">
        <v>31563</v>
      </c>
      <c r="B171" t="s">
        <v>18</v>
      </c>
      <c r="C171" t="s">
        <v>28</v>
      </c>
      <c r="D171">
        <v>279</v>
      </c>
      <c r="E171">
        <v>50</v>
      </c>
      <c r="F171">
        <v>283.56</v>
      </c>
      <c r="G171" t="s">
        <v>35</v>
      </c>
      <c r="H171" s="1">
        <v>45499</v>
      </c>
      <c r="I171" s="1">
        <v>45530</v>
      </c>
      <c r="J171" t="s">
        <v>37</v>
      </c>
      <c r="K171" t="b">
        <f>Table1[[#This Row],[CurrentStock]]&lt;Table1[[#This Row],[ReorderLevel]]</f>
        <v>0</v>
      </c>
      <c r="L171" s="9">
        <f>Table1[[#This Row],[CurrentStock]]*Table1[[#This Row],[UnitPrice]]</f>
        <v>79113.240000000005</v>
      </c>
      <c r="M171" t="str">
        <f>IF(Table1[[#This Row],[ReorderLevel]]-Table1[[#This Row],[CurrentStock]]&gt;0,Table1[[#This Row],[ReorderLevel]]-Table1[[#This Row],[CurrentStock]],"")</f>
        <v/>
      </c>
      <c r="N171" t="str">
        <f>IF(Table1[[#This Row],[CurrentStock]]&gt;Table1[[#This Row],[ReorderLevel]]*3,"Over Stock","Okay")</f>
        <v>Over Stock</v>
      </c>
      <c r="O171" t="str">
        <f>IF(Table1[[#This Row],[CurrentStock]]&lt;Table1[[#This Row],[ReorderLevel]],"Reorder","Okay")</f>
        <v>Okay</v>
      </c>
    </row>
    <row r="172" spans="1:15" x14ac:dyDescent="0.3">
      <c r="A172">
        <v>71788</v>
      </c>
      <c r="B172" t="s">
        <v>26</v>
      </c>
      <c r="C172" t="s">
        <v>30</v>
      </c>
      <c r="D172">
        <v>7</v>
      </c>
      <c r="E172">
        <v>150</v>
      </c>
      <c r="F172">
        <v>229.58</v>
      </c>
      <c r="G172" t="s">
        <v>34</v>
      </c>
      <c r="H172" s="1">
        <v>45341</v>
      </c>
      <c r="I172" s="1">
        <v>45352</v>
      </c>
      <c r="J172" t="s">
        <v>37</v>
      </c>
      <c r="K172" t="b">
        <f>Table1[[#This Row],[CurrentStock]]&lt;Table1[[#This Row],[ReorderLevel]]</f>
        <v>1</v>
      </c>
      <c r="L172" s="9">
        <f>Table1[[#This Row],[CurrentStock]]*Table1[[#This Row],[UnitPrice]]</f>
        <v>1607.0600000000002</v>
      </c>
      <c r="M172">
        <f>IF(Table1[[#This Row],[ReorderLevel]]-Table1[[#This Row],[CurrentStock]]&gt;0,Table1[[#This Row],[ReorderLevel]]-Table1[[#This Row],[CurrentStock]],"")</f>
        <v>143</v>
      </c>
      <c r="N172" t="str">
        <f>IF(Table1[[#This Row],[CurrentStock]]&gt;Table1[[#This Row],[ReorderLevel]]*3,"Over Stock","Okay")</f>
        <v>Okay</v>
      </c>
      <c r="O172" t="str">
        <f>IF(Table1[[#This Row],[CurrentStock]]&lt;Table1[[#This Row],[ReorderLevel]],"Reorder","Okay")</f>
        <v>Reorder</v>
      </c>
    </row>
    <row r="173" spans="1:15" x14ac:dyDescent="0.3">
      <c r="A173">
        <v>21536</v>
      </c>
      <c r="B173" t="s">
        <v>14</v>
      </c>
      <c r="C173" t="s">
        <v>27</v>
      </c>
      <c r="D173">
        <v>386</v>
      </c>
      <c r="E173">
        <v>50</v>
      </c>
      <c r="F173">
        <v>399.29</v>
      </c>
      <c r="G173" t="s">
        <v>34</v>
      </c>
      <c r="H173" s="1">
        <v>45444</v>
      </c>
      <c r="I173" s="1">
        <v>45478</v>
      </c>
      <c r="J173" t="s">
        <v>37</v>
      </c>
      <c r="K173" t="b">
        <f>Table1[[#This Row],[CurrentStock]]&lt;Table1[[#This Row],[ReorderLevel]]</f>
        <v>0</v>
      </c>
      <c r="L173" s="9">
        <f>Table1[[#This Row],[CurrentStock]]*Table1[[#This Row],[UnitPrice]]</f>
        <v>154125.94</v>
      </c>
      <c r="M173" t="str">
        <f>IF(Table1[[#This Row],[ReorderLevel]]-Table1[[#This Row],[CurrentStock]]&gt;0,Table1[[#This Row],[ReorderLevel]]-Table1[[#This Row],[CurrentStock]],"")</f>
        <v/>
      </c>
      <c r="N173" t="str">
        <f>IF(Table1[[#This Row],[CurrentStock]]&gt;Table1[[#This Row],[ReorderLevel]]*3,"Over Stock","Okay")</f>
        <v>Over Stock</v>
      </c>
      <c r="O173" t="str">
        <f>IF(Table1[[#This Row],[CurrentStock]]&lt;Table1[[#This Row],[ReorderLevel]],"Reorder","Okay")</f>
        <v>Okay</v>
      </c>
    </row>
    <row r="174" spans="1:15" x14ac:dyDescent="0.3">
      <c r="A174">
        <v>39759</v>
      </c>
      <c r="B174" t="s">
        <v>19</v>
      </c>
      <c r="C174" t="s">
        <v>28</v>
      </c>
      <c r="D174">
        <v>213</v>
      </c>
      <c r="E174">
        <v>100</v>
      </c>
      <c r="F174">
        <v>166.33</v>
      </c>
      <c r="G174" t="s">
        <v>36</v>
      </c>
      <c r="H174" s="1">
        <v>45635</v>
      </c>
      <c r="I174" s="1">
        <v>45647</v>
      </c>
      <c r="J174" t="s">
        <v>37</v>
      </c>
      <c r="K174" t="b">
        <f>Table1[[#This Row],[CurrentStock]]&lt;Table1[[#This Row],[ReorderLevel]]</f>
        <v>0</v>
      </c>
      <c r="L174" s="9">
        <f>Table1[[#This Row],[CurrentStock]]*Table1[[#This Row],[UnitPrice]]</f>
        <v>35428.29</v>
      </c>
      <c r="M174" t="str">
        <f>IF(Table1[[#This Row],[ReorderLevel]]-Table1[[#This Row],[CurrentStock]]&gt;0,Table1[[#This Row],[ReorderLevel]]-Table1[[#This Row],[CurrentStock]],"")</f>
        <v/>
      </c>
      <c r="N174" t="str">
        <f>IF(Table1[[#This Row],[CurrentStock]]&gt;Table1[[#This Row],[ReorderLevel]]*3,"Over Stock","Okay")</f>
        <v>Okay</v>
      </c>
      <c r="O174" t="str">
        <f>IF(Table1[[#This Row],[CurrentStock]]&lt;Table1[[#This Row],[ReorderLevel]],"Reorder","Okay")</f>
        <v>Okay</v>
      </c>
    </row>
    <row r="175" spans="1:15" x14ac:dyDescent="0.3">
      <c r="A175">
        <v>16154</v>
      </c>
      <c r="B175" t="s">
        <v>23</v>
      </c>
      <c r="C175" t="s">
        <v>30</v>
      </c>
      <c r="D175">
        <v>477</v>
      </c>
      <c r="E175">
        <v>30</v>
      </c>
      <c r="F175">
        <v>242.57</v>
      </c>
      <c r="G175" t="s">
        <v>36</v>
      </c>
      <c r="H175" s="1">
        <v>45386</v>
      </c>
      <c r="I175" s="1">
        <v>45422</v>
      </c>
      <c r="J175" t="s">
        <v>37</v>
      </c>
      <c r="K175" t="b">
        <f>Table1[[#This Row],[CurrentStock]]&lt;Table1[[#This Row],[ReorderLevel]]</f>
        <v>0</v>
      </c>
      <c r="L175" s="9">
        <f>Table1[[#This Row],[CurrentStock]]*Table1[[#This Row],[UnitPrice]]</f>
        <v>115705.89</v>
      </c>
      <c r="M175" t="str">
        <f>IF(Table1[[#This Row],[ReorderLevel]]-Table1[[#This Row],[CurrentStock]]&gt;0,Table1[[#This Row],[ReorderLevel]]-Table1[[#This Row],[CurrentStock]],"")</f>
        <v/>
      </c>
      <c r="N175" t="str">
        <f>IF(Table1[[#This Row],[CurrentStock]]&gt;Table1[[#This Row],[ReorderLevel]]*3,"Over Stock","Okay")</f>
        <v>Over Stock</v>
      </c>
      <c r="O175" t="str">
        <f>IF(Table1[[#This Row],[CurrentStock]]&lt;Table1[[#This Row],[ReorderLevel]],"Reorder","Okay")</f>
        <v>Okay</v>
      </c>
    </row>
    <row r="176" spans="1:15" x14ac:dyDescent="0.3">
      <c r="A176">
        <v>49499</v>
      </c>
      <c r="B176" t="s">
        <v>12</v>
      </c>
      <c r="C176" t="s">
        <v>28</v>
      </c>
      <c r="D176">
        <v>424</v>
      </c>
      <c r="E176">
        <v>40</v>
      </c>
      <c r="F176">
        <v>242.85</v>
      </c>
      <c r="G176" t="s">
        <v>35</v>
      </c>
      <c r="H176" s="1">
        <v>45379</v>
      </c>
      <c r="I176" s="1">
        <v>45400</v>
      </c>
      <c r="J176" t="s">
        <v>39</v>
      </c>
      <c r="K176" t="b">
        <f>Table1[[#This Row],[CurrentStock]]&lt;Table1[[#This Row],[ReorderLevel]]</f>
        <v>0</v>
      </c>
      <c r="L176" s="9">
        <f>Table1[[#This Row],[CurrentStock]]*Table1[[#This Row],[UnitPrice]]</f>
        <v>102968.4</v>
      </c>
      <c r="M176" t="str">
        <f>IF(Table1[[#This Row],[ReorderLevel]]-Table1[[#This Row],[CurrentStock]]&gt;0,Table1[[#This Row],[ReorderLevel]]-Table1[[#This Row],[CurrentStock]],"")</f>
        <v/>
      </c>
      <c r="N176" t="str">
        <f>IF(Table1[[#This Row],[CurrentStock]]&gt;Table1[[#This Row],[ReorderLevel]]*3,"Over Stock","Okay")</f>
        <v>Over Stock</v>
      </c>
      <c r="O176" t="str">
        <f>IF(Table1[[#This Row],[CurrentStock]]&lt;Table1[[#This Row],[ReorderLevel]],"Reorder","Okay")</f>
        <v>Okay</v>
      </c>
    </row>
    <row r="177" spans="1:15" x14ac:dyDescent="0.3">
      <c r="A177">
        <v>59153</v>
      </c>
      <c r="B177" t="s">
        <v>11</v>
      </c>
      <c r="C177" t="s">
        <v>27</v>
      </c>
      <c r="D177">
        <v>160</v>
      </c>
      <c r="E177">
        <v>30</v>
      </c>
      <c r="F177">
        <v>389.02</v>
      </c>
      <c r="G177" t="s">
        <v>35</v>
      </c>
      <c r="H177" s="1">
        <v>45533</v>
      </c>
      <c r="I177" s="1">
        <v>45570</v>
      </c>
      <c r="J177" t="s">
        <v>37</v>
      </c>
      <c r="K177" t="b">
        <f>Table1[[#This Row],[CurrentStock]]&lt;Table1[[#This Row],[ReorderLevel]]</f>
        <v>0</v>
      </c>
      <c r="L177" s="9">
        <f>Table1[[#This Row],[CurrentStock]]*Table1[[#This Row],[UnitPrice]]</f>
        <v>62243.199999999997</v>
      </c>
      <c r="M177" t="str">
        <f>IF(Table1[[#This Row],[ReorderLevel]]-Table1[[#This Row],[CurrentStock]]&gt;0,Table1[[#This Row],[ReorderLevel]]-Table1[[#This Row],[CurrentStock]],"")</f>
        <v/>
      </c>
      <c r="N177" t="str">
        <f>IF(Table1[[#This Row],[CurrentStock]]&gt;Table1[[#This Row],[ReorderLevel]]*3,"Over Stock","Okay")</f>
        <v>Over Stock</v>
      </c>
      <c r="O177" t="str">
        <f>IF(Table1[[#This Row],[CurrentStock]]&lt;Table1[[#This Row],[ReorderLevel]],"Reorder","Okay")</f>
        <v>Okay</v>
      </c>
    </row>
    <row r="178" spans="1:15" x14ac:dyDescent="0.3">
      <c r="A178">
        <v>62326</v>
      </c>
      <c r="B178" t="s">
        <v>18</v>
      </c>
      <c r="C178" t="s">
        <v>28</v>
      </c>
      <c r="D178">
        <v>413</v>
      </c>
      <c r="E178">
        <v>20</v>
      </c>
      <c r="F178">
        <v>413.13</v>
      </c>
      <c r="G178" t="s">
        <v>33</v>
      </c>
      <c r="H178" s="1">
        <v>45445</v>
      </c>
      <c r="I178" s="1">
        <v>45471</v>
      </c>
      <c r="J178" t="s">
        <v>39</v>
      </c>
      <c r="K178" t="b">
        <f>Table1[[#This Row],[CurrentStock]]&lt;Table1[[#This Row],[ReorderLevel]]</f>
        <v>0</v>
      </c>
      <c r="L178" s="9">
        <f>Table1[[#This Row],[CurrentStock]]*Table1[[#This Row],[UnitPrice]]</f>
        <v>170622.69</v>
      </c>
      <c r="M178" t="str">
        <f>IF(Table1[[#This Row],[ReorderLevel]]-Table1[[#This Row],[CurrentStock]]&gt;0,Table1[[#This Row],[ReorderLevel]]-Table1[[#This Row],[CurrentStock]],"")</f>
        <v/>
      </c>
      <c r="N178" t="str">
        <f>IF(Table1[[#This Row],[CurrentStock]]&gt;Table1[[#This Row],[ReorderLevel]]*3,"Over Stock","Okay")</f>
        <v>Over Stock</v>
      </c>
      <c r="O178" t="str">
        <f>IF(Table1[[#This Row],[CurrentStock]]&lt;Table1[[#This Row],[ReorderLevel]],"Reorder","Okay")</f>
        <v>Okay</v>
      </c>
    </row>
    <row r="179" spans="1:15" x14ac:dyDescent="0.3">
      <c r="A179">
        <v>67660</v>
      </c>
      <c r="B179" t="s">
        <v>21</v>
      </c>
      <c r="C179" t="s">
        <v>31</v>
      </c>
      <c r="D179">
        <v>121</v>
      </c>
      <c r="E179">
        <v>30</v>
      </c>
      <c r="F179">
        <v>411.61</v>
      </c>
      <c r="G179" t="s">
        <v>32</v>
      </c>
      <c r="H179" s="1">
        <v>45397</v>
      </c>
      <c r="I179" s="1">
        <v>45412</v>
      </c>
      <c r="J179" t="s">
        <v>38</v>
      </c>
      <c r="K179" t="b">
        <f>Table1[[#This Row],[CurrentStock]]&lt;Table1[[#This Row],[ReorderLevel]]</f>
        <v>0</v>
      </c>
      <c r="L179" s="9">
        <f>Table1[[#This Row],[CurrentStock]]*Table1[[#This Row],[UnitPrice]]</f>
        <v>49804.810000000005</v>
      </c>
      <c r="M179" t="str">
        <f>IF(Table1[[#This Row],[ReorderLevel]]-Table1[[#This Row],[CurrentStock]]&gt;0,Table1[[#This Row],[ReorderLevel]]-Table1[[#This Row],[CurrentStock]],"")</f>
        <v/>
      </c>
      <c r="N179" t="str">
        <f>IF(Table1[[#This Row],[CurrentStock]]&gt;Table1[[#This Row],[ReorderLevel]]*3,"Over Stock","Okay")</f>
        <v>Over Stock</v>
      </c>
      <c r="O179" t="str">
        <f>IF(Table1[[#This Row],[CurrentStock]]&lt;Table1[[#This Row],[ReorderLevel]],"Reorder","Okay")</f>
        <v>Okay</v>
      </c>
    </row>
    <row r="180" spans="1:15" x14ac:dyDescent="0.3">
      <c r="A180">
        <v>36289</v>
      </c>
      <c r="B180" t="s">
        <v>12</v>
      </c>
      <c r="C180" t="s">
        <v>28</v>
      </c>
      <c r="D180">
        <v>72</v>
      </c>
      <c r="E180">
        <v>150</v>
      </c>
      <c r="F180">
        <v>308.41000000000003</v>
      </c>
      <c r="G180" t="s">
        <v>34</v>
      </c>
      <c r="H180" s="1">
        <v>45332</v>
      </c>
      <c r="I180" s="1">
        <v>45348</v>
      </c>
      <c r="J180" t="s">
        <v>39</v>
      </c>
      <c r="K180" t="b">
        <f>Table1[[#This Row],[CurrentStock]]&lt;Table1[[#This Row],[ReorderLevel]]</f>
        <v>1</v>
      </c>
      <c r="L180" s="9">
        <f>Table1[[#This Row],[CurrentStock]]*Table1[[#This Row],[UnitPrice]]</f>
        <v>22205.52</v>
      </c>
      <c r="M180">
        <f>IF(Table1[[#This Row],[ReorderLevel]]-Table1[[#This Row],[CurrentStock]]&gt;0,Table1[[#This Row],[ReorderLevel]]-Table1[[#This Row],[CurrentStock]],"")</f>
        <v>78</v>
      </c>
      <c r="N180" t="str">
        <f>IF(Table1[[#This Row],[CurrentStock]]&gt;Table1[[#This Row],[ReorderLevel]]*3,"Over Stock","Okay")</f>
        <v>Okay</v>
      </c>
      <c r="O180" t="str">
        <f>IF(Table1[[#This Row],[CurrentStock]]&lt;Table1[[#This Row],[ReorderLevel]],"Reorder","Okay")</f>
        <v>Reorder</v>
      </c>
    </row>
    <row r="181" spans="1:15" x14ac:dyDescent="0.3">
      <c r="A181">
        <v>76435</v>
      </c>
      <c r="B181" t="s">
        <v>14</v>
      </c>
      <c r="C181" t="s">
        <v>27</v>
      </c>
      <c r="D181">
        <v>110</v>
      </c>
      <c r="E181">
        <v>40</v>
      </c>
      <c r="F181">
        <v>244.78</v>
      </c>
      <c r="G181" t="s">
        <v>33</v>
      </c>
      <c r="H181" s="1">
        <v>45375</v>
      </c>
      <c r="I181" s="1">
        <v>45395</v>
      </c>
      <c r="J181" t="s">
        <v>39</v>
      </c>
      <c r="K181" t="b">
        <f>Table1[[#This Row],[CurrentStock]]&lt;Table1[[#This Row],[ReorderLevel]]</f>
        <v>0</v>
      </c>
      <c r="L181" s="9">
        <f>Table1[[#This Row],[CurrentStock]]*Table1[[#This Row],[UnitPrice]]</f>
        <v>26925.8</v>
      </c>
      <c r="M181" t="str">
        <f>IF(Table1[[#This Row],[ReorderLevel]]-Table1[[#This Row],[CurrentStock]]&gt;0,Table1[[#This Row],[ReorderLevel]]-Table1[[#This Row],[CurrentStock]],"")</f>
        <v/>
      </c>
      <c r="N181" t="str">
        <f>IF(Table1[[#This Row],[CurrentStock]]&gt;Table1[[#This Row],[ReorderLevel]]*3,"Over Stock","Okay")</f>
        <v>Okay</v>
      </c>
      <c r="O181" t="str">
        <f>IF(Table1[[#This Row],[CurrentStock]]&lt;Table1[[#This Row],[ReorderLevel]],"Reorder","Okay")</f>
        <v>Okay</v>
      </c>
    </row>
    <row r="182" spans="1:15" x14ac:dyDescent="0.3">
      <c r="A182">
        <v>25313</v>
      </c>
      <c r="B182" t="s">
        <v>25</v>
      </c>
      <c r="C182" t="s">
        <v>31</v>
      </c>
      <c r="D182">
        <v>2</v>
      </c>
      <c r="E182">
        <v>150</v>
      </c>
      <c r="F182">
        <v>265.57</v>
      </c>
      <c r="G182" t="s">
        <v>34</v>
      </c>
      <c r="H182" s="1">
        <v>45653</v>
      </c>
      <c r="I182" s="1">
        <v>45671</v>
      </c>
      <c r="J182" t="s">
        <v>38</v>
      </c>
      <c r="K182" t="b">
        <f>Table1[[#This Row],[CurrentStock]]&lt;Table1[[#This Row],[ReorderLevel]]</f>
        <v>1</v>
      </c>
      <c r="L182" s="9">
        <f>Table1[[#This Row],[CurrentStock]]*Table1[[#This Row],[UnitPrice]]</f>
        <v>531.14</v>
      </c>
      <c r="M182">
        <f>IF(Table1[[#This Row],[ReorderLevel]]-Table1[[#This Row],[CurrentStock]]&gt;0,Table1[[#This Row],[ReorderLevel]]-Table1[[#This Row],[CurrentStock]],"")</f>
        <v>148</v>
      </c>
      <c r="N182" t="str">
        <f>IF(Table1[[#This Row],[CurrentStock]]&gt;Table1[[#This Row],[ReorderLevel]]*3,"Over Stock","Okay")</f>
        <v>Okay</v>
      </c>
      <c r="O182" t="str">
        <f>IF(Table1[[#This Row],[CurrentStock]]&lt;Table1[[#This Row],[ReorderLevel]],"Reorder","Okay")</f>
        <v>Reorder</v>
      </c>
    </row>
    <row r="183" spans="1:15" x14ac:dyDescent="0.3">
      <c r="A183">
        <v>38380</v>
      </c>
      <c r="B183" t="s">
        <v>10</v>
      </c>
      <c r="C183" t="s">
        <v>27</v>
      </c>
      <c r="D183">
        <v>24</v>
      </c>
      <c r="E183">
        <v>80</v>
      </c>
      <c r="F183">
        <v>309.79000000000002</v>
      </c>
      <c r="G183" t="s">
        <v>36</v>
      </c>
      <c r="H183" s="1">
        <v>45438</v>
      </c>
      <c r="I183" s="1">
        <v>45450</v>
      </c>
      <c r="J183" t="s">
        <v>38</v>
      </c>
      <c r="K183" t="b">
        <f>Table1[[#This Row],[CurrentStock]]&lt;Table1[[#This Row],[ReorderLevel]]</f>
        <v>1</v>
      </c>
      <c r="L183" s="9">
        <f>Table1[[#This Row],[CurrentStock]]*Table1[[#This Row],[UnitPrice]]</f>
        <v>7434.9600000000009</v>
      </c>
      <c r="M183">
        <f>IF(Table1[[#This Row],[ReorderLevel]]-Table1[[#This Row],[CurrentStock]]&gt;0,Table1[[#This Row],[ReorderLevel]]-Table1[[#This Row],[CurrentStock]],"")</f>
        <v>56</v>
      </c>
      <c r="N183" t="str">
        <f>IF(Table1[[#This Row],[CurrentStock]]&gt;Table1[[#This Row],[ReorderLevel]]*3,"Over Stock","Okay")</f>
        <v>Okay</v>
      </c>
      <c r="O183" t="str">
        <f>IF(Table1[[#This Row],[CurrentStock]]&lt;Table1[[#This Row],[ReorderLevel]],"Reorder","Okay")</f>
        <v>Reorder</v>
      </c>
    </row>
    <row r="184" spans="1:15" x14ac:dyDescent="0.3">
      <c r="A184">
        <v>12920</v>
      </c>
      <c r="B184" t="s">
        <v>15</v>
      </c>
      <c r="C184" t="s">
        <v>29</v>
      </c>
      <c r="D184">
        <v>453</v>
      </c>
      <c r="E184">
        <v>30</v>
      </c>
      <c r="F184">
        <v>328.37</v>
      </c>
      <c r="G184" t="s">
        <v>32</v>
      </c>
      <c r="H184" s="1">
        <v>45328</v>
      </c>
      <c r="I184" s="1">
        <v>45364</v>
      </c>
      <c r="J184" t="s">
        <v>38</v>
      </c>
      <c r="K184" t="b">
        <f>Table1[[#This Row],[CurrentStock]]&lt;Table1[[#This Row],[ReorderLevel]]</f>
        <v>0</v>
      </c>
      <c r="L184" s="9">
        <f>Table1[[#This Row],[CurrentStock]]*Table1[[#This Row],[UnitPrice]]</f>
        <v>148751.61000000002</v>
      </c>
      <c r="M184" t="str">
        <f>IF(Table1[[#This Row],[ReorderLevel]]-Table1[[#This Row],[CurrentStock]]&gt;0,Table1[[#This Row],[ReorderLevel]]-Table1[[#This Row],[CurrentStock]],"")</f>
        <v/>
      </c>
      <c r="N184" t="str">
        <f>IF(Table1[[#This Row],[CurrentStock]]&gt;Table1[[#This Row],[ReorderLevel]]*3,"Over Stock","Okay")</f>
        <v>Over Stock</v>
      </c>
      <c r="O184" t="str">
        <f>IF(Table1[[#This Row],[CurrentStock]]&lt;Table1[[#This Row],[ReorderLevel]],"Reorder","Okay")</f>
        <v>Okay</v>
      </c>
    </row>
    <row r="185" spans="1:15" x14ac:dyDescent="0.3">
      <c r="A185">
        <v>40027</v>
      </c>
      <c r="B185" t="s">
        <v>14</v>
      </c>
      <c r="C185" t="s">
        <v>27</v>
      </c>
      <c r="D185">
        <v>242</v>
      </c>
      <c r="E185">
        <v>40</v>
      </c>
      <c r="F185">
        <v>114.18</v>
      </c>
      <c r="G185" t="s">
        <v>35</v>
      </c>
      <c r="H185" s="1">
        <v>45498</v>
      </c>
      <c r="I185" s="1">
        <v>45535</v>
      </c>
      <c r="J185" t="s">
        <v>39</v>
      </c>
      <c r="K185" t="b">
        <f>Table1[[#This Row],[CurrentStock]]&lt;Table1[[#This Row],[ReorderLevel]]</f>
        <v>0</v>
      </c>
      <c r="L185" s="9">
        <f>Table1[[#This Row],[CurrentStock]]*Table1[[#This Row],[UnitPrice]]</f>
        <v>27631.56</v>
      </c>
      <c r="M185" t="str">
        <f>IF(Table1[[#This Row],[ReorderLevel]]-Table1[[#This Row],[CurrentStock]]&gt;0,Table1[[#This Row],[ReorderLevel]]-Table1[[#This Row],[CurrentStock]],"")</f>
        <v/>
      </c>
      <c r="N185" t="str">
        <f>IF(Table1[[#This Row],[CurrentStock]]&gt;Table1[[#This Row],[ReorderLevel]]*3,"Over Stock","Okay")</f>
        <v>Over Stock</v>
      </c>
      <c r="O185" t="str">
        <f>IF(Table1[[#This Row],[CurrentStock]]&lt;Table1[[#This Row],[ReorderLevel]],"Reorder","Okay")</f>
        <v>Okay</v>
      </c>
    </row>
    <row r="186" spans="1:15" x14ac:dyDescent="0.3">
      <c r="A186">
        <v>35963</v>
      </c>
      <c r="B186" t="s">
        <v>16</v>
      </c>
      <c r="C186" t="s">
        <v>30</v>
      </c>
      <c r="D186">
        <v>441</v>
      </c>
      <c r="E186">
        <v>80</v>
      </c>
      <c r="F186">
        <v>423.89</v>
      </c>
      <c r="G186" t="s">
        <v>34</v>
      </c>
      <c r="H186" s="1">
        <v>45584</v>
      </c>
      <c r="I186" s="1">
        <v>45592</v>
      </c>
      <c r="J186" t="s">
        <v>39</v>
      </c>
      <c r="K186" t="b">
        <f>Table1[[#This Row],[CurrentStock]]&lt;Table1[[#This Row],[ReorderLevel]]</f>
        <v>0</v>
      </c>
      <c r="L186" s="9">
        <f>Table1[[#This Row],[CurrentStock]]*Table1[[#This Row],[UnitPrice]]</f>
        <v>186935.49</v>
      </c>
      <c r="M186" t="str">
        <f>IF(Table1[[#This Row],[ReorderLevel]]-Table1[[#This Row],[CurrentStock]]&gt;0,Table1[[#This Row],[ReorderLevel]]-Table1[[#This Row],[CurrentStock]],"")</f>
        <v/>
      </c>
      <c r="N186" t="str">
        <f>IF(Table1[[#This Row],[CurrentStock]]&gt;Table1[[#This Row],[ReorderLevel]]*3,"Over Stock","Okay")</f>
        <v>Over Stock</v>
      </c>
      <c r="O186" t="str">
        <f>IF(Table1[[#This Row],[CurrentStock]]&lt;Table1[[#This Row],[ReorderLevel]],"Reorder","Okay")</f>
        <v>Okay</v>
      </c>
    </row>
    <row r="187" spans="1:15" x14ac:dyDescent="0.3">
      <c r="A187">
        <v>32015</v>
      </c>
      <c r="B187" t="s">
        <v>19</v>
      </c>
      <c r="C187" t="s">
        <v>28</v>
      </c>
      <c r="D187">
        <v>95</v>
      </c>
      <c r="E187">
        <v>20</v>
      </c>
      <c r="F187">
        <v>222.11</v>
      </c>
      <c r="G187" t="s">
        <v>34</v>
      </c>
      <c r="H187" s="1">
        <v>45408</v>
      </c>
      <c r="I187" s="1">
        <v>45446</v>
      </c>
      <c r="J187" t="s">
        <v>39</v>
      </c>
      <c r="K187" t="b">
        <f>Table1[[#This Row],[CurrentStock]]&lt;Table1[[#This Row],[ReorderLevel]]</f>
        <v>0</v>
      </c>
      <c r="L187" s="9">
        <f>Table1[[#This Row],[CurrentStock]]*Table1[[#This Row],[UnitPrice]]</f>
        <v>21100.45</v>
      </c>
      <c r="M187" t="str">
        <f>IF(Table1[[#This Row],[ReorderLevel]]-Table1[[#This Row],[CurrentStock]]&gt;0,Table1[[#This Row],[ReorderLevel]]-Table1[[#This Row],[CurrentStock]],"")</f>
        <v/>
      </c>
      <c r="N187" t="str">
        <f>IF(Table1[[#This Row],[CurrentStock]]&gt;Table1[[#This Row],[ReorderLevel]]*3,"Over Stock","Okay")</f>
        <v>Over Stock</v>
      </c>
      <c r="O187" t="str">
        <f>IF(Table1[[#This Row],[CurrentStock]]&lt;Table1[[#This Row],[ReorderLevel]],"Reorder","Okay")</f>
        <v>Okay</v>
      </c>
    </row>
    <row r="188" spans="1:15" x14ac:dyDescent="0.3">
      <c r="A188">
        <v>58364</v>
      </c>
      <c r="B188" t="s">
        <v>21</v>
      </c>
      <c r="C188" t="s">
        <v>31</v>
      </c>
      <c r="D188">
        <v>294</v>
      </c>
      <c r="E188">
        <v>30</v>
      </c>
      <c r="F188">
        <v>496.11</v>
      </c>
      <c r="G188" t="s">
        <v>33</v>
      </c>
      <c r="H188" s="1">
        <v>45477</v>
      </c>
      <c r="I188" s="1">
        <v>45493</v>
      </c>
      <c r="J188" t="s">
        <v>37</v>
      </c>
      <c r="K188" t="b">
        <f>Table1[[#This Row],[CurrentStock]]&lt;Table1[[#This Row],[ReorderLevel]]</f>
        <v>0</v>
      </c>
      <c r="L188" s="9">
        <f>Table1[[#This Row],[CurrentStock]]*Table1[[#This Row],[UnitPrice]]</f>
        <v>145856.34</v>
      </c>
      <c r="M188" t="str">
        <f>IF(Table1[[#This Row],[ReorderLevel]]-Table1[[#This Row],[CurrentStock]]&gt;0,Table1[[#This Row],[ReorderLevel]]-Table1[[#This Row],[CurrentStock]],"")</f>
        <v/>
      </c>
      <c r="N188" t="str">
        <f>IF(Table1[[#This Row],[CurrentStock]]&gt;Table1[[#This Row],[ReorderLevel]]*3,"Over Stock","Okay")</f>
        <v>Over Stock</v>
      </c>
      <c r="O188" t="str">
        <f>IF(Table1[[#This Row],[CurrentStock]]&lt;Table1[[#This Row],[ReorderLevel]],"Reorder","Okay")</f>
        <v>Okay</v>
      </c>
    </row>
    <row r="189" spans="1:15" x14ac:dyDescent="0.3">
      <c r="A189">
        <v>98397</v>
      </c>
      <c r="B189" t="s">
        <v>19</v>
      </c>
      <c r="C189" t="s">
        <v>28</v>
      </c>
      <c r="D189">
        <v>281</v>
      </c>
      <c r="E189">
        <v>50</v>
      </c>
      <c r="F189">
        <v>454.97</v>
      </c>
      <c r="G189" t="s">
        <v>33</v>
      </c>
      <c r="H189" s="1">
        <v>45378</v>
      </c>
      <c r="I189" s="1">
        <v>45396</v>
      </c>
      <c r="J189" t="s">
        <v>38</v>
      </c>
      <c r="K189" t="b">
        <f>Table1[[#This Row],[CurrentStock]]&lt;Table1[[#This Row],[ReorderLevel]]</f>
        <v>0</v>
      </c>
      <c r="L189" s="9">
        <f>Table1[[#This Row],[CurrentStock]]*Table1[[#This Row],[UnitPrice]]</f>
        <v>127846.57</v>
      </c>
      <c r="M189" t="str">
        <f>IF(Table1[[#This Row],[ReorderLevel]]-Table1[[#This Row],[CurrentStock]]&gt;0,Table1[[#This Row],[ReorderLevel]]-Table1[[#This Row],[CurrentStock]],"")</f>
        <v/>
      </c>
      <c r="N189" t="str">
        <f>IF(Table1[[#This Row],[CurrentStock]]&gt;Table1[[#This Row],[ReorderLevel]]*3,"Over Stock","Okay")</f>
        <v>Over Stock</v>
      </c>
      <c r="O189" t="str">
        <f>IF(Table1[[#This Row],[CurrentStock]]&lt;Table1[[#This Row],[ReorderLevel]],"Reorder","Okay")</f>
        <v>Okay</v>
      </c>
    </row>
    <row r="190" spans="1:15" x14ac:dyDescent="0.3">
      <c r="A190">
        <v>80135</v>
      </c>
      <c r="B190" t="s">
        <v>26</v>
      </c>
      <c r="C190" t="s">
        <v>30</v>
      </c>
      <c r="D190">
        <v>421</v>
      </c>
      <c r="E190">
        <v>80</v>
      </c>
      <c r="F190">
        <v>221.4</v>
      </c>
      <c r="G190" t="s">
        <v>35</v>
      </c>
      <c r="H190" s="1">
        <v>45607</v>
      </c>
      <c r="I190" s="1">
        <v>45625</v>
      </c>
      <c r="J190" t="s">
        <v>39</v>
      </c>
      <c r="K190" t="b">
        <f>Table1[[#This Row],[CurrentStock]]&lt;Table1[[#This Row],[ReorderLevel]]</f>
        <v>0</v>
      </c>
      <c r="L190" s="9">
        <f>Table1[[#This Row],[CurrentStock]]*Table1[[#This Row],[UnitPrice]]</f>
        <v>93209.400000000009</v>
      </c>
      <c r="M190" t="str">
        <f>IF(Table1[[#This Row],[ReorderLevel]]-Table1[[#This Row],[CurrentStock]]&gt;0,Table1[[#This Row],[ReorderLevel]]-Table1[[#This Row],[CurrentStock]],"")</f>
        <v/>
      </c>
      <c r="N190" t="str">
        <f>IF(Table1[[#This Row],[CurrentStock]]&gt;Table1[[#This Row],[ReorderLevel]]*3,"Over Stock","Okay")</f>
        <v>Over Stock</v>
      </c>
      <c r="O190" t="str">
        <f>IF(Table1[[#This Row],[CurrentStock]]&lt;Table1[[#This Row],[ReorderLevel]],"Reorder","Okay")</f>
        <v>Okay</v>
      </c>
    </row>
    <row r="191" spans="1:15" x14ac:dyDescent="0.3">
      <c r="A191">
        <v>23760</v>
      </c>
      <c r="B191" t="s">
        <v>19</v>
      </c>
      <c r="C191" t="s">
        <v>28</v>
      </c>
      <c r="D191">
        <v>344</v>
      </c>
      <c r="E191">
        <v>20</v>
      </c>
      <c r="F191">
        <v>202.53</v>
      </c>
      <c r="G191" t="s">
        <v>34</v>
      </c>
      <c r="H191" s="1">
        <v>45454</v>
      </c>
      <c r="I191" s="1">
        <v>45463</v>
      </c>
      <c r="J191" t="s">
        <v>37</v>
      </c>
      <c r="K191" t="b">
        <f>Table1[[#This Row],[CurrentStock]]&lt;Table1[[#This Row],[ReorderLevel]]</f>
        <v>0</v>
      </c>
      <c r="L191" s="9">
        <f>Table1[[#This Row],[CurrentStock]]*Table1[[#This Row],[UnitPrice]]</f>
        <v>69670.320000000007</v>
      </c>
      <c r="M191" t="str">
        <f>IF(Table1[[#This Row],[ReorderLevel]]-Table1[[#This Row],[CurrentStock]]&gt;0,Table1[[#This Row],[ReorderLevel]]-Table1[[#This Row],[CurrentStock]],"")</f>
        <v/>
      </c>
      <c r="N191" t="str">
        <f>IF(Table1[[#This Row],[CurrentStock]]&gt;Table1[[#This Row],[ReorderLevel]]*3,"Over Stock","Okay")</f>
        <v>Over Stock</v>
      </c>
      <c r="O191" t="str">
        <f>IF(Table1[[#This Row],[CurrentStock]]&lt;Table1[[#This Row],[ReorderLevel]],"Reorder","Okay")</f>
        <v>Okay</v>
      </c>
    </row>
    <row r="192" spans="1:15" x14ac:dyDescent="0.3">
      <c r="A192">
        <v>86619</v>
      </c>
      <c r="B192" t="s">
        <v>15</v>
      </c>
      <c r="C192" t="s">
        <v>29</v>
      </c>
      <c r="D192">
        <v>194</v>
      </c>
      <c r="E192">
        <v>100</v>
      </c>
      <c r="F192">
        <v>89.03</v>
      </c>
      <c r="G192" t="s">
        <v>35</v>
      </c>
      <c r="H192" s="1">
        <v>45384</v>
      </c>
      <c r="I192" s="1">
        <v>45398</v>
      </c>
      <c r="J192" t="s">
        <v>37</v>
      </c>
      <c r="K192" t="b">
        <f>Table1[[#This Row],[CurrentStock]]&lt;Table1[[#This Row],[ReorderLevel]]</f>
        <v>0</v>
      </c>
      <c r="L192" s="9">
        <f>Table1[[#This Row],[CurrentStock]]*Table1[[#This Row],[UnitPrice]]</f>
        <v>17271.82</v>
      </c>
      <c r="M192" t="str">
        <f>IF(Table1[[#This Row],[ReorderLevel]]-Table1[[#This Row],[CurrentStock]]&gt;0,Table1[[#This Row],[ReorderLevel]]-Table1[[#This Row],[CurrentStock]],"")</f>
        <v/>
      </c>
      <c r="N192" t="str">
        <f>IF(Table1[[#This Row],[CurrentStock]]&gt;Table1[[#This Row],[ReorderLevel]]*3,"Over Stock","Okay")</f>
        <v>Okay</v>
      </c>
      <c r="O192" t="str">
        <f>IF(Table1[[#This Row],[CurrentStock]]&lt;Table1[[#This Row],[ReorderLevel]],"Reorder","Okay")</f>
        <v>Okay</v>
      </c>
    </row>
    <row r="193" spans="1:15" x14ac:dyDescent="0.3">
      <c r="A193">
        <v>95112</v>
      </c>
      <c r="B193" t="s">
        <v>17</v>
      </c>
      <c r="C193" t="s">
        <v>30</v>
      </c>
      <c r="D193">
        <v>263</v>
      </c>
      <c r="E193">
        <v>40</v>
      </c>
      <c r="F193">
        <v>474.55</v>
      </c>
      <c r="G193" t="s">
        <v>32</v>
      </c>
      <c r="H193" s="1">
        <v>45604</v>
      </c>
      <c r="I193" s="1">
        <v>45628</v>
      </c>
      <c r="J193" t="s">
        <v>37</v>
      </c>
      <c r="K193" t="b">
        <f>Table1[[#This Row],[CurrentStock]]&lt;Table1[[#This Row],[ReorderLevel]]</f>
        <v>0</v>
      </c>
      <c r="L193" s="9">
        <f>Table1[[#This Row],[CurrentStock]]*Table1[[#This Row],[UnitPrice]]</f>
        <v>124806.65000000001</v>
      </c>
      <c r="M193" t="str">
        <f>IF(Table1[[#This Row],[ReorderLevel]]-Table1[[#This Row],[CurrentStock]]&gt;0,Table1[[#This Row],[ReorderLevel]]-Table1[[#This Row],[CurrentStock]],"")</f>
        <v/>
      </c>
      <c r="N193" t="str">
        <f>IF(Table1[[#This Row],[CurrentStock]]&gt;Table1[[#This Row],[ReorderLevel]]*3,"Over Stock","Okay")</f>
        <v>Over Stock</v>
      </c>
      <c r="O193" t="str">
        <f>IF(Table1[[#This Row],[CurrentStock]]&lt;Table1[[#This Row],[ReorderLevel]],"Reorder","Okay")</f>
        <v>Okay</v>
      </c>
    </row>
    <row r="194" spans="1:15" x14ac:dyDescent="0.3">
      <c r="A194">
        <v>93310</v>
      </c>
      <c r="B194" t="s">
        <v>17</v>
      </c>
      <c r="C194" t="s">
        <v>30</v>
      </c>
      <c r="D194">
        <v>164</v>
      </c>
      <c r="E194">
        <v>20</v>
      </c>
      <c r="F194">
        <v>422.86</v>
      </c>
      <c r="G194" t="s">
        <v>34</v>
      </c>
      <c r="H194" s="1">
        <v>45335</v>
      </c>
      <c r="I194" s="1">
        <v>45367</v>
      </c>
      <c r="J194" t="s">
        <v>38</v>
      </c>
      <c r="K194" t="b">
        <f>Table1[[#This Row],[CurrentStock]]&lt;Table1[[#This Row],[ReorderLevel]]</f>
        <v>0</v>
      </c>
      <c r="L194" s="9">
        <f>Table1[[#This Row],[CurrentStock]]*Table1[[#This Row],[UnitPrice]]</f>
        <v>69349.040000000008</v>
      </c>
      <c r="M194" t="str">
        <f>IF(Table1[[#This Row],[ReorderLevel]]-Table1[[#This Row],[CurrentStock]]&gt;0,Table1[[#This Row],[ReorderLevel]]-Table1[[#This Row],[CurrentStock]],"")</f>
        <v/>
      </c>
      <c r="N194" t="str">
        <f>IF(Table1[[#This Row],[CurrentStock]]&gt;Table1[[#This Row],[ReorderLevel]]*3,"Over Stock","Okay")</f>
        <v>Over Stock</v>
      </c>
      <c r="O194" t="str">
        <f>IF(Table1[[#This Row],[CurrentStock]]&lt;Table1[[#This Row],[ReorderLevel]],"Reorder","Okay")</f>
        <v>Okay</v>
      </c>
    </row>
    <row r="195" spans="1:15" x14ac:dyDescent="0.3">
      <c r="A195">
        <v>10281</v>
      </c>
      <c r="B195" t="s">
        <v>17</v>
      </c>
      <c r="C195" t="s">
        <v>30</v>
      </c>
      <c r="D195">
        <v>369</v>
      </c>
      <c r="E195">
        <v>100</v>
      </c>
      <c r="F195">
        <v>33.26</v>
      </c>
      <c r="G195" t="s">
        <v>36</v>
      </c>
      <c r="H195" s="1">
        <v>45584</v>
      </c>
      <c r="I195" s="1">
        <v>45608</v>
      </c>
      <c r="J195" t="s">
        <v>37</v>
      </c>
      <c r="K195" t="b">
        <f>Table1[[#This Row],[CurrentStock]]&lt;Table1[[#This Row],[ReorderLevel]]</f>
        <v>0</v>
      </c>
      <c r="L195" s="9">
        <f>Table1[[#This Row],[CurrentStock]]*Table1[[#This Row],[UnitPrice]]</f>
        <v>12272.939999999999</v>
      </c>
      <c r="M195" t="str">
        <f>IF(Table1[[#This Row],[ReorderLevel]]-Table1[[#This Row],[CurrentStock]]&gt;0,Table1[[#This Row],[ReorderLevel]]-Table1[[#This Row],[CurrentStock]],"")</f>
        <v/>
      </c>
      <c r="N195" t="str">
        <f>IF(Table1[[#This Row],[CurrentStock]]&gt;Table1[[#This Row],[ReorderLevel]]*3,"Over Stock","Okay")</f>
        <v>Over Stock</v>
      </c>
      <c r="O195" t="str">
        <f>IF(Table1[[#This Row],[CurrentStock]]&lt;Table1[[#This Row],[ReorderLevel]],"Reorder","Okay")</f>
        <v>Okay</v>
      </c>
    </row>
    <row r="196" spans="1:15" x14ac:dyDescent="0.3">
      <c r="A196">
        <v>35611</v>
      </c>
      <c r="B196" t="s">
        <v>15</v>
      </c>
      <c r="C196" t="s">
        <v>29</v>
      </c>
      <c r="D196">
        <v>484</v>
      </c>
      <c r="E196">
        <v>80</v>
      </c>
      <c r="F196">
        <v>48.84</v>
      </c>
      <c r="G196" t="s">
        <v>33</v>
      </c>
      <c r="H196" s="1">
        <v>45452</v>
      </c>
      <c r="I196" s="1">
        <v>45470</v>
      </c>
      <c r="J196" t="s">
        <v>37</v>
      </c>
      <c r="K196" t="b">
        <f>Table1[[#This Row],[CurrentStock]]&lt;Table1[[#This Row],[ReorderLevel]]</f>
        <v>0</v>
      </c>
      <c r="L196" s="9">
        <f>Table1[[#This Row],[CurrentStock]]*Table1[[#This Row],[UnitPrice]]</f>
        <v>23638.560000000001</v>
      </c>
      <c r="M196" t="str">
        <f>IF(Table1[[#This Row],[ReorderLevel]]-Table1[[#This Row],[CurrentStock]]&gt;0,Table1[[#This Row],[ReorderLevel]]-Table1[[#This Row],[CurrentStock]],"")</f>
        <v/>
      </c>
      <c r="N196" t="str">
        <f>IF(Table1[[#This Row],[CurrentStock]]&gt;Table1[[#This Row],[ReorderLevel]]*3,"Over Stock","Okay")</f>
        <v>Over Stock</v>
      </c>
      <c r="O196" t="str">
        <f>IF(Table1[[#This Row],[CurrentStock]]&lt;Table1[[#This Row],[ReorderLevel]],"Reorder","Okay")</f>
        <v>Okay</v>
      </c>
    </row>
    <row r="197" spans="1:15" x14ac:dyDescent="0.3">
      <c r="A197">
        <v>25398</v>
      </c>
      <c r="B197" t="s">
        <v>25</v>
      </c>
      <c r="C197" t="s">
        <v>31</v>
      </c>
      <c r="D197">
        <v>298</v>
      </c>
      <c r="E197">
        <v>100</v>
      </c>
      <c r="F197">
        <v>476.15</v>
      </c>
      <c r="G197" t="s">
        <v>32</v>
      </c>
      <c r="H197" s="1">
        <v>45597</v>
      </c>
      <c r="I197" s="1">
        <v>45630</v>
      </c>
      <c r="J197" t="s">
        <v>39</v>
      </c>
      <c r="K197" t="b">
        <f>Table1[[#This Row],[CurrentStock]]&lt;Table1[[#This Row],[ReorderLevel]]</f>
        <v>0</v>
      </c>
      <c r="L197" s="9">
        <f>Table1[[#This Row],[CurrentStock]]*Table1[[#This Row],[UnitPrice]]</f>
        <v>141892.69999999998</v>
      </c>
      <c r="M197" t="str">
        <f>IF(Table1[[#This Row],[ReorderLevel]]-Table1[[#This Row],[CurrentStock]]&gt;0,Table1[[#This Row],[ReorderLevel]]-Table1[[#This Row],[CurrentStock]],"")</f>
        <v/>
      </c>
      <c r="N197" t="str">
        <f>IF(Table1[[#This Row],[CurrentStock]]&gt;Table1[[#This Row],[ReorderLevel]]*3,"Over Stock","Okay")</f>
        <v>Okay</v>
      </c>
      <c r="O197" t="str">
        <f>IF(Table1[[#This Row],[CurrentStock]]&lt;Table1[[#This Row],[ReorderLevel]],"Reorder","Okay")</f>
        <v>Okay</v>
      </c>
    </row>
    <row r="198" spans="1:15" x14ac:dyDescent="0.3">
      <c r="A198">
        <v>11969</v>
      </c>
      <c r="B198" t="s">
        <v>14</v>
      </c>
      <c r="C198" t="s">
        <v>27</v>
      </c>
      <c r="D198">
        <v>339</v>
      </c>
      <c r="E198">
        <v>150</v>
      </c>
      <c r="F198">
        <v>19.84</v>
      </c>
      <c r="G198" t="s">
        <v>33</v>
      </c>
      <c r="H198" s="1">
        <v>45592</v>
      </c>
      <c r="I198" s="1">
        <v>45612</v>
      </c>
      <c r="J198" t="s">
        <v>38</v>
      </c>
      <c r="K198" t="b">
        <f>Table1[[#This Row],[CurrentStock]]&lt;Table1[[#This Row],[ReorderLevel]]</f>
        <v>0</v>
      </c>
      <c r="L198" s="9">
        <f>Table1[[#This Row],[CurrentStock]]*Table1[[#This Row],[UnitPrice]]</f>
        <v>6725.76</v>
      </c>
      <c r="M198" t="str">
        <f>IF(Table1[[#This Row],[ReorderLevel]]-Table1[[#This Row],[CurrentStock]]&gt;0,Table1[[#This Row],[ReorderLevel]]-Table1[[#This Row],[CurrentStock]],"")</f>
        <v/>
      </c>
      <c r="N198" t="str">
        <f>IF(Table1[[#This Row],[CurrentStock]]&gt;Table1[[#This Row],[ReorderLevel]]*3,"Over Stock","Okay")</f>
        <v>Okay</v>
      </c>
      <c r="O198" t="str">
        <f>IF(Table1[[#This Row],[CurrentStock]]&lt;Table1[[#This Row],[ReorderLevel]],"Reorder","Okay")</f>
        <v>Okay</v>
      </c>
    </row>
    <row r="199" spans="1:15" x14ac:dyDescent="0.3">
      <c r="A199">
        <v>58320</v>
      </c>
      <c r="B199" t="s">
        <v>24</v>
      </c>
      <c r="C199" t="s">
        <v>31</v>
      </c>
      <c r="D199">
        <v>128</v>
      </c>
      <c r="E199">
        <v>150</v>
      </c>
      <c r="F199">
        <v>337.94</v>
      </c>
      <c r="G199" t="s">
        <v>33</v>
      </c>
      <c r="H199" s="1">
        <v>45643</v>
      </c>
      <c r="I199" s="1">
        <v>45652</v>
      </c>
      <c r="J199" t="s">
        <v>38</v>
      </c>
      <c r="K199" t="b">
        <f>Table1[[#This Row],[CurrentStock]]&lt;Table1[[#This Row],[ReorderLevel]]</f>
        <v>1</v>
      </c>
      <c r="L199" s="9">
        <f>Table1[[#This Row],[CurrentStock]]*Table1[[#This Row],[UnitPrice]]</f>
        <v>43256.32</v>
      </c>
      <c r="M199">
        <f>IF(Table1[[#This Row],[ReorderLevel]]-Table1[[#This Row],[CurrentStock]]&gt;0,Table1[[#This Row],[ReorderLevel]]-Table1[[#This Row],[CurrentStock]],"")</f>
        <v>22</v>
      </c>
      <c r="N199" t="str">
        <f>IF(Table1[[#This Row],[CurrentStock]]&gt;Table1[[#This Row],[ReorderLevel]]*3,"Over Stock","Okay")</f>
        <v>Okay</v>
      </c>
      <c r="O199" t="str">
        <f>IF(Table1[[#This Row],[CurrentStock]]&lt;Table1[[#This Row],[ReorderLevel]],"Reorder","Okay")</f>
        <v>Reorder</v>
      </c>
    </row>
    <row r="200" spans="1:15" x14ac:dyDescent="0.3">
      <c r="A200">
        <v>60138</v>
      </c>
      <c r="B200" t="s">
        <v>21</v>
      </c>
      <c r="C200" t="s">
        <v>31</v>
      </c>
      <c r="D200">
        <v>113</v>
      </c>
      <c r="E200">
        <v>30</v>
      </c>
      <c r="F200">
        <v>310.83</v>
      </c>
      <c r="G200" t="s">
        <v>35</v>
      </c>
      <c r="H200" s="1">
        <v>45427</v>
      </c>
      <c r="I200" s="1">
        <v>45443</v>
      </c>
      <c r="J200" t="s">
        <v>39</v>
      </c>
      <c r="K200" t="b">
        <f>Table1[[#This Row],[CurrentStock]]&lt;Table1[[#This Row],[ReorderLevel]]</f>
        <v>0</v>
      </c>
      <c r="L200" s="9">
        <f>Table1[[#This Row],[CurrentStock]]*Table1[[#This Row],[UnitPrice]]</f>
        <v>35123.79</v>
      </c>
      <c r="M200" t="str">
        <f>IF(Table1[[#This Row],[ReorderLevel]]-Table1[[#This Row],[CurrentStock]]&gt;0,Table1[[#This Row],[ReorderLevel]]-Table1[[#This Row],[CurrentStock]],"")</f>
        <v/>
      </c>
      <c r="N200" t="str">
        <f>IF(Table1[[#This Row],[CurrentStock]]&gt;Table1[[#This Row],[ReorderLevel]]*3,"Over Stock","Okay")</f>
        <v>Over Stock</v>
      </c>
      <c r="O200" t="str">
        <f>IF(Table1[[#This Row],[CurrentStock]]&lt;Table1[[#This Row],[ReorderLevel]],"Reorder","Okay")</f>
        <v>Okay</v>
      </c>
    </row>
    <row r="201" spans="1:15" x14ac:dyDescent="0.3">
      <c r="A201">
        <v>36984</v>
      </c>
      <c r="B201" t="s">
        <v>10</v>
      </c>
      <c r="C201" t="s">
        <v>27</v>
      </c>
      <c r="D201">
        <v>0</v>
      </c>
      <c r="E201">
        <v>40</v>
      </c>
      <c r="F201">
        <v>470.73</v>
      </c>
      <c r="G201" t="s">
        <v>33</v>
      </c>
      <c r="H201" s="1">
        <v>45433</v>
      </c>
      <c r="I201" s="1">
        <v>45442</v>
      </c>
      <c r="J201" t="s">
        <v>39</v>
      </c>
      <c r="K201" t="b">
        <f>Table1[[#This Row],[CurrentStock]]&lt;Table1[[#This Row],[ReorderLevel]]</f>
        <v>1</v>
      </c>
      <c r="L201" s="9">
        <f>Table1[[#This Row],[CurrentStock]]*Table1[[#This Row],[UnitPrice]]</f>
        <v>0</v>
      </c>
      <c r="M201">
        <f>IF(Table1[[#This Row],[ReorderLevel]]-Table1[[#This Row],[CurrentStock]]&gt;0,Table1[[#This Row],[ReorderLevel]]-Table1[[#This Row],[CurrentStock]],"")</f>
        <v>40</v>
      </c>
      <c r="N201" t="str">
        <f>IF(Table1[[#This Row],[CurrentStock]]&gt;Table1[[#This Row],[ReorderLevel]]*3,"Over Stock","Okay")</f>
        <v>Okay</v>
      </c>
      <c r="O201" t="str">
        <f>IF(Table1[[#This Row],[CurrentStock]]&lt;Table1[[#This Row],[ReorderLevel]],"Reorder","Okay")</f>
        <v>Reorder</v>
      </c>
    </row>
    <row r="202" spans="1:15" x14ac:dyDescent="0.3">
      <c r="A202">
        <v>82460</v>
      </c>
      <c r="B202" t="s">
        <v>14</v>
      </c>
      <c r="C202" t="s">
        <v>27</v>
      </c>
      <c r="D202">
        <v>497</v>
      </c>
      <c r="E202">
        <v>100</v>
      </c>
      <c r="F202">
        <v>162.47</v>
      </c>
      <c r="G202" t="s">
        <v>35</v>
      </c>
      <c r="H202" s="1">
        <v>45452</v>
      </c>
      <c r="I202" s="1">
        <v>45481</v>
      </c>
      <c r="J202" t="s">
        <v>37</v>
      </c>
      <c r="K202" t="b">
        <f>Table1[[#This Row],[CurrentStock]]&lt;Table1[[#This Row],[ReorderLevel]]</f>
        <v>0</v>
      </c>
      <c r="L202" s="9">
        <f>Table1[[#This Row],[CurrentStock]]*Table1[[#This Row],[UnitPrice]]</f>
        <v>80747.59</v>
      </c>
      <c r="M202" t="str">
        <f>IF(Table1[[#This Row],[ReorderLevel]]-Table1[[#This Row],[CurrentStock]]&gt;0,Table1[[#This Row],[ReorderLevel]]-Table1[[#This Row],[CurrentStock]],"")</f>
        <v/>
      </c>
      <c r="N202" t="str">
        <f>IF(Table1[[#This Row],[CurrentStock]]&gt;Table1[[#This Row],[ReorderLevel]]*3,"Over Stock","Okay")</f>
        <v>Over Stock</v>
      </c>
      <c r="O202" t="str">
        <f>IF(Table1[[#This Row],[CurrentStock]]&lt;Table1[[#This Row],[ReorderLevel]],"Reorder","Okay")</f>
        <v>Okay</v>
      </c>
    </row>
    <row r="203" spans="1:15" x14ac:dyDescent="0.3">
      <c r="A203">
        <v>14114</v>
      </c>
      <c r="B203" t="s">
        <v>16</v>
      </c>
      <c r="C203" t="s">
        <v>30</v>
      </c>
      <c r="D203">
        <v>488</v>
      </c>
      <c r="E203">
        <v>40</v>
      </c>
      <c r="F203">
        <v>439.87</v>
      </c>
      <c r="G203" t="s">
        <v>33</v>
      </c>
      <c r="H203" s="1">
        <v>45393</v>
      </c>
      <c r="I203" s="1">
        <v>45401</v>
      </c>
      <c r="J203" t="s">
        <v>39</v>
      </c>
      <c r="K203" t="b">
        <f>Table1[[#This Row],[CurrentStock]]&lt;Table1[[#This Row],[ReorderLevel]]</f>
        <v>0</v>
      </c>
      <c r="L203" s="9">
        <f>Table1[[#This Row],[CurrentStock]]*Table1[[#This Row],[UnitPrice]]</f>
        <v>214656.56</v>
      </c>
      <c r="M203" t="str">
        <f>IF(Table1[[#This Row],[ReorderLevel]]-Table1[[#This Row],[CurrentStock]]&gt;0,Table1[[#This Row],[ReorderLevel]]-Table1[[#This Row],[CurrentStock]],"")</f>
        <v/>
      </c>
      <c r="N203" t="str">
        <f>IF(Table1[[#This Row],[CurrentStock]]&gt;Table1[[#This Row],[ReorderLevel]]*3,"Over Stock","Okay")</f>
        <v>Over Stock</v>
      </c>
      <c r="O203" t="str">
        <f>IF(Table1[[#This Row],[CurrentStock]]&lt;Table1[[#This Row],[ReorderLevel]],"Reorder","Okay")</f>
        <v>Okay</v>
      </c>
    </row>
    <row r="204" spans="1:15" x14ac:dyDescent="0.3">
      <c r="A204">
        <v>61924</v>
      </c>
      <c r="B204" t="s">
        <v>26</v>
      </c>
      <c r="C204" t="s">
        <v>30</v>
      </c>
      <c r="D204">
        <v>278</v>
      </c>
      <c r="E204">
        <v>40</v>
      </c>
      <c r="F204">
        <v>435.11</v>
      </c>
      <c r="G204" t="s">
        <v>35</v>
      </c>
      <c r="H204" s="1">
        <v>45420</v>
      </c>
      <c r="I204" s="1">
        <v>45448</v>
      </c>
      <c r="J204" t="s">
        <v>39</v>
      </c>
      <c r="K204" t="b">
        <f>Table1[[#This Row],[CurrentStock]]&lt;Table1[[#This Row],[ReorderLevel]]</f>
        <v>0</v>
      </c>
      <c r="L204" s="9">
        <f>Table1[[#This Row],[CurrentStock]]*Table1[[#This Row],[UnitPrice]]</f>
        <v>120960.58</v>
      </c>
      <c r="M204" t="str">
        <f>IF(Table1[[#This Row],[ReorderLevel]]-Table1[[#This Row],[CurrentStock]]&gt;0,Table1[[#This Row],[ReorderLevel]]-Table1[[#This Row],[CurrentStock]],"")</f>
        <v/>
      </c>
      <c r="N204" t="str">
        <f>IF(Table1[[#This Row],[CurrentStock]]&gt;Table1[[#This Row],[ReorderLevel]]*3,"Over Stock","Okay")</f>
        <v>Over Stock</v>
      </c>
      <c r="O204" t="str">
        <f>IF(Table1[[#This Row],[CurrentStock]]&lt;Table1[[#This Row],[ReorderLevel]],"Reorder","Okay")</f>
        <v>Okay</v>
      </c>
    </row>
    <row r="205" spans="1:15" x14ac:dyDescent="0.3">
      <c r="A205">
        <v>32443</v>
      </c>
      <c r="B205" t="s">
        <v>16</v>
      </c>
      <c r="C205" t="s">
        <v>30</v>
      </c>
      <c r="D205">
        <v>315</v>
      </c>
      <c r="E205">
        <v>80</v>
      </c>
      <c r="F205">
        <v>227.1</v>
      </c>
      <c r="G205" t="s">
        <v>33</v>
      </c>
      <c r="H205" s="1">
        <v>45596</v>
      </c>
      <c r="I205" s="1">
        <v>45632</v>
      </c>
      <c r="J205" t="s">
        <v>38</v>
      </c>
      <c r="K205" t="b">
        <f>Table1[[#This Row],[CurrentStock]]&lt;Table1[[#This Row],[ReorderLevel]]</f>
        <v>0</v>
      </c>
      <c r="L205" s="9">
        <f>Table1[[#This Row],[CurrentStock]]*Table1[[#This Row],[UnitPrice]]</f>
        <v>71536.5</v>
      </c>
      <c r="M205" t="str">
        <f>IF(Table1[[#This Row],[ReorderLevel]]-Table1[[#This Row],[CurrentStock]]&gt;0,Table1[[#This Row],[ReorderLevel]]-Table1[[#This Row],[CurrentStock]],"")</f>
        <v/>
      </c>
      <c r="N205" t="str">
        <f>IF(Table1[[#This Row],[CurrentStock]]&gt;Table1[[#This Row],[ReorderLevel]]*3,"Over Stock","Okay")</f>
        <v>Over Stock</v>
      </c>
      <c r="O205" t="str">
        <f>IF(Table1[[#This Row],[CurrentStock]]&lt;Table1[[#This Row],[ReorderLevel]],"Reorder","Okay")</f>
        <v>Okay</v>
      </c>
    </row>
    <row r="206" spans="1:15" x14ac:dyDescent="0.3">
      <c r="A206">
        <v>32612</v>
      </c>
      <c r="B206" t="s">
        <v>15</v>
      </c>
      <c r="C206" t="s">
        <v>29</v>
      </c>
      <c r="D206">
        <v>461</v>
      </c>
      <c r="E206">
        <v>30</v>
      </c>
      <c r="F206">
        <v>380.88</v>
      </c>
      <c r="G206" t="s">
        <v>33</v>
      </c>
      <c r="H206" s="1">
        <v>45556</v>
      </c>
      <c r="I206" s="1">
        <v>45563</v>
      </c>
      <c r="J206" t="s">
        <v>39</v>
      </c>
      <c r="K206" t="b">
        <f>Table1[[#This Row],[CurrentStock]]&lt;Table1[[#This Row],[ReorderLevel]]</f>
        <v>0</v>
      </c>
      <c r="L206" s="9">
        <f>Table1[[#This Row],[CurrentStock]]*Table1[[#This Row],[UnitPrice]]</f>
        <v>175585.68</v>
      </c>
      <c r="M206" t="str">
        <f>IF(Table1[[#This Row],[ReorderLevel]]-Table1[[#This Row],[CurrentStock]]&gt;0,Table1[[#This Row],[ReorderLevel]]-Table1[[#This Row],[CurrentStock]],"")</f>
        <v/>
      </c>
      <c r="N206" t="str">
        <f>IF(Table1[[#This Row],[CurrentStock]]&gt;Table1[[#This Row],[ReorderLevel]]*3,"Over Stock","Okay")</f>
        <v>Over Stock</v>
      </c>
      <c r="O206" t="str">
        <f>IF(Table1[[#This Row],[CurrentStock]]&lt;Table1[[#This Row],[ReorderLevel]],"Reorder","Okay")</f>
        <v>Okay</v>
      </c>
    </row>
    <row r="207" spans="1:15" x14ac:dyDescent="0.3">
      <c r="A207">
        <v>63551</v>
      </c>
      <c r="B207" t="s">
        <v>10</v>
      </c>
      <c r="C207" t="s">
        <v>27</v>
      </c>
      <c r="D207">
        <v>220</v>
      </c>
      <c r="E207">
        <v>30</v>
      </c>
      <c r="F207">
        <v>58.91</v>
      </c>
      <c r="G207" t="s">
        <v>36</v>
      </c>
      <c r="H207" s="1">
        <v>45424</v>
      </c>
      <c r="I207" s="1">
        <v>45462</v>
      </c>
      <c r="J207" t="s">
        <v>38</v>
      </c>
      <c r="K207" t="b">
        <f>Table1[[#This Row],[CurrentStock]]&lt;Table1[[#This Row],[ReorderLevel]]</f>
        <v>0</v>
      </c>
      <c r="L207" s="9">
        <f>Table1[[#This Row],[CurrentStock]]*Table1[[#This Row],[UnitPrice]]</f>
        <v>12960.199999999999</v>
      </c>
      <c r="M207" t="str">
        <f>IF(Table1[[#This Row],[ReorderLevel]]-Table1[[#This Row],[CurrentStock]]&gt;0,Table1[[#This Row],[ReorderLevel]]-Table1[[#This Row],[CurrentStock]],"")</f>
        <v/>
      </c>
      <c r="N207" t="str">
        <f>IF(Table1[[#This Row],[CurrentStock]]&gt;Table1[[#This Row],[ReorderLevel]]*3,"Over Stock","Okay")</f>
        <v>Over Stock</v>
      </c>
      <c r="O207" t="str">
        <f>IF(Table1[[#This Row],[CurrentStock]]&lt;Table1[[#This Row],[ReorderLevel]],"Reorder","Okay")</f>
        <v>Okay</v>
      </c>
    </row>
    <row r="208" spans="1:15" x14ac:dyDescent="0.3">
      <c r="A208">
        <v>43174</v>
      </c>
      <c r="B208" t="s">
        <v>11</v>
      </c>
      <c r="C208" t="s">
        <v>27</v>
      </c>
      <c r="D208">
        <v>270</v>
      </c>
      <c r="E208">
        <v>40</v>
      </c>
      <c r="F208">
        <v>383.62</v>
      </c>
      <c r="G208" t="s">
        <v>32</v>
      </c>
      <c r="H208" s="1">
        <v>45617</v>
      </c>
      <c r="I208" s="1">
        <v>45642</v>
      </c>
      <c r="J208" t="s">
        <v>38</v>
      </c>
      <c r="K208" t="b">
        <f>Table1[[#This Row],[CurrentStock]]&lt;Table1[[#This Row],[ReorderLevel]]</f>
        <v>0</v>
      </c>
      <c r="L208" s="9">
        <f>Table1[[#This Row],[CurrentStock]]*Table1[[#This Row],[UnitPrice]]</f>
        <v>103577.4</v>
      </c>
      <c r="M208" t="str">
        <f>IF(Table1[[#This Row],[ReorderLevel]]-Table1[[#This Row],[CurrentStock]]&gt;0,Table1[[#This Row],[ReorderLevel]]-Table1[[#This Row],[CurrentStock]],"")</f>
        <v/>
      </c>
      <c r="N208" t="str">
        <f>IF(Table1[[#This Row],[CurrentStock]]&gt;Table1[[#This Row],[ReorderLevel]]*3,"Over Stock","Okay")</f>
        <v>Over Stock</v>
      </c>
      <c r="O208" t="str">
        <f>IF(Table1[[#This Row],[CurrentStock]]&lt;Table1[[#This Row],[ReorderLevel]],"Reorder","Okay")</f>
        <v>Okay</v>
      </c>
    </row>
    <row r="209" spans="1:15" x14ac:dyDescent="0.3">
      <c r="A209">
        <v>55379</v>
      </c>
      <c r="B209" t="s">
        <v>17</v>
      </c>
      <c r="C209" t="s">
        <v>30</v>
      </c>
      <c r="D209">
        <v>398</v>
      </c>
      <c r="E209">
        <v>20</v>
      </c>
      <c r="F209">
        <v>329.07</v>
      </c>
      <c r="G209" t="s">
        <v>36</v>
      </c>
      <c r="H209" s="1">
        <v>45342</v>
      </c>
      <c r="I209" s="1">
        <v>45361</v>
      </c>
      <c r="J209" t="s">
        <v>37</v>
      </c>
      <c r="K209" t="b">
        <f>Table1[[#This Row],[CurrentStock]]&lt;Table1[[#This Row],[ReorderLevel]]</f>
        <v>0</v>
      </c>
      <c r="L209" s="9">
        <f>Table1[[#This Row],[CurrentStock]]*Table1[[#This Row],[UnitPrice]]</f>
        <v>130969.86</v>
      </c>
      <c r="M209" t="str">
        <f>IF(Table1[[#This Row],[ReorderLevel]]-Table1[[#This Row],[CurrentStock]]&gt;0,Table1[[#This Row],[ReorderLevel]]-Table1[[#This Row],[CurrentStock]],"")</f>
        <v/>
      </c>
      <c r="N209" t="str">
        <f>IF(Table1[[#This Row],[CurrentStock]]&gt;Table1[[#This Row],[ReorderLevel]]*3,"Over Stock","Okay")</f>
        <v>Over Stock</v>
      </c>
      <c r="O209" t="str">
        <f>IF(Table1[[#This Row],[CurrentStock]]&lt;Table1[[#This Row],[ReorderLevel]],"Reorder","Okay")</f>
        <v>Okay</v>
      </c>
    </row>
    <row r="210" spans="1:15" x14ac:dyDescent="0.3">
      <c r="A210">
        <v>52652</v>
      </c>
      <c r="B210" t="s">
        <v>15</v>
      </c>
      <c r="C210" t="s">
        <v>29</v>
      </c>
      <c r="D210">
        <v>333</v>
      </c>
      <c r="E210">
        <v>80</v>
      </c>
      <c r="F210">
        <v>310.58999999999997</v>
      </c>
      <c r="G210" t="s">
        <v>34</v>
      </c>
      <c r="H210" s="1">
        <v>45343</v>
      </c>
      <c r="I210" s="1">
        <v>45374</v>
      </c>
      <c r="J210" t="s">
        <v>38</v>
      </c>
      <c r="K210" t="b">
        <f>Table1[[#This Row],[CurrentStock]]&lt;Table1[[#This Row],[ReorderLevel]]</f>
        <v>0</v>
      </c>
      <c r="L210" s="9">
        <f>Table1[[#This Row],[CurrentStock]]*Table1[[#This Row],[UnitPrice]]</f>
        <v>103426.46999999999</v>
      </c>
      <c r="M210" t="str">
        <f>IF(Table1[[#This Row],[ReorderLevel]]-Table1[[#This Row],[CurrentStock]]&gt;0,Table1[[#This Row],[ReorderLevel]]-Table1[[#This Row],[CurrentStock]],"")</f>
        <v/>
      </c>
      <c r="N210" t="str">
        <f>IF(Table1[[#This Row],[CurrentStock]]&gt;Table1[[#This Row],[ReorderLevel]]*3,"Over Stock","Okay")</f>
        <v>Over Stock</v>
      </c>
      <c r="O210" t="str">
        <f>IF(Table1[[#This Row],[CurrentStock]]&lt;Table1[[#This Row],[ReorderLevel]],"Reorder","Okay")</f>
        <v>Okay</v>
      </c>
    </row>
    <row r="211" spans="1:15" x14ac:dyDescent="0.3">
      <c r="A211">
        <v>96365</v>
      </c>
      <c r="B211" t="s">
        <v>21</v>
      </c>
      <c r="C211" t="s">
        <v>31</v>
      </c>
      <c r="D211">
        <v>145</v>
      </c>
      <c r="E211">
        <v>30</v>
      </c>
      <c r="F211">
        <v>139.94999999999999</v>
      </c>
      <c r="G211" t="s">
        <v>32</v>
      </c>
      <c r="H211" s="1">
        <v>45423</v>
      </c>
      <c r="I211" s="1">
        <v>45453</v>
      </c>
      <c r="J211" t="s">
        <v>38</v>
      </c>
      <c r="K211" t="b">
        <f>Table1[[#This Row],[CurrentStock]]&lt;Table1[[#This Row],[ReorderLevel]]</f>
        <v>0</v>
      </c>
      <c r="L211" s="9">
        <f>Table1[[#This Row],[CurrentStock]]*Table1[[#This Row],[UnitPrice]]</f>
        <v>20292.75</v>
      </c>
      <c r="M211" t="str">
        <f>IF(Table1[[#This Row],[ReorderLevel]]-Table1[[#This Row],[CurrentStock]]&gt;0,Table1[[#This Row],[ReorderLevel]]-Table1[[#This Row],[CurrentStock]],"")</f>
        <v/>
      </c>
      <c r="N211" t="str">
        <f>IF(Table1[[#This Row],[CurrentStock]]&gt;Table1[[#This Row],[ReorderLevel]]*3,"Over Stock","Okay")</f>
        <v>Over Stock</v>
      </c>
      <c r="O211" t="str">
        <f>IF(Table1[[#This Row],[CurrentStock]]&lt;Table1[[#This Row],[ReorderLevel]],"Reorder","Okay")</f>
        <v>Okay</v>
      </c>
    </row>
    <row r="212" spans="1:15" x14ac:dyDescent="0.3">
      <c r="A212">
        <v>22149</v>
      </c>
      <c r="B212" t="s">
        <v>14</v>
      </c>
      <c r="C212" t="s">
        <v>27</v>
      </c>
      <c r="D212">
        <v>38</v>
      </c>
      <c r="E212">
        <v>80</v>
      </c>
      <c r="F212">
        <v>96.37</v>
      </c>
      <c r="G212" t="s">
        <v>35</v>
      </c>
      <c r="H212" s="1">
        <v>45603</v>
      </c>
      <c r="I212" s="1">
        <v>45627</v>
      </c>
      <c r="J212" t="s">
        <v>37</v>
      </c>
      <c r="K212" t="b">
        <f>Table1[[#This Row],[CurrentStock]]&lt;Table1[[#This Row],[ReorderLevel]]</f>
        <v>1</v>
      </c>
      <c r="L212" s="9">
        <f>Table1[[#This Row],[CurrentStock]]*Table1[[#This Row],[UnitPrice]]</f>
        <v>3662.0600000000004</v>
      </c>
      <c r="M212">
        <f>IF(Table1[[#This Row],[ReorderLevel]]-Table1[[#This Row],[CurrentStock]]&gt;0,Table1[[#This Row],[ReorderLevel]]-Table1[[#This Row],[CurrentStock]],"")</f>
        <v>42</v>
      </c>
      <c r="N212" t="str">
        <f>IF(Table1[[#This Row],[CurrentStock]]&gt;Table1[[#This Row],[ReorderLevel]]*3,"Over Stock","Okay")</f>
        <v>Okay</v>
      </c>
      <c r="O212" t="str">
        <f>IF(Table1[[#This Row],[CurrentStock]]&lt;Table1[[#This Row],[ReorderLevel]],"Reorder","Okay")</f>
        <v>Reorder</v>
      </c>
    </row>
    <row r="213" spans="1:15" x14ac:dyDescent="0.3">
      <c r="A213">
        <v>98789</v>
      </c>
      <c r="B213" t="s">
        <v>25</v>
      </c>
      <c r="C213" t="s">
        <v>31</v>
      </c>
      <c r="D213">
        <v>378</v>
      </c>
      <c r="E213">
        <v>80</v>
      </c>
      <c r="F213">
        <v>302.8</v>
      </c>
      <c r="G213" t="s">
        <v>34</v>
      </c>
      <c r="H213" s="1">
        <v>45409</v>
      </c>
      <c r="I213" s="1">
        <v>45434</v>
      </c>
      <c r="J213" t="s">
        <v>37</v>
      </c>
      <c r="K213" t="b">
        <f>Table1[[#This Row],[CurrentStock]]&lt;Table1[[#This Row],[ReorderLevel]]</f>
        <v>0</v>
      </c>
      <c r="L213" s="9">
        <f>Table1[[#This Row],[CurrentStock]]*Table1[[#This Row],[UnitPrice]]</f>
        <v>114458.40000000001</v>
      </c>
      <c r="M213" t="str">
        <f>IF(Table1[[#This Row],[ReorderLevel]]-Table1[[#This Row],[CurrentStock]]&gt;0,Table1[[#This Row],[ReorderLevel]]-Table1[[#This Row],[CurrentStock]],"")</f>
        <v/>
      </c>
      <c r="N213" t="str">
        <f>IF(Table1[[#This Row],[CurrentStock]]&gt;Table1[[#This Row],[ReorderLevel]]*3,"Over Stock","Okay")</f>
        <v>Over Stock</v>
      </c>
      <c r="O213" t="str">
        <f>IF(Table1[[#This Row],[CurrentStock]]&lt;Table1[[#This Row],[ReorderLevel]],"Reorder","Okay")</f>
        <v>Okay</v>
      </c>
    </row>
    <row r="214" spans="1:15" x14ac:dyDescent="0.3">
      <c r="A214">
        <v>81831</v>
      </c>
      <c r="B214" t="s">
        <v>24</v>
      </c>
      <c r="C214" t="s">
        <v>31</v>
      </c>
      <c r="D214">
        <v>270</v>
      </c>
      <c r="E214">
        <v>30</v>
      </c>
      <c r="F214">
        <v>91.51</v>
      </c>
      <c r="G214" t="s">
        <v>35</v>
      </c>
      <c r="H214" s="1">
        <v>45412</v>
      </c>
      <c r="I214" s="1">
        <v>45424</v>
      </c>
      <c r="J214" t="s">
        <v>39</v>
      </c>
      <c r="K214" t="b">
        <f>Table1[[#This Row],[CurrentStock]]&lt;Table1[[#This Row],[ReorderLevel]]</f>
        <v>0</v>
      </c>
      <c r="L214" s="9">
        <f>Table1[[#This Row],[CurrentStock]]*Table1[[#This Row],[UnitPrice]]</f>
        <v>24707.7</v>
      </c>
      <c r="M214" t="str">
        <f>IF(Table1[[#This Row],[ReorderLevel]]-Table1[[#This Row],[CurrentStock]]&gt;0,Table1[[#This Row],[ReorderLevel]]-Table1[[#This Row],[CurrentStock]],"")</f>
        <v/>
      </c>
      <c r="N214" t="str">
        <f>IF(Table1[[#This Row],[CurrentStock]]&gt;Table1[[#This Row],[ReorderLevel]]*3,"Over Stock","Okay")</f>
        <v>Over Stock</v>
      </c>
      <c r="O214" t="str">
        <f>IF(Table1[[#This Row],[CurrentStock]]&lt;Table1[[#This Row],[ReorderLevel]],"Reorder","Okay")</f>
        <v>Okay</v>
      </c>
    </row>
    <row r="215" spans="1:15" x14ac:dyDescent="0.3">
      <c r="A215">
        <v>98920</v>
      </c>
      <c r="B215" t="s">
        <v>20</v>
      </c>
      <c r="C215" t="s">
        <v>29</v>
      </c>
      <c r="D215">
        <v>67</v>
      </c>
      <c r="E215">
        <v>30</v>
      </c>
      <c r="F215">
        <v>367.32</v>
      </c>
      <c r="G215" t="s">
        <v>33</v>
      </c>
      <c r="H215" s="1">
        <v>45391</v>
      </c>
      <c r="I215" s="1">
        <v>45405</v>
      </c>
      <c r="J215" t="s">
        <v>38</v>
      </c>
      <c r="K215" t="b">
        <f>Table1[[#This Row],[CurrentStock]]&lt;Table1[[#This Row],[ReorderLevel]]</f>
        <v>0</v>
      </c>
      <c r="L215" s="9">
        <f>Table1[[#This Row],[CurrentStock]]*Table1[[#This Row],[UnitPrice]]</f>
        <v>24610.44</v>
      </c>
      <c r="M215" t="str">
        <f>IF(Table1[[#This Row],[ReorderLevel]]-Table1[[#This Row],[CurrentStock]]&gt;0,Table1[[#This Row],[ReorderLevel]]-Table1[[#This Row],[CurrentStock]],"")</f>
        <v/>
      </c>
      <c r="N215" t="str">
        <f>IF(Table1[[#This Row],[CurrentStock]]&gt;Table1[[#This Row],[ReorderLevel]]*3,"Over Stock","Okay")</f>
        <v>Okay</v>
      </c>
      <c r="O215" t="str">
        <f>IF(Table1[[#This Row],[CurrentStock]]&lt;Table1[[#This Row],[ReorderLevel]],"Reorder","Okay")</f>
        <v>Okay</v>
      </c>
    </row>
    <row r="216" spans="1:15" x14ac:dyDescent="0.3">
      <c r="A216">
        <v>27633</v>
      </c>
      <c r="B216" t="s">
        <v>14</v>
      </c>
      <c r="C216" t="s">
        <v>27</v>
      </c>
      <c r="D216">
        <v>480</v>
      </c>
      <c r="E216">
        <v>150</v>
      </c>
      <c r="F216">
        <v>295.37</v>
      </c>
      <c r="G216" t="s">
        <v>35</v>
      </c>
      <c r="H216" s="1">
        <v>45466</v>
      </c>
      <c r="I216" s="1">
        <v>45505</v>
      </c>
      <c r="J216" t="s">
        <v>38</v>
      </c>
      <c r="K216" t="b">
        <f>Table1[[#This Row],[CurrentStock]]&lt;Table1[[#This Row],[ReorderLevel]]</f>
        <v>0</v>
      </c>
      <c r="L216" s="9">
        <f>Table1[[#This Row],[CurrentStock]]*Table1[[#This Row],[UnitPrice]]</f>
        <v>141777.60000000001</v>
      </c>
      <c r="M216" t="str">
        <f>IF(Table1[[#This Row],[ReorderLevel]]-Table1[[#This Row],[CurrentStock]]&gt;0,Table1[[#This Row],[ReorderLevel]]-Table1[[#This Row],[CurrentStock]],"")</f>
        <v/>
      </c>
      <c r="N216" t="str">
        <f>IF(Table1[[#This Row],[CurrentStock]]&gt;Table1[[#This Row],[ReorderLevel]]*3,"Over Stock","Okay")</f>
        <v>Over Stock</v>
      </c>
      <c r="O216" t="str">
        <f>IF(Table1[[#This Row],[CurrentStock]]&lt;Table1[[#This Row],[ReorderLevel]],"Reorder","Okay")</f>
        <v>Okay</v>
      </c>
    </row>
    <row r="217" spans="1:15" x14ac:dyDescent="0.3">
      <c r="A217">
        <v>67993</v>
      </c>
      <c r="B217" t="s">
        <v>26</v>
      </c>
      <c r="C217" t="s">
        <v>30</v>
      </c>
      <c r="D217">
        <v>149</v>
      </c>
      <c r="E217">
        <v>80</v>
      </c>
      <c r="F217">
        <v>322.77999999999997</v>
      </c>
      <c r="G217" t="s">
        <v>35</v>
      </c>
      <c r="H217" s="1">
        <v>45451</v>
      </c>
      <c r="I217" s="1">
        <v>45466</v>
      </c>
      <c r="J217" t="s">
        <v>39</v>
      </c>
      <c r="K217" t="b">
        <f>Table1[[#This Row],[CurrentStock]]&lt;Table1[[#This Row],[ReorderLevel]]</f>
        <v>0</v>
      </c>
      <c r="L217" s="9">
        <f>Table1[[#This Row],[CurrentStock]]*Table1[[#This Row],[UnitPrice]]</f>
        <v>48094.219999999994</v>
      </c>
      <c r="M217" t="str">
        <f>IF(Table1[[#This Row],[ReorderLevel]]-Table1[[#This Row],[CurrentStock]]&gt;0,Table1[[#This Row],[ReorderLevel]]-Table1[[#This Row],[CurrentStock]],"")</f>
        <v/>
      </c>
      <c r="N217" t="str">
        <f>IF(Table1[[#This Row],[CurrentStock]]&gt;Table1[[#This Row],[ReorderLevel]]*3,"Over Stock","Okay")</f>
        <v>Okay</v>
      </c>
      <c r="O217" t="str">
        <f>IF(Table1[[#This Row],[CurrentStock]]&lt;Table1[[#This Row],[ReorderLevel]],"Reorder","Okay")</f>
        <v>Okay</v>
      </c>
    </row>
    <row r="218" spans="1:15" x14ac:dyDescent="0.3">
      <c r="A218">
        <v>14358</v>
      </c>
      <c r="B218" t="s">
        <v>26</v>
      </c>
      <c r="C218" t="s">
        <v>30</v>
      </c>
      <c r="D218">
        <v>440</v>
      </c>
      <c r="E218">
        <v>100</v>
      </c>
      <c r="F218">
        <v>75.180000000000007</v>
      </c>
      <c r="G218" t="s">
        <v>36</v>
      </c>
      <c r="H218" s="1">
        <v>45611</v>
      </c>
      <c r="I218" s="1">
        <v>45650</v>
      </c>
      <c r="J218" t="s">
        <v>39</v>
      </c>
      <c r="K218" t="b">
        <f>Table1[[#This Row],[CurrentStock]]&lt;Table1[[#This Row],[ReorderLevel]]</f>
        <v>0</v>
      </c>
      <c r="L218" s="9">
        <f>Table1[[#This Row],[CurrentStock]]*Table1[[#This Row],[UnitPrice]]</f>
        <v>33079.200000000004</v>
      </c>
      <c r="M218" t="str">
        <f>IF(Table1[[#This Row],[ReorderLevel]]-Table1[[#This Row],[CurrentStock]]&gt;0,Table1[[#This Row],[ReorderLevel]]-Table1[[#This Row],[CurrentStock]],"")</f>
        <v/>
      </c>
      <c r="N218" t="str">
        <f>IF(Table1[[#This Row],[CurrentStock]]&gt;Table1[[#This Row],[ReorderLevel]]*3,"Over Stock","Okay")</f>
        <v>Over Stock</v>
      </c>
      <c r="O218" t="str">
        <f>IF(Table1[[#This Row],[CurrentStock]]&lt;Table1[[#This Row],[ReorderLevel]],"Reorder","Okay")</f>
        <v>Okay</v>
      </c>
    </row>
    <row r="219" spans="1:15" x14ac:dyDescent="0.3">
      <c r="A219">
        <v>72438</v>
      </c>
      <c r="B219" t="s">
        <v>15</v>
      </c>
      <c r="C219" t="s">
        <v>29</v>
      </c>
      <c r="D219">
        <v>373</v>
      </c>
      <c r="E219">
        <v>80</v>
      </c>
      <c r="F219">
        <v>360.21</v>
      </c>
      <c r="G219" t="s">
        <v>34</v>
      </c>
      <c r="H219" s="1">
        <v>45532</v>
      </c>
      <c r="I219" s="1">
        <v>45547</v>
      </c>
      <c r="J219" t="s">
        <v>39</v>
      </c>
      <c r="K219" t="b">
        <f>Table1[[#This Row],[CurrentStock]]&lt;Table1[[#This Row],[ReorderLevel]]</f>
        <v>0</v>
      </c>
      <c r="L219" s="9">
        <f>Table1[[#This Row],[CurrentStock]]*Table1[[#This Row],[UnitPrice]]</f>
        <v>134358.32999999999</v>
      </c>
      <c r="M219" t="str">
        <f>IF(Table1[[#This Row],[ReorderLevel]]-Table1[[#This Row],[CurrentStock]]&gt;0,Table1[[#This Row],[ReorderLevel]]-Table1[[#This Row],[CurrentStock]],"")</f>
        <v/>
      </c>
      <c r="N219" t="str">
        <f>IF(Table1[[#This Row],[CurrentStock]]&gt;Table1[[#This Row],[ReorderLevel]]*3,"Over Stock","Okay")</f>
        <v>Over Stock</v>
      </c>
      <c r="O219" t="str">
        <f>IF(Table1[[#This Row],[CurrentStock]]&lt;Table1[[#This Row],[ReorderLevel]],"Reorder","Okay")</f>
        <v>Okay</v>
      </c>
    </row>
    <row r="220" spans="1:15" x14ac:dyDescent="0.3">
      <c r="A220">
        <v>83379</v>
      </c>
      <c r="B220" t="s">
        <v>15</v>
      </c>
      <c r="C220" t="s">
        <v>29</v>
      </c>
      <c r="D220">
        <v>101</v>
      </c>
      <c r="E220">
        <v>30</v>
      </c>
      <c r="F220">
        <v>453.23</v>
      </c>
      <c r="G220" t="s">
        <v>32</v>
      </c>
      <c r="H220" s="1">
        <v>45400</v>
      </c>
      <c r="I220" s="1">
        <v>45437</v>
      </c>
      <c r="J220" t="s">
        <v>37</v>
      </c>
      <c r="K220" t="b">
        <f>Table1[[#This Row],[CurrentStock]]&lt;Table1[[#This Row],[ReorderLevel]]</f>
        <v>0</v>
      </c>
      <c r="L220" s="9">
        <f>Table1[[#This Row],[CurrentStock]]*Table1[[#This Row],[UnitPrice]]</f>
        <v>45776.23</v>
      </c>
      <c r="M220" t="str">
        <f>IF(Table1[[#This Row],[ReorderLevel]]-Table1[[#This Row],[CurrentStock]]&gt;0,Table1[[#This Row],[ReorderLevel]]-Table1[[#This Row],[CurrentStock]],"")</f>
        <v/>
      </c>
      <c r="N220" t="str">
        <f>IF(Table1[[#This Row],[CurrentStock]]&gt;Table1[[#This Row],[ReorderLevel]]*3,"Over Stock","Okay")</f>
        <v>Over Stock</v>
      </c>
      <c r="O220" t="str">
        <f>IF(Table1[[#This Row],[CurrentStock]]&lt;Table1[[#This Row],[ReorderLevel]],"Reorder","Okay")</f>
        <v>Okay</v>
      </c>
    </row>
    <row r="221" spans="1:15" x14ac:dyDescent="0.3">
      <c r="A221">
        <v>80587</v>
      </c>
      <c r="B221" t="s">
        <v>19</v>
      </c>
      <c r="C221" t="s">
        <v>28</v>
      </c>
      <c r="D221">
        <v>69</v>
      </c>
      <c r="E221">
        <v>20</v>
      </c>
      <c r="F221">
        <v>310.49</v>
      </c>
      <c r="G221" t="s">
        <v>36</v>
      </c>
      <c r="H221" s="1">
        <v>45560</v>
      </c>
      <c r="I221" s="1">
        <v>45566</v>
      </c>
      <c r="J221" t="s">
        <v>38</v>
      </c>
      <c r="K221" t="b">
        <f>Table1[[#This Row],[CurrentStock]]&lt;Table1[[#This Row],[ReorderLevel]]</f>
        <v>0</v>
      </c>
      <c r="L221" s="9">
        <f>Table1[[#This Row],[CurrentStock]]*Table1[[#This Row],[UnitPrice]]</f>
        <v>21423.81</v>
      </c>
      <c r="M221" t="str">
        <f>IF(Table1[[#This Row],[ReorderLevel]]-Table1[[#This Row],[CurrentStock]]&gt;0,Table1[[#This Row],[ReorderLevel]]-Table1[[#This Row],[CurrentStock]],"")</f>
        <v/>
      </c>
      <c r="N221" t="str">
        <f>IF(Table1[[#This Row],[CurrentStock]]&gt;Table1[[#This Row],[ReorderLevel]]*3,"Over Stock","Okay")</f>
        <v>Over Stock</v>
      </c>
      <c r="O221" t="str">
        <f>IF(Table1[[#This Row],[CurrentStock]]&lt;Table1[[#This Row],[ReorderLevel]],"Reorder","Okay")</f>
        <v>Okay</v>
      </c>
    </row>
    <row r="222" spans="1:15" x14ac:dyDescent="0.3">
      <c r="A222">
        <v>84069</v>
      </c>
      <c r="B222" t="s">
        <v>17</v>
      </c>
      <c r="C222" t="s">
        <v>30</v>
      </c>
      <c r="D222">
        <v>229</v>
      </c>
      <c r="E222">
        <v>30</v>
      </c>
      <c r="F222">
        <v>341.67</v>
      </c>
      <c r="G222" t="s">
        <v>33</v>
      </c>
      <c r="H222" s="1">
        <v>45591</v>
      </c>
      <c r="I222" s="1">
        <v>45598</v>
      </c>
      <c r="J222" t="s">
        <v>38</v>
      </c>
      <c r="K222" t="b">
        <f>Table1[[#This Row],[CurrentStock]]&lt;Table1[[#This Row],[ReorderLevel]]</f>
        <v>0</v>
      </c>
      <c r="L222" s="9">
        <f>Table1[[#This Row],[CurrentStock]]*Table1[[#This Row],[UnitPrice]]</f>
        <v>78242.430000000008</v>
      </c>
      <c r="M222" t="str">
        <f>IF(Table1[[#This Row],[ReorderLevel]]-Table1[[#This Row],[CurrentStock]]&gt;0,Table1[[#This Row],[ReorderLevel]]-Table1[[#This Row],[CurrentStock]],"")</f>
        <v/>
      </c>
      <c r="N222" t="str">
        <f>IF(Table1[[#This Row],[CurrentStock]]&gt;Table1[[#This Row],[ReorderLevel]]*3,"Over Stock","Okay")</f>
        <v>Over Stock</v>
      </c>
      <c r="O222" t="str">
        <f>IF(Table1[[#This Row],[CurrentStock]]&lt;Table1[[#This Row],[ReorderLevel]],"Reorder","Okay")</f>
        <v>Okay</v>
      </c>
    </row>
    <row r="223" spans="1:15" x14ac:dyDescent="0.3">
      <c r="A223">
        <v>10661</v>
      </c>
      <c r="B223" t="s">
        <v>14</v>
      </c>
      <c r="C223" t="s">
        <v>27</v>
      </c>
      <c r="D223">
        <v>101</v>
      </c>
      <c r="E223">
        <v>20</v>
      </c>
      <c r="F223">
        <v>497.76</v>
      </c>
      <c r="G223" t="s">
        <v>34</v>
      </c>
      <c r="H223" s="1">
        <v>45577</v>
      </c>
      <c r="I223" s="1">
        <v>45589</v>
      </c>
      <c r="J223" t="s">
        <v>39</v>
      </c>
      <c r="K223" t="b">
        <f>Table1[[#This Row],[CurrentStock]]&lt;Table1[[#This Row],[ReorderLevel]]</f>
        <v>0</v>
      </c>
      <c r="L223" s="9">
        <f>Table1[[#This Row],[CurrentStock]]*Table1[[#This Row],[UnitPrice]]</f>
        <v>50273.760000000002</v>
      </c>
      <c r="M223" t="str">
        <f>IF(Table1[[#This Row],[ReorderLevel]]-Table1[[#This Row],[CurrentStock]]&gt;0,Table1[[#This Row],[ReorderLevel]]-Table1[[#This Row],[CurrentStock]],"")</f>
        <v/>
      </c>
      <c r="N223" t="str">
        <f>IF(Table1[[#This Row],[CurrentStock]]&gt;Table1[[#This Row],[ReorderLevel]]*3,"Over Stock","Okay")</f>
        <v>Over Stock</v>
      </c>
      <c r="O223" t="str">
        <f>IF(Table1[[#This Row],[CurrentStock]]&lt;Table1[[#This Row],[ReorderLevel]],"Reorder","Okay")</f>
        <v>Okay</v>
      </c>
    </row>
    <row r="224" spans="1:15" x14ac:dyDescent="0.3">
      <c r="A224">
        <v>98733</v>
      </c>
      <c r="B224" t="s">
        <v>10</v>
      </c>
      <c r="C224" t="s">
        <v>27</v>
      </c>
      <c r="D224">
        <v>332</v>
      </c>
      <c r="E224">
        <v>80</v>
      </c>
      <c r="F224">
        <v>346.55</v>
      </c>
      <c r="G224" t="s">
        <v>35</v>
      </c>
      <c r="H224" s="1">
        <v>45602</v>
      </c>
      <c r="I224" s="1">
        <v>45622</v>
      </c>
      <c r="J224" t="s">
        <v>38</v>
      </c>
      <c r="K224" t="b">
        <f>Table1[[#This Row],[CurrentStock]]&lt;Table1[[#This Row],[ReorderLevel]]</f>
        <v>0</v>
      </c>
      <c r="L224" s="9">
        <f>Table1[[#This Row],[CurrentStock]]*Table1[[#This Row],[UnitPrice]]</f>
        <v>115054.6</v>
      </c>
      <c r="M224" t="str">
        <f>IF(Table1[[#This Row],[ReorderLevel]]-Table1[[#This Row],[CurrentStock]]&gt;0,Table1[[#This Row],[ReorderLevel]]-Table1[[#This Row],[CurrentStock]],"")</f>
        <v/>
      </c>
      <c r="N224" t="str">
        <f>IF(Table1[[#This Row],[CurrentStock]]&gt;Table1[[#This Row],[ReorderLevel]]*3,"Over Stock","Okay")</f>
        <v>Over Stock</v>
      </c>
      <c r="O224" t="str">
        <f>IF(Table1[[#This Row],[CurrentStock]]&lt;Table1[[#This Row],[ReorderLevel]],"Reorder","Okay")</f>
        <v>Okay</v>
      </c>
    </row>
    <row r="225" spans="1:15" x14ac:dyDescent="0.3">
      <c r="A225">
        <v>91437</v>
      </c>
      <c r="B225" t="s">
        <v>10</v>
      </c>
      <c r="C225" t="s">
        <v>27</v>
      </c>
      <c r="D225">
        <v>399</v>
      </c>
      <c r="E225">
        <v>50</v>
      </c>
      <c r="F225">
        <v>490.71</v>
      </c>
      <c r="G225" t="s">
        <v>36</v>
      </c>
      <c r="H225" s="1">
        <v>45294</v>
      </c>
      <c r="I225" s="1">
        <v>45314</v>
      </c>
      <c r="J225" t="s">
        <v>38</v>
      </c>
      <c r="K225" t="b">
        <f>Table1[[#This Row],[CurrentStock]]&lt;Table1[[#This Row],[ReorderLevel]]</f>
        <v>0</v>
      </c>
      <c r="L225" s="9">
        <f>Table1[[#This Row],[CurrentStock]]*Table1[[#This Row],[UnitPrice]]</f>
        <v>195793.28999999998</v>
      </c>
      <c r="M225" t="str">
        <f>IF(Table1[[#This Row],[ReorderLevel]]-Table1[[#This Row],[CurrentStock]]&gt;0,Table1[[#This Row],[ReorderLevel]]-Table1[[#This Row],[CurrentStock]],"")</f>
        <v/>
      </c>
      <c r="N225" t="str">
        <f>IF(Table1[[#This Row],[CurrentStock]]&gt;Table1[[#This Row],[ReorderLevel]]*3,"Over Stock","Okay")</f>
        <v>Over Stock</v>
      </c>
      <c r="O225" t="str">
        <f>IF(Table1[[#This Row],[CurrentStock]]&lt;Table1[[#This Row],[ReorderLevel]],"Reorder","Okay")</f>
        <v>Okay</v>
      </c>
    </row>
    <row r="226" spans="1:15" x14ac:dyDescent="0.3">
      <c r="A226">
        <v>92205</v>
      </c>
      <c r="B226" t="s">
        <v>22</v>
      </c>
      <c r="C226" t="s">
        <v>27</v>
      </c>
      <c r="D226">
        <v>103</v>
      </c>
      <c r="E226">
        <v>100</v>
      </c>
      <c r="F226">
        <v>496.28</v>
      </c>
      <c r="G226" t="s">
        <v>36</v>
      </c>
      <c r="H226" s="1">
        <v>45651</v>
      </c>
      <c r="I226" s="1">
        <v>45656</v>
      </c>
      <c r="J226" t="s">
        <v>39</v>
      </c>
      <c r="K226" t="b">
        <f>Table1[[#This Row],[CurrentStock]]&lt;Table1[[#This Row],[ReorderLevel]]</f>
        <v>0</v>
      </c>
      <c r="L226" s="9">
        <f>Table1[[#This Row],[CurrentStock]]*Table1[[#This Row],[UnitPrice]]</f>
        <v>51116.84</v>
      </c>
      <c r="M226" t="str">
        <f>IF(Table1[[#This Row],[ReorderLevel]]-Table1[[#This Row],[CurrentStock]]&gt;0,Table1[[#This Row],[ReorderLevel]]-Table1[[#This Row],[CurrentStock]],"")</f>
        <v/>
      </c>
      <c r="N226" t="str">
        <f>IF(Table1[[#This Row],[CurrentStock]]&gt;Table1[[#This Row],[ReorderLevel]]*3,"Over Stock","Okay")</f>
        <v>Okay</v>
      </c>
      <c r="O226" t="str">
        <f>IF(Table1[[#This Row],[CurrentStock]]&lt;Table1[[#This Row],[ReorderLevel]],"Reorder","Okay")</f>
        <v>Okay</v>
      </c>
    </row>
    <row r="227" spans="1:15" x14ac:dyDescent="0.3">
      <c r="A227">
        <v>26163</v>
      </c>
      <c r="B227" t="s">
        <v>25</v>
      </c>
      <c r="C227" t="s">
        <v>31</v>
      </c>
      <c r="D227">
        <v>287</v>
      </c>
      <c r="E227">
        <v>20</v>
      </c>
      <c r="F227">
        <v>306.2</v>
      </c>
      <c r="G227" t="s">
        <v>35</v>
      </c>
      <c r="H227" s="1">
        <v>45329</v>
      </c>
      <c r="I227" s="1">
        <v>45367</v>
      </c>
      <c r="J227" t="s">
        <v>38</v>
      </c>
      <c r="K227" t="b">
        <f>Table1[[#This Row],[CurrentStock]]&lt;Table1[[#This Row],[ReorderLevel]]</f>
        <v>0</v>
      </c>
      <c r="L227" s="9">
        <f>Table1[[#This Row],[CurrentStock]]*Table1[[#This Row],[UnitPrice]]</f>
        <v>87879.4</v>
      </c>
      <c r="M227" t="str">
        <f>IF(Table1[[#This Row],[ReorderLevel]]-Table1[[#This Row],[CurrentStock]]&gt;0,Table1[[#This Row],[ReorderLevel]]-Table1[[#This Row],[CurrentStock]],"")</f>
        <v/>
      </c>
      <c r="N227" t="str">
        <f>IF(Table1[[#This Row],[CurrentStock]]&gt;Table1[[#This Row],[ReorderLevel]]*3,"Over Stock","Okay")</f>
        <v>Over Stock</v>
      </c>
      <c r="O227" t="str">
        <f>IF(Table1[[#This Row],[CurrentStock]]&lt;Table1[[#This Row],[ReorderLevel]],"Reorder","Okay")</f>
        <v>Okay</v>
      </c>
    </row>
    <row r="228" spans="1:15" x14ac:dyDescent="0.3">
      <c r="A228">
        <v>94416</v>
      </c>
      <c r="B228" t="s">
        <v>24</v>
      </c>
      <c r="C228" t="s">
        <v>31</v>
      </c>
      <c r="D228">
        <v>65</v>
      </c>
      <c r="E228">
        <v>20</v>
      </c>
      <c r="F228">
        <v>48.38</v>
      </c>
      <c r="G228" t="s">
        <v>32</v>
      </c>
      <c r="H228" s="1">
        <v>45540</v>
      </c>
      <c r="I228" s="1">
        <v>45553</v>
      </c>
      <c r="J228" t="s">
        <v>38</v>
      </c>
      <c r="K228" t="b">
        <f>Table1[[#This Row],[CurrentStock]]&lt;Table1[[#This Row],[ReorderLevel]]</f>
        <v>0</v>
      </c>
      <c r="L228" s="9">
        <f>Table1[[#This Row],[CurrentStock]]*Table1[[#This Row],[UnitPrice]]</f>
        <v>3144.7000000000003</v>
      </c>
      <c r="M228" t="str">
        <f>IF(Table1[[#This Row],[ReorderLevel]]-Table1[[#This Row],[CurrentStock]]&gt;0,Table1[[#This Row],[ReorderLevel]]-Table1[[#This Row],[CurrentStock]],"")</f>
        <v/>
      </c>
      <c r="N228" t="str">
        <f>IF(Table1[[#This Row],[CurrentStock]]&gt;Table1[[#This Row],[ReorderLevel]]*3,"Over Stock","Okay")</f>
        <v>Over Stock</v>
      </c>
      <c r="O228" t="str">
        <f>IF(Table1[[#This Row],[CurrentStock]]&lt;Table1[[#This Row],[ReorderLevel]],"Reorder","Okay")</f>
        <v>Okay</v>
      </c>
    </row>
    <row r="229" spans="1:15" x14ac:dyDescent="0.3">
      <c r="A229">
        <v>93362</v>
      </c>
      <c r="B229" t="s">
        <v>14</v>
      </c>
      <c r="C229" t="s">
        <v>27</v>
      </c>
      <c r="D229">
        <v>406</v>
      </c>
      <c r="E229">
        <v>30</v>
      </c>
      <c r="F229">
        <v>302.29000000000002</v>
      </c>
      <c r="G229" t="s">
        <v>32</v>
      </c>
      <c r="H229" s="1">
        <v>45602</v>
      </c>
      <c r="I229" s="1">
        <v>45612</v>
      </c>
      <c r="J229" t="s">
        <v>38</v>
      </c>
      <c r="K229" t="b">
        <f>Table1[[#This Row],[CurrentStock]]&lt;Table1[[#This Row],[ReorderLevel]]</f>
        <v>0</v>
      </c>
      <c r="L229" s="9">
        <f>Table1[[#This Row],[CurrentStock]]*Table1[[#This Row],[UnitPrice]]</f>
        <v>122729.74</v>
      </c>
      <c r="M229" t="str">
        <f>IF(Table1[[#This Row],[ReorderLevel]]-Table1[[#This Row],[CurrentStock]]&gt;0,Table1[[#This Row],[ReorderLevel]]-Table1[[#This Row],[CurrentStock]],"")</f>
        <v/>
      </c>
      <c r="N229" t="str">
        <f>IF(Table1[[#This Row],[CurrentStock]]&gt;Table1[[#This Row],[ReorderLevel]]*3,"Over Stock","Okay")</f>
        <v>Over Stock</v>
      </c>
      <c r="O229" t="str">
        <f>IF(Table1[[#This Row],[CurrentStock]]&lt;Table1[[#This Row],[ReorderLevel]],"Reorder","Okay")</f>
        <v>Okay</v>
      </c>
    </row>
    <row r="230" spans="1:15" x14ac:dyDescent="0.3">
      <c r="A230">
        <v>97468</v>
      </c>
      <c r="B230" t="s">
        <v>10</v>
      </c>
      <c r="C230" t="s">
        <v>27</v>
      </c>
      <c r="D230">
        <v>243</v>
      </c>
      <c r="E230">
        <v>30</v>
      </c>
      <c r="F230">
        <v>253.07</v>
      </c>
      <c r="G230" t="s">
        <v>32</v>
      </c>
      <c r="H230" s="1">
        <v>45340</v>
      </c>
      <c r="I230" s="1">
        <v>45362</v>
      </c>
      <c r="J230" t="s">
        <v>39</v>
      </c>
      <c r="K230" t="b">
        <f>Table1[[#This Row],[CurrentStock]]&lt;Table1[[#This Row],[ReorderLevel]]</f>
        <v>0</v>
      </c>
      <c r="L230" s="9">
        <f>Table1[[#This Row],[CurrentStock]]*Table1[[#This Row],[UnitPrice]]</f>
        <v>61496.009999999995</v>
      </c>
      <c r="M230" t="str">
        <f>IF(Table1[[#This Row],[ReorderLevel]]-Table1[[#This Row],[CurrentStock]]&gt;0,Table1[[#This Row],[ReorderLevel]]-Table1[[#This Row],[CurrentStock]],"")</f>
        <v/>
      </c>
      <c r="N230" t="str">
        <f>IF(Table1[[#This Row],[CurrentStock]]&gt;Table1[[#This Row],[ReorderLevel]]*3,"Over Stock","Okay")</f>
        <v>Over Stock</v>
      </c>
      <c r="O230" t="str">
        <f>IF(Table1[[#This Row],[CurrentStock]]&lt;Table1[[#This Row],[ReorderLevel]],"Reorder","Okay")</f>
        <v>Okay</v>
      </c>
    </row>
    <row r="231" spans="1:15" x14ac:dyDescent="0.3">
      <c r="A231">
        <v>83800</v>
      </c>
      <c r="B231" t="s">
        <v>21</v>
      </c>
      <c r="C231" t="s">
        <v>31</v>
      </c>
      <c r="D231">
        <v>461</v>
      </c>
      <c r="E231">
        <v>100</v>
      </c>
      <c r="F231">
        <v>74.930000000000007</v>
      </c>
      <c r="G231" t="s">
        <v>36</v>
      </c>
      <c r="H231" s="1">
        <v>45298</v>
      </c>
      <c r="I231" s="1">
        <v>45316</v>
      </c>
      <c r="J231" t="s">
        <v>38</v>
      </c>
      <c r="K231" t="b">
        <f>Table1[[#This Row],[CurrentStock]]&lt;Table1[[#This Row],[ReorderLevel]]</f>
        <v>0</v>
      </c>
      <c r="L231" s="9">
        <f>Table1[[#This Row],[CurrentStock]]*Table1[[#This Row],[UnitPrice]]</f>
        <v>34542.730000000003</v>
      </c>
      <c r="M231" t="str">
        <f>IF(Table1[[#This Row],[ReorderLevel]]-Table1[[#This Row],[CurrentStock]]&gt;0,Table1[[#This Row],[ReorderLevel]]-Table1[[#This Row],[CurrentStock]],"")</f>
        <v/>
      </c>
      <c r="N231" t="str">
        <f>IF(Table1[[#This Row],[CurrentStock]]&gt;Table1[[#This Row],[ReorderLevel]]*3,"Over Stock","Okay")</f>
        <v>Over Stock</v>
      </c>
      <c r="O231" t="str">
        <f>IF(Table1[[#This Row],[CurrentStock]]&lt;Table1[[#This Row],[ReorderLevel]],"Reorder","Okay")</f>
        <v>Okay</v>
      </c>
    </row>
    <row r="232" spans="1:15" x14ac:dyDescent="0.3">
      <c r="A232">
        <v>58895</v>
      </c>
      <c r="B232" t="s">
        <v>25</v>
      </c>
      <c r="C232" t="s">
        <v>31</v>
      </c>
      <c r="D232">
        <v>129</v>
      </c>
      <c r="E232">
        <v>40</v>
      </c>
      <c r="F232">
        <v>176.32</v>
      </c>
      <c r="G232" t="s">
        <v>33</v>
      </c>
      <c r="H232" s="1">
        <v>45567</v>
      </c>
      <c r="I232" s="1">
        <v>45589</v>
      </c>
      <c r="J232" t="s">
        <v>37</v>
      </c>
      <c r="K232" t="b">
        <f>Table1[[#This Row],[CurrentStock]]&lt;Table1[[#This Row],[ReorderLevel]]</f>
        <v>0</v>
      </c>
      <c r="L232" s="9">
        <f>Table1[[#This Row],[CurrentStock]]*Table1[[#This Row],[UnitPrice]]</f>
        <v>22745.279999999999</v>
      </c>
      <c r="M232" t="str">
        <f>IF(Table1[[#This Row],[ReorderLevel]]-Table1[[#This Row],[CurrentStock]]&gt;0,Table1[[#This Row],[ReorderLevel]]-Table1[[#This Row],[CurrentStock]],"")</f>
        <v/>
      </c>
      <c r="N232" t="str">
        <f>IF(Table1[[#This Row],[CurrentStock]]&gt;Table1[[#This Row],[ReorderLevel]]*3,"Over Stock","Okay")</f>
        <v>Over Stock</v>
      </c>
      <c r="O232" t="str">
        <f>IF(Table1[[#This Row],[CurrentStock]]&lt;Table1[[#This Row],[ReorderLevel]],"Reorder","Okay")</f>
        <v>Okay</v>
      </c>
    </row>
    <row r="233" spans="1:15" x14ac:dyDescent="0.3">
      <c r="A233">
        <v>41552</v>
      </c>
      <c r="B233" t="s">
        <v>24</v>
      </c>
      <c r="C233" t="s">
        <v>31</v>
      </c>
      <c r="D233">
        <v>252</v>
      </c>
      <c r="E233">
        <v>100</v>
      </c>
      <c r="F233">
        <v>160.30000000000001</v>
      </c>
      <c r="G233" t="s">
        <v>36</v>
      </c>
      <c r="H233" s="1">
        <v>45386</v>
      </c>
      <c r="I233" s="1">
        <v>45404</v>
      </c>
      <c r="J233" t="s">
        <v>38</v>
      </c>
      <c r="K233" t="b">
        <f>Table1[[#This Row],[CurrentStock]]&lt;Table1[[#This Row],[ReorderLevel]]</f>
        <v>0</v>
      </c>
      <c r="L233" s="9">
        <f>Table1[[#This Row],[CurrentStock]]*Table1[[#This Row],[UnitPrice]]</f>
        <v>40395.600000000006</v>
      </c>
      <c r="M233" t="str">
        <f>IF(Table1[[#This Row],[ReorderLevel]]-Table1[[#This Row],[CurrentStock]]&gt;0,Table1[[#This Row],[ReorderLevel]]-Table1[[#This Row],[CurrentStock]],"")</f>
        <v/>
      </c>
      <c r="N233" t="str">
        <f>IF(Table1[[#This Row],[CurrentStock]]&gt;Table1[[#This Row],[ReorderLevel]]*3,"Over Stock","Okay")</f>
        <v>Okay</v>
      </c>
      <c r="O233" t="str">
        <f>IF(Table1[[#This Row],[CurrentStock]]&lt;Table1[[#This Row],[ReorderLevel]],"Reorder","Okay")</f>
        <v>Okay</v>
      </c>
    </row>
    <row r="234" spans="1:15" x14ac:dyDescent="0.3">
      <c r="A234">
        <v>56659</v>
      </c>
      <c r="B234" t="s">
        <v>20</v>
      </c>
      <c r="C234" t="s">
        <v>29</v>
      </c>
      <c r="D234">
        <v>389</v>
      </c>
      <c r="E234">
        <v>20</v>
      </c>
      <c r="F234">
        <v>334.82</v>
      </c>
      <c r="G234" t="s">
        <v>36</v>
      </c>
      <c r="H234" s="1">
        <v>45316</v>
      </c>
      <c r="I234" s="1">
        <v>45335</v>
      </c>
      <c r="J234" t="s">
        <v>37</v>
      </c>
      <c r="K234" t="b">
        <f>Table1[[#This Row],[CurrentStock]]&lt;Table1[[#This Row],[ReorderLevel]]</f>
        <v>0</v>
      </c>
      <c r="L234" s="9">
        <f>Table1[[#This Row],[CurrentStock]]*Table1[[#This Row],[UnitPrice]]</f>
        <v>130244.98</v>
      </c>
      <c r="M234" t="str">
        <f>IF(Table1[[#This Row],[ReorderLevel]]-Table1[[#This Row],[CurrentStock]]&gt;0,Table1[[#This Row],[ReorderLevel]]-Table1[[#This Row],[CurrentStock]],"")</f>
        <v/>
      </c>
      <c r="N234" t="str">
        <f>IF(Table1[[#This Row],[CurrentStock]]&gt;Table1[[#This Row],[ReorderLevel]]*3,"Over Stock","Okay")</f>
        <v>Over Stock</v>
      </c>
      <c r="O234" t="str">
        <f>IF(Table1[[#This Row],[CurrentStock]]&lt;Table1[[#This Row],[ReorderLevel]],"Reorder","Okay")</f>
        <v>Okay</v>
      </c>
    </row>
    <row r="235" spans="1:15" x14ac:dyDescent="0.3">
      <c r="A235">
        <v>87866</v>
      </c>
      <c r="B235" t="s">
        <v>14</v>
      </c>
      <c r="C235" t="s">
        <v>27</v>
      </c>
      <c r="D235">
        <v>476</v>
      </c>
      <c r="E235">
        <v>50</v>
      </c>
      <c r="F235">
        <v>426.47</v>
      </c>
      <c r="G235" t="s">
        <v>33</v>
      </c>
      <c r="H235" s="1">
        <v>45451</v>
      </c>
      <c r="I235" s="1">
        <v>45484</v>
      </c>
      <c r="J235" t="s">
        <v>38</v>
      </c>
      <c r="K235" t="b">
        <f>Table1[[#This Row],[CurrentStock]]&lt;Table1[[#This Row],[ReorderLevel]]</f>
        <v>0</v>
      </c>
      <c r="L235" s="9">
        <f>Table1[[#This Row],[CurrentStock]]*Table1[[#This Row],[UnitPrice]]</f>
        <v>202999.72</v>
      </c>
      <c r="M235" t="str">
        <f>IF(Table1[[#This Row],[ReorderLevel]]-Table1[[#This Row],[CurrentStock]]&gt;0,Table1[[#This Row],[ReorderLevel]]-Table1[[#This Row],[CurrentStock]],"")</f>
        <v/>
      </c>
      <c r="N235" t="str">
        <f>IF(Table1[[#This Row],[CurrentStock]]&gt;Table1[[#This Row],[ReorderLevel]]*3,"Over Stock","Okay")</f>
        <v>Over Stock</v>
      </c>
      <c r="O235" t="str">
        <f>IF(Table1[[#This Row],[CurrentStock]]&lt;Table1[[#This Row],[ReorderLevel]],"Reorder","Okay")</f>
        <v>Okay</v>
      </c>
    </row>
    <row r="236" spans="1:15" x14ac:dyDescent="0.3">
      <c r="A236">
        <v>65677</v>
      </c>
      <c r="B236" t="s">
        <v>13</v>
      </c>
      <c r="C236" t="s">
        <v>29</v>
      </c>
      <c r="D236">
        <v>498</v>
      </c>
      <c r="E236">
        <v>80</v>
      </c>
      <c r="F236">
        <v>391.48</v>
      </c>
      <c r="G236" t="s">
        <v>32</v>
      </c>
      <c r="H236" s="1">
        <v>45557</v>
      </c>
      <c r="I236" s="1">
        <v>45586</v>
      </c>
      <c r="J236" t="s">
        <v>39</v>
      </c>
      <c r="K236" t="b">
        <f>Table1[[#This Row],[CurrentStock]]&lt;Table1[[#This Row],[ReorderLevel]]</f>
        <v>0</v>
      </c>
      <c r="L236" s="9">
        <f>Table1[[#This Row],[CurrentStock]]*Table1[[#This Row],[UnitPrice]]</f>
        <v>194957.04</v>
      </c>
      <c r="M236" t="str">
        <f>IF(Table1[[#This Row],[ReorderLevel]]-Table1[[#This Row],[CurrentStock]]&gt;0,Table1[[#This Row],[ReorderLevel]]-Table1[[#This Row],[CurrentStock]],"")</f>
        <v/>
      </c>
      <c r="N236" t="str">
        <f>IF(Table1[[#This Row],[CurrentStock]]&gt;Table1[[#This Row],[ReorderLevel]]*3,"Over Stock","Okay")</f>
        <v>Over Stock</v>
      </c>
      <c r="O236" t="str">
        <f>IF(Table1[[#This Row],[CurrentStock]]&lt;Table1[[#This Row],[ReorderLevel]],"Reorder","Okay")</f>
        <v>Okay</v>
      </c>
    </row>
    <row r="237" spans="1:15" x14ac:dyDescent="0.3">
      <c r="A237">
        <v>39794</v>
      </c>
      <c r="B237" t="s">
        <v>16</v>
      </c>
      <c r="C237" t="s">
        <v>30</v>
      </c>
      <c r="D237">
        <v>55</v>
      </c>
      <c r="E237">
        <v>150</v>
      </c>
      <c r="F237">
        <v>491.92</v>
      </c>
      <c r="G237" t="s">
        <v>36</v>
      </c>
      <c r="H237" s="1">
        <v>45374</v>
      </c>
      <c r="I237" s="1">
        <v>45387</v>
      </c>
      <c r="J237" t="s">
        <v>37</v>
      </c>
      <c r="K237" t="b">
        <f>Table1[[#This Row],[CurrentStock]]&lt;Table1[[#This Row],[ReorderLevel]]</f>
        <v>1</v>
      </c>
      <c r="L237" s="9">
        <f>Table1[[#This Row],[CurrentStock]]*Table1[[#This Row],[UnitPrice]]</f>
        <v>27055.600000000002</v>
      </c>
      <c r="M237">
        <f>IF(Table1[[#This Row],[ReorderLevel]]-Table1[[#This Row],[CurrentStock]]&gt;0,Table1[[#This Row],[ReorderLevel]]-Table1[[#This Row],[CurrentStock]],"")</f>
        <v>95</v>
      </c>
      <c r="N237" t="str">
        <f>IF(Table1[[#This Row],[CurrentStock]]&gt;Table1[[#This Row],[ReorderLevel]]*3,"Over Stock","Okay")</f>
        <v>Okay</v>
      </c>
      <c r="O237" t="str">
        <f>IF(Table1[[#This Row],[CurrentStock]]&lt;Table1[[#This Row],[ReorderLevel]],"Reorder","Okay")</f>
        <v>Reorder</v>
      </c>
    </row>
    <row r="238" spans="1:15" x14ac:dyDescent="0.3">
      <c r="A238">
        <v>56851</v>
      </c>
      <c r="B238" t="s">
        <v>14</v>
      </c>
      <c r="C238" t="s">
        <v>27</v>
      </c>
      <c r="D238">
        <v>493</v>
      </c>
      <c r="E238">
        <v>40</v>
      </c>
      <c r="F238">
        <v>92.99</v>
      </c>
      <c r="G238" t="s">
        <v>35</v>
      </c>
      <c r="H238" s="1">
        <v>45543</v>
      </c>
      <c r="I238" s="1">
        <v>45580</v>
      </c>
      <c r="J238" t="s">
        <v>37</v>
      </c>
      <c r="K238" t="b">
        <f>Table1[[#This Row],[CurrentStock]]&lt;Table1[[#This Row],[ReorderLevel]]</f>
        <v>0</v>
      </c>
      <c r="L238" s="9">
        <f>Table1[[#This Row],[CurrentStock]]*Table1[[#This Row],[UnitPrice]]</f>
        <v>45844.07</v>
      </c>
      <c r="M238" t="str">
        <f>IF(Table1[[#This Row],[ReorderLevel]]-Table1[[#This Row],[CurrentStock]]&gt;0,Table1[[#This Row],[ReorderLevel]]-Table1[[#This Row],[CurrentStock]],"")</f>
        <v/>
      </c>
      <c r="N238" t="str">
        <f>IF(Table1[[#This Row],[CurrentStock]]&gt;Table1[[#This Row],[ReorderLevel]]*3,"Over Stock","Okay")</f>
        <v>Over Stock</v>
      </c>
      <c r="O238" t="str">
        <f>IF(Table1[[#This Row],[CurrentStock]]&lt;Table1[[#This Row],[ReorderLevel]],"Reorder","Okay")</f>
        <v>Okay</v>
      </c>
    </row>
    <row r="239" spans="1:15" x14ac:dyDescent="0.3">
      <c r="A239">
        <v>36715</v>
      </c>
      <c r="B239" t="s">
        <v>11</v>
      </c>
      <c r="C239" t="s">
        <v>27</v>
      </c>
      <c r="D239">
        <v>220</v>
      </c>
      <c r="E239">
        <v>50</v>
      </c>
      <c r="F239">
        <v>329.58</v>
      </c>
      <c r="G239" t="s">
        <v>36</v>
      </c>
      <c r="H239" s="1">
        <v>45522</v>
      </c>
      <c r="I239" s="1">
        <v>45561</v>
      </c>
      <c r="J239" t="s">
        <v>37</v>
      </c>
      <c r="K239" t="b">
        <f>Table1[[#This Row],[CurrentStock]]&lt;Table1[[#This Row],[ReorderLevel]]</f>
        <v>0</v>
      </c>
      <c r="L239" s="9">
        <f>Table1[[#This Row],[CurrentStock]]*Table1[[#This Row],[UnitPrice]]</f>
        <v>72507.599999999991</v>
      </c>
      <c r="M239" t="str">
        <f>IF(Table1[[#This Row],[ReorderLevel]]-Table1[[#This Row],[CurrentStock]]&gt;0,Table1[[#This Row],[ReorderLevel]]-Table1[[#This Row],[CurrentStock]],"")</f>
        <v/>
      </c>
      <c r="N239" t="str">
        <f>IF(Table1[[#This Row],[CurrentStock]]&gt;Table1[[#This Row],[ReorderLevel]]*3,"Over Stock","Okay")</f>
        <v>Over Stock</v>
      </c>
      <c r="O239" t="str">
        <f>IF(Table1[[#This Row],[CurrentStock]]&lt;Table1[[#This Row],[ReorderLevel]],"Reorder","Okay")</f>
        <v>Okay</v>
      </c>
    </row>
    <row r="240" spans="1:15" x14ac:dyDescent="0.3">
      <c r="A240">
        <v>33177</v>
      </c>
      <c r="B240" t="s">
        <v>23</v>
      </c>
      <c r="C240" t="s">
        <v>30</v>
      </c>
      <c r="D240">
        <v>182</v>
      </c>
      <c r="E240">
        <v>30</v>
      </c>
      <c r="F240">
        <v>71.23</v>
      </c>
      <c r="G240" t="s">
        <v>33</v>
      </c>
      <c r="H240" s="1">
        <v>45537</v>
      </c>
      <c r="I240" s="1">
        <v>45556</v>
      </c>
      <c r="J240" t="s">
        <v>38</v>
      </c>
      <c r="K240" t="b">
        <f>Table1[[#This Row],[CurrentStock]]&lt;Table1[[#This Row],[ReorderLevel]]</f>
        <v>0</v>
      </c>
      <c r="L240" s="9">
        <f>Table1[[#This Row],[CurrentStock]]*Table1[[#This Row],[UnitPrice]]</f>
        <v>12963.86</v>
      </c>
      <c r="M240" t="str">
        <f>IF(Table1[[#This Row],[ReorderLevel]]-Table1[[#This Row],[CurrentStock]]&gt;0,Table1[[#This Row],[ReorderLevel]]-Table1[[#This Row],[CurrentStock]],"")</f>
        <v/>
      </c>
      <c r="N240" t="str">
        <f>IF(Table1[[#This Row],[CurrentStock]]&gt;Table1[[#This Row],[ReorderLevel]]*3,"Over Stock","Okay")</f>
        <v>Over Stock</v>
      </c>
      <c r="O240" t="str">
        <f>IF(Table1[[#This Row],[CurrentStock]]&lt;Table1[[#This Row],[ReorderLevel]],"Reorder","Okay")</f>
        <v>Okay</v>
      </c>
    </row>
    <row r="241" spans="1:15" x14ac:dyDescent="0.3">
      <c r="A241">
        <v>57076</v>
      </c>
      <c r="B241" t="s">
        <v>26</v>
      </c>
      <c r="C241" t="s">
        <v>30</v>
      </c>
      <c r="D241">
        <v>12</v>
      </c>
      <c r="E241">
        <v>80</v>
      </c>
      <c r="F241">
        <v>417.98</v>
      </c>
      <c r="G241" t="s">
        <v>36</v>
      </c>
      <c r="H241" s="1">
        <v>45504</v>
      </c>
      <c r="I241" s="1">
        <v>45526</v>
      </c>
      <c r="J241" t="s">
        <v>37</v>
      </c>
      <c r="K241" t="b">
        <f>Table1[[#This Row],[CurrentStock]]&lt;Table1[[#This Row],[ReorderLevel]]</f>
        <v>1</v>
      </c>
      <c r="L241" s="9">
        <f>Table1[[#This Row],[CurrentStock]]*Table1[[#This Row],[UnitPrice]]</f>
        <v>5015.76</v>
      </c>
      <c r="M241">
        <f>IF(Table1[[#This Row],[ReorderLevel]]-Table1[[#This Row],[CurrentStock]]&gt;0,Table1[[#This Row],[ReorderLevel]]-Table1[[#This Row],[CurrentStock]],"")</f>
        <v>68</v>
      </c>
      <c r="N241" t="str">
        <f>IF(Table1[[#This Row],[CurrentStock]]&gt;Table1[[#This Row],[ReorderLevel]]*3,"Over Stock","Okay")</f>
        <v>Okay</v>
      </c>
      <c r="O241" t="str">
        <f>IF(Table1[[#This Row],[CurrentStock]]&lt;Table1[[#This Row],[ReorderLevel]],"Reorder","Okay")</f>
        <v>Reorder</v>
      </c>
    </row>
    <row r="242" spans="1:15" x14ac:dyDescent="0.3">
      <c r="A242">
        <v>20749</v>
      </c>
      <c r="B242" t="s">
        <v>20</v>
      </c>
      <c r="C242" t="s">
        <v>29</v>
      </c>
      <c r="D242">
        <v>187</v>
      </c>
      <c r="E242">
        <v>40</v>
      </c>
      <c r="F242">
        <v>229.92</v>
      </c>
      <c r="G242" t="s">
        <v>34</v>
      </c>
      <c r="H242" s="1">
        <v>45599</v>
      </c>
      <c r="I242" s="1">
        <v>45629</v>
      </c>
      <c r="J242" t="s">
        <v>39</v>
      </c>
      <c r="K242" t="b">
        <f>Table1[[#This Row],[CurrentStock]]&lt;Table1[[#This Row],[ReorderLevel]]</f>
        <v>0</v>
      </c>
      <c r="L242" s="9">
        <f>Table1[[#This Row],[CurrentStock]]*Table1[[#This Row],[UnitPrice]]</f>
        <v>42995.040000000001</v>
      </c>
      <c r="M242" t="str">
        <f>IF(Table1[[#This Row],[ReorderLevel]]-Table1[[#This Row],[CurrentStock]]&gt;0,Table1[[#This Row],[ReorderLevel]]-Table1[[#This Row],[CurrentStock]],"")</f>
        <v/>
      </c>
      <c r="N242" t="str">
        <f>IF(Table1[[#This Row],[CurrentStock]]&gt;Table1[[#This Row],[ReorderLevel]]*3,"Over Stock","Okay")</f>
        <v>Over Stock</v>
      </c>
      <c r="O242" t="str">
        <f>IF(Table1[[#This Row],[CurrentStock]]&lt;Table1[[#This Row],[ReorderLevel]],"Reorder","Okay")</f>
        <v>Okay</v>
      </c>
    </row>
    <row r="243" spans="1:15" x14ac:dyDescent="0.3">
      <c r="A243">
        <v>36035</v>
      </c>
      <c r="B243" t="s">
        <v>11</v>
      </c>
      <c r="C243" t="s">
        <v>27</v>
      </c>
      <c r="D243">
        <v>251</v>
      </c>
      <c r="E243">
        <v>30</v>
      </c>
      <c r="F243">
        <v>240.63</v>
      </c>
      <c r="G243" t="s">
        <v>36</v>
      </c>
      <c r="H243" s="1">
        <v>45524</v>
      </c>
      <c r="I243" s="1">
        <v>45557</v>
      </c>
      <c r="J243" t="s">
        <v>39</v>
      </c>
      <c r="K243" t="b">
        <f>Table1[[#This Row],[CurrentStock]]&lt;Table1[[#This Row],[ReorderLevel]]</f>
        <v>0</v>
      </c>
      <c r="L243" s="9">
        <f>Table1[[#This Row],[CurrentStock]]*Table1[[#This Row],[UnitPrice]]</f>
        <v>60398.13</v>
      </c>
      <c r="M243" t="str">
        <f>IF(Table1[[#This Row],[ReorderLevel]]-Table1[[#This Row],[CurrentStock]]&gt;0,Table1[[#This Row],[ReorderLevel]]-Table1[[#This Row],[CurrentStock]],"")</f>
        <v/>
      </c>
      <c r="N243" t="str">
        <f>IF(Table1[[#This Row],[CurrentStock]]&gt;Table1[[#This Row],[ReorderLevel]]*3,"Over Stock","Okay")</f>
        <v>Over Stock</v>
      </c>
      <c r="O243" t="str">
        <f>IF(Table1[[#This Row],[CurrentStock]]&lt;Table1[[#This Row],[ReorderLevel]],"Reorder","Okay")</f>
        <v>Okay</v>
      </c>
    </row>
    <row r="244" spans="1:15" x14ac:dyDescent="0.3">
      <c r="A244">
        <v>13191</v>
      </c>
      <c r="B244" t="s">
        <v>24</v>
      </c>
      <c r="C244" t="s">
        <v>31</v>
      </c>
      <c r="D244">
        <v>41</v>
      </c>
      <c r="E244">
        <v>80</v>
      </c>
      <c r="F244">
        <v>70.91</v>
      </c>
      <c r="G244" t="s">
        <v>35</v>
      </c>
      <c r="H244" s="1">
        <v>45483</v>
      </c>
      <c r="I244" s="1">
        <v>45504</v>
      </c>
      <c r="J244" t="s">
        <v>37</v>
      </c>
      <c r="K244" t="b">
        <f>Table1[[#This Row],[CurrentStock]]&lt;Table1[[#This Row],[ReorderLevel]]</f>
        <v>1</v>
      </c>
      <c r="L244" s="9">
        <f>Table1[[#This Row],[CurrentStock]]*Table1[[#This Row],[UnitPrice]]</f>
        <v>2907.31</v>
      </c>
      <c r="M244">
        <f>IF(Table1[[#This Row],[ReorderLevel]]-Table1[[#This Row],[CurrentStock]]&gt;0,Table1[[#This Row],[ReorderLevel]]-Table1[[#This Row],[CurrentStock]],"")</f>
        <v>39</v>
      </c>
      <c r="N244" t="str">
        <f>IF(Table1[[#This Row],[CurrentStock]]&gt;Table1[[#This Row],[ReorderLevel]]*3,"Over Stock","Okay")</f>
        <v>Okay</v>
      </c>
      <c r="O244" t="str">
        <f>IF(Table1[[#This Row],[CurrentStock]]&lt;Table1[[#This Row],[ReorderLevel]],"Reorder","Okay")</f>
        <v>Reorder</v>
      </c>
    </row>
    <row r="245" spans="1:15" x14ac:dyDescent="0.3">
      <c r="A245">
        <v>38602</v>
      </c>
      <c r="B245" t="s">
        <v>12</v>
      </c>
      <c r="C245" t="s">
        <v>28</v>
      </c>
      <c r="D245">
        <v>59</v>
      </c>
      <c r="E245">
        <v>80</v>
      </c>
      <c r="F245">
        <v>143.29</v>
      </c>
      <c r="G245" t="s">
        <v>35</v>
      </c>
      <c r="H245" s="1">
        <v>45533</v>
      </c>
      <c r="I245" s="1">
        <v>45558</v>
      </c>
      <c r="J245" t="s">
        <v>38</v>
      </c>
      <c r="K245" t="b">
        <f>Table1[[#This Row],[CurrentStock]]&lt;Table1[[#This Row],[ReorderLevel]]</f>
        <v>1</v>
      </c>
      <c r="L245" s="9">
        <f>Table1[[#This Row],[CurrentStock]]*Table1[[#This Row],[UnitPrice]]</f>
        <v>8454.1099999999988</v>
      </c>
      <c r="M245">
        <f>IF(Table1[[#This Row],[ReorderLevel]]-Table1[[#This Row],[CurrentStock]]&gt;0,Table1[[#This Row],[ReorderLevel]]-Table1[[#This Row],[CurrentStock]],"")</f>
        <v>21</v>
      </c>
      <c r="N245" t="str">
        <f>IF(Table1[[#This Row],[CurrentStock]]&gt;Table1[[#This Row],[ReorderLevel]]*3,"Over Stock","Okay")</f>
        <v>Okay</v>
      </c>
      <c r="O245" t="str">
        <f>IF(Table1[[#This Row],[CurrentStock]]&lt;Table1[[#This Row],[ReorderLevel]],"Reorder","Okay")</f>
        <v>Reorder</v>
      </c>
    </row>
    <row r="246" spans="1:15" x14ac:dyDescent="0.3">
      <c r="A246">
        <v>80476</v>
      </c>
      <c r="B246" t="s">
        <v>19</v>
      </c>
      <c r="C246" t="s">
        <v>28</v>
      </c>
      <c r="D246">
        <v>343</v>
      </c>
      <c r="E246">
        <v>80</v>
      </c>
      <c r="F246">
        <v>79.33</v>
      </c>
      <c r="G246" t="s">
        <v>35</v>
      </c>
      <c r="H246" s="1">
        <v>45378</v>
      </c>
      <c r="I246" s="1">
        <v>45390</v>
      </c>
      <c r="J246" t="s">
        <v>38</v>
      </c>
      <c r="K246" t="b">
        <f>Table1[[#This Row],[CurrentStock]]&lt;Table1[[#This Row],[ReorderLevel]]</f>
        <v>0</v>
      </c>
      <c r="L246" s="9">
        <f>Table1[[#This Row],[CurrentStock]]*Table1[[#This Row],[UnitPrice]]</f>
        <v>27210.19</v>
      </c>
      <c r="M246" t="str">
        <f>IF(Table1[[#This Row],[ReorderLevel]]-Table1[[#This Row],[CurrentStock]]&gt;0,Table1[[#This Row],[ReorderLevel]]-Table1[[#This Row],[CurrentStock]],"")</f>
        <v/>
      </c>
      <c r="N246" t="str">
        <f>IF(Table1[[#This Row],[CurrentStock]]&gt;Table1[[#This Row],[ReorderLevel]]*3,"Over Stock","Okay")</f>
        <v>Over Stock</v>
      </c>
      <c r="O246" t="str">
        <f>IF(Table1[[#This Row],[CurrentStock]]&lt;Table1[[#This Row],[ReorderLevel]],"Reorder","Okay")</f>
        <v>Okay</v>
      </c>
    </row>
    <row r="247" spans="1:15" x14ac:dyDescent="0.3">
      <c r="A247">
        <v>93588</v>
      </c>
      <c r="B247" t="s">
        <v>20</v>
      </c>
      <c r="C247" t="s">
        <v>29</v>
      </c>
      <c r="D247">
        <v>108</v>
      </c>
      <c r="E247">
        <v>40</v>
      </c>
      <c r="F247">
        <v>40.270000000000003</v>
      </c>
      <c r="G247" t="s">
        <v>34</v>
      </c>
      <c r="H247" s="1">
        <v>45443</v>
      </c>
      <c r="I247" s="1">
        <v>45464</v>
      </c>
      <c r="J247" t="s">
        <v>37</v>
      </c>
      <c r="K247" t="b">
        <f>Table1[[#This Row],[CurrentStock]]&lt;Table1[[#This Row],[ReorderLevel]]</f>
        <v>0</v>
      </c>
      <c r="L247" s="9">
        <f>Table1[[#This Row],[CurrentStock]]*Table1[[#This Row],[UnitPrice]]</f>
        <v>4349.1600000000008</v>
      </c>
      <c r="M247" t="str">
        <f>IF(Table1[[#This Row],[ReorderLevel]]-Table1[[#This Row],[CurrentStock]]&gt;0,Table1[[#This Row],[ReorderLevel]]-Table1[[#This Row],[CurrentStock]],"")</f>
        <v/>
      </c>
      <c r="N247" t="str">
        <f>IF(Table1[[#This Row],[CurrentStock]]&gt;Table1[[#This Row],[ReorderLevel]]*3,"Over Stock","Okay")</f>
        <v>Okay</v>
      </c>
      <c r="O247" t="str">
        <f>IF(Table1[[#This Row],[CurrentStock]]&lt;Table1[[#This Row],[ReorderLevel]],"Reorder","Okay")</f>
        <v>Okay</v>
      </c>
    </row>
    <row r="248" spans="1:15" x14ac:dyDescent="0.3">
      <c r="A248">
        <v>74027</v>
      </c>
      <c r="B248" t="s">
        <v>25</v>
      </c>
      <c r="C248" t="s">
        <v>31</v>
      </c>
      <c r="D248">
        <v>365</v>
      </c>
      <c r="E248">
        <v>50</v>
      </c>
      <c r="F248">
        <v>178.1</v>
      </c>
      <c r="G248" t="s">
        <v>32</v>
      </c>
      <c r="H248" s="1">
        <v>45502</v>
      </c>
      <c r="I248" s="1">
        <v>45513</v>
      </c>
      <c r="J248" t="s">
        <v>38</v>
      </c>
      <c r="K248" t="b">
        <f>Table1[[#This Row],[CurrentStock]]&lt;Table1[[#This Row],[ReorderLevel]]</f>
        <v>0</v>
      </c>
      <c r="L248" s="9">
        <f>Table1[[#This Row],[CurrentStock]]*Table1[[#This Row],[UnitPrice]]</f>
        <v>65006.5</v>
      </c>
      <c r="M248" t="str">
        <f>IF(Table1[[#This Row],[ReorderLevel]]-Table1[[#This Row],[CurrentStock]]&gt;0,Table1[[#This Row],[ReorderLevel]]-Table1[[#This Row],[CurrentStock]],"")</f>
        <v/>
      </c>
      <c r="N248" t="str">
        <f>IF(Table1[[#This Row],[CurrentStock]]&gt;Table1[[#This Row],[ReorderLevel]]*3,"Over Stock","Okay")</f>
        <v>Over Stock</v>
      </c>
      <c r="O248" t="str">
        <f>IF(Table1[[#This Row],[CurrentStock]]&lt;Table1[[#This Row],[ReorderLevel]],"Reorder","Okay")</f>
        <v>Okay</v>
      </c>
    </row>
    <row r="249" spans="1:15" x14ac:dyDescent="0.3">
      <c r="A249">
        <v>52533</v>
      </c>
      <c r="B249" t="s">
        <v>24</v>
      </c>
      <c r="C249" t="s">
        <v>31</v>
      </c>
      <c r="D249">
        <v>260</v>
      </c>
      <c r="E249">
        <v>100</v>
      </c>
      <c r="F249">
        <v>416.11</v>
      </c>
      <c r="G249" t="s">
        <v>34</v>
      </c>
      <c r="H249" s="1">
        <v>45299</v>
      </c>
      <c r="I249" s="1">
        <v>45313</v>
      </c>
      <c r="J249" t="s">
        <v>37</v>
      </c>
      <c r="K249" t="b">
        <f>Table1[[#This Row],[CurrentStock]]&lt;Table1[[#This Row],[ReorderLevel]]</f>
        <v>0</v>
      </c>
      <c r="L249" s="9">
        <f>Table1[[#This Row],[CurrentStock]]*Table1[[#This Row],[UnitPrice]]</f>
        <v>108188.6</v>
      </c>
      <c r="M249" t="str">
        <f>IF(Table1[[#This Row],[ReorderLevel]]-Table1[[#This Row],[CurrentStock]]&gt;0,Table1[[#This Row],[ReorderLevel]]-Table1[[#This Row],[CurrentStock]],"")</f>
        <v/>
      </c>
      <c r="N249" t="str">
        <f>IF(Table1[[#This Row],[CurrentStock]]&gt;Table1[[#This Row],[ReorderLevel]]*3,"Over Stock","Okay")</f>
        <v>Okay</v>
      </c>
      <c r="O249" t="str">
        <f>IF(Table1[[#This Row],[CurrentStock]]&lt;Table1[[#This Row],[ReorderLevel]],"Reorder","Okay")</f>
        <v>Okay</v>
      </c>
    </row>
    <row r="250" spans="1:15" x14ac:dyDescent="0.3">
      <c r="A250">
        <v>36189</v>
      </c>
      <c r="B250" t="s">
        <v>18</v>
      </c>
      <c r="C250" t="s">
        <v>28</v>
      </c>
      <c r="D250">
        <v>449</v>
      </c>
      <c r="E250">
        <v>150</v>
      </c>
      <c r="F250">
        <v>106.82</v>
      </c>
      <c r="G250" t="s">
        <v>35</v>
      </c>
      <c r="H250" s="1">
        <v>45340</v>
      </c>
      <c r="I250" s="1">
        <v>45348</v>
      </c>
      <c r="J250" t="s">
        <v>37</v>
      </c>
      <c r="K250" t="b">
        <f>Table1[[#This Row],[CurrentStock]]&lt;Table1[[#This Row],[ReorderLevel]]</f>
        <v>0</v>
      </c>
      <c r="L250" s="9">
        <f>Table1[[#This Row],[CurrentStock]]*Table1[[#This Row],[UnitPrice]]</f>
        <v>47962.18</v>
      </c>
      <c r="M250" t="str">
        <f>IF(Table1[[#This Row],[ReorderLevel]]-Table1[[#This Row],[CurrentStock]]&gt;0,Table1[[#This Row],[ReorderLevel]]-Table1[[#This Row],[CurrentStock]],"")</f>
        <v/>
      </c>
      <c r="N250" t="str">
        <f>IF(Table1[[#This Row],[CurrentStock]]&gt;Table1[[#This Row],[ReorderLevel]]*3,"Over Stock","Okay")</f>
        <v>Okay</v>
      </c>
      <c r="O250" t="str">
        <f>IF(Table1[[#This Row],[CurrentStock]]&lt;Table1[[#This Row],[ReorderLevel]],"Reorder","Okay")</f>
        <v>Okay</v>
      </c>
    </row>
    <row r="251" spans="1:15" x14ac:dyDescent="0.3">
      <c r="A251">
        <v>95667</v>
      </c>
      <c r="B251" t="s">
        <v>12</v>
      </c>
      <c r="C251" t="s">
        <v>28</v>
      </c>
      <c r="D251">
        <v>118</v>
      </c>
      <c r="E251">
        <v>100</v>
      </c>
      <c r="F251">
        <v>448.43</v>
      </c>
      <c r="G251" t="s">
        <v>34</v>
      </c>
      <c r="H251" s="1">
        <v>45557</v>
      </c>
      <c r="I251" s="1">
        <v>45582</v>
      </c>
      <c r="J251" t="s">
        <v>38</v>
      </c>
      <c r="K251" t="b">
        <f>Table1[[#This Row],[CurrentStock]]&lt;Table1[[#This Row],[ReorderLevel]]</f>
        <v>0</v>
      </c>
      <c r="L251" s="9">
        <f>Table1[[#This Row],[CurrentStock]]*Table1[[#This Row],[UnitPrice]]</f>
        <v>52914.74</v>
      </c>
      <c r="M251" t="str">
        <f>IF(Table1[[#This Row],[ReorderLevel]]-Table1[[#This Row],[CurrentStock]]&gt;0,Table1[[#This Row],[ReorderLevel]]-Table1[[#This Row],[CurrentStock]],"")</f>
        <v/>
      </c>
      <c r="N251" t="str">
        <f>IF(Table1[[#This Row],[CurrentStock]]&gt;Table1[[#This Row],[ReorderLevel]]*3,"Over Stock","Okay")</f>
        <v>Okay</v>
      </c>
      <c r="O251" t="str">
        <f>IF(Table1[[#This Row],[CurrentStock]]&lt;Table1[[#This Row],[ReorderLevel]],"Reorder","Okay")</f>
        <v>Okay</v>
      </c>
    </row>
    <row r="252" spans="1:15" x14ac:dyDescent="0.3">
      <c r="A252">
        <v>74379</v>
      </c>
      <c r="B252" t="s">
        <v>21</v>
      </c>
      <c r="C252" t="s">
        <v>31</v>
      </c>
      <c r="D252">
        <v>268</v>
      </c>
      <c r="E252">
        <v>80</v>
      </c>
      <c r="F252">
        <v>460.55</v>
      </c>
      <c r="G252" t="s">
        <v>33</v>
      </c>
      <c r="H252" s="1">
        <v>45579</v>
      </c>
      <c r="I252" s="1">
        <v>45615</v>
      </c>
      <c r="J252" t="s">
        <v>38</v>
      </c>
      <c r="K252" t="b">
        <f>Table1[[#This Row],[CurrentStock]]&lt;Table1[[#This Row],[ReorderLevel]]</f>
        <v>0</v>
      </c>
      <c r="L252" s="9">
        <f>Table1[[#This Row],[CurrentStock]]*Table1[[#This Row],[UnitPrice]]</f>
        <v>123427.40000000001</v>
      </c>
      <c r="M252" t="str">
        <f>IF(Table1[[#This Row],[ReorderLevel]]-Table1[[#This Row],[CurrentStock]]&gt;0,Table1[[#This Row],[ReorderLevel]]-Table1[[#This Row],[CurrentStock]],"")</f>
        <v/>
      </c>
      <c r="N252" t="str">
        <f>IF(Table1[[#This Row],[CurrentStock]]&gt;Table1[[#This Row],[ReorderLevel]]*3,"Over Stock","Okay")</f>
        <v>Over Stock</v>
      </c>
      <c r="O252" t="str">
        <f>IF(Table1[[#This Row],[CurrentStock]]&lt;Table1[[#This Row],[ReorderLevel]],"Reorder","Okay")</f>
        <v>Okay</v>
      </c>
    </row>
    <row r="253" spans="1:15" x14ac:dyDescent="0.3">
      <c r="A253">
        <v>65419</v>
      </c>
      <c r="B253" t="s">
        <v>25</v>
      </c>
      <c r="C253" t="s">
        <v>31</v>
      </c>
      <c r="D253">
        <v>272</v>
      </c>
      <c r="E253">
        <v>30</v>
      </c>
      <c r="F253">
        <v>116.18</v>
      </c>
      <c r="G253" t="s">
        <v>33</v>
      </c>
      <c r="H253" s="1">
        <v>45444</v>
      </c>
      <c r="I253" s="1">
        <v>45462</v>
      </c>
      <c r="J253" t="s">
        <v>37</v>
      </c>
      <c r="K253" t="b">
        <f>Table1[[#This Row],[CurrentStock]]&lt;Table1[[#This Row],[ReorderLevel]]</f>
        <v>0</v>
      </c>
      <c r="L253" s="9">
        <f>Table1[[#This Row],[CurrentStock]]*Table1[[#This Row],[UnitPrice]]</f>
        <v>31600.960000000003</v>
      </c>
      <c r="M253" t="str">
        <f>IF(Table1[[#This Row],[ReorderLevel]]-Table1[[#This Row],[CurrentStock]]&gt;0,Table1[[#This Row],[ReorderLevel]]-Table1[[#This Row],[CurrentStock]],"")</f>
        <v/>
      </c>
      <c r="N253" t="str">
        <f>IF(Table1[[#This Row],[CurrentStock]]&gt;Table1[[#This Row],[ReorderLevel]]*3,"Over Stock","Okay")</f>
        <v>Over Stock</v>
      </c>
      <c r="O253" t="str">
        <f>IF(Table1[[#This Row],[CurrentStock]]&lt;Table1[[#This Row],[ReorderLevel]],"Reorder","Okay")</f>
        <v>Okay</v>
      </c>
    </row>
    <row r="254" spans="1:15" x14ac:dyDescent="0.3">
      <c r="A254">
        <v>74946</v>
      </c>
      <c r="B254" t="s">
        <v>21</v>
      </c>
      <c r="C254" t="s">
        <v>31</v>
      </c>
      <c r="D254">
        <v>499</v>
      </c>
      <c r="E254">
        <v>100</v>
      </c>
      <c r="F254">
        <v>464.52</v>
      </c>
      <c r="G254" t="s">
        <v>35</v>
      </c>
      <c r="H254" s="1">
        <v>45463</v>
      </c>
      <c r="I254" s="1">
        <v>45499</v>
      </c>
      <c r="J254" t="s">
        <v>37</v>
      </c>
      <c r="K254" t="b">
        <f>Table1[[#This Row],[CurrentStock]]&lt;Table1[[#This Row],[ReorderLevel]]</f>
        <v>0</v>
      </c>
      <c r="L254" s="9">
        <f>Table1[[#This Row],[CurrentStock]]*Table1[[#This Row],[UnitPrice]]</f>
        <v>231795.47999999998</v>
      </c>
      <c r="M254" t="str">
        <f>IF(Table1[[#This Row],[ReorderLevel]]-Table1[[#This Row],[CurrentStock]]&gt;0,Table1[[#This Row],[ReorderLevel]]-Table1[[#This Row],[CurrentStock]],"")</f>
        <v/>
      </c>
      <c r="N254" t="str">
        <f>IF(Table1[[#This Row],[CurrentStock]]&gt;Table1[[#This Row],[ReorderLevel]]*3,"Over Stock","Okay")</f>
        <v>Over Stock</v>
      </c>
      <c r="O254" t="str">
        <f>IF(Table1[[#This Row],[CurrentStock]]&lt;Table1[[#This Row],[ReorderLevel]],"Reorder","Okay")</f>
        <v>Okay</v>
      </c>
    </row>
    <row r="255" spans="1:15" x14ac:dyDescent="0.3">
      <c r="A255">
        <v>38044</v>
      </c>
      <c r="B255" t="s">
        <v>15</v>
      </c>
      <c r="C255" t="s">
        <v>29</v>
      </c>
      <c r="D255">
        <v>31</v>
      </c>
      <c r="E255">
        <v>100</v>
      </c>
      <c r="F255">
        <v>431.38</v>
      </c>
      <c r="G255" t="s">
        <v>36</v>
      </c>
      <c r="H255" s="1">
        <v>45559</v>
      </c>
      <c r="I255" s="1">
        <v>45581</v>
      </c>
      <c r="J255" t="s">
        <v>39</v>
      </c>
      <c r="K255" t="b">
        <f>Table1[[#This Row],[CurrentStock]]&lt;Table1[[#This Row],[ReorderLevel]]</f>
        <v>1</v>
      </c>
      <c r="L255" s="9">
        <f>Table1[[#This Row],[CurrentStock]]*Table1[[#This Row],[UnitPrice]]</f>
        <v>13372.78</v>
      </c>
      <c r="M255">
        <f>IF(Table1[[#This Row],[ReorderLevel]]-Table1[[#This Row],[CurrentStock]]&gt;0,Table1[[#This Row],[ReorderLevel]]-Table1[[#This Row],[CurrentStock]],"")</f>
        <v>69</v>
      </c>
      <c r="N255" t="str">
        <f>IF(Table1[[#This Row],[CurrentStock]]&gt;Table1[[#This Row],[ReorderLevel]]*3,"Over Stock","Okay")</f>
        <v>Okay</v>
      </c>
      <c r="O255" t="str">
        <f>IF(Table1[[#This Row],[CurrentStock]]&lt;Table1[[#This Row],[ReorderLevel]],"Reorder","Okay")</f>
        <v>Reorder</v>
      </c>
    </row>
    <row r="256" spans="1:15" x14ac:dyDescent="0.3">
      <c r="A256">
        <v>33387</v>
      </c>
      <c r="B256" t="s">
        <v>11</v>
      </c>
      <c r="C256" t="s">
        <v>27</v>
      </c>
      <c r="D256">
        <v>202</v>
      </c>
      <c r="E256">
        <v>100</v>
      </c>
      <c r="F256">
        <v>377.83</v>
      </c>
      <c r="G256" t="s">
        <v>36</v>
      </c>
      <c r="H256" s="1">
        <v>45636</v>
      </c>
      <c r="I256" s="1">
        <v>45662</v>
      </c>
      <c r="J256" t="s">
        <v>37</v>
      </c>
      <c r="K256" t="b">
        <f>Table1[[#This Row],[CurrentStock]]&lt;Table1[[#This Row],[ReorderLevel]]</f>
        <v>0</v>
      </c>
      <c r="L256" s="9">
        <f>Table1[[#This Row],[CurrentStock]]*Table1[[#This Row],[UnitPrice]]</f>
        <v>76321.66</v>
      </c>
      <c r="M256" t="str">
        <f>IF(Table1[[#This Row],[ReorderLevel]]-Table1[[#This Row],[CurrentStock]]&gt;0,Table1[[#This Row],[ReorderLevel]]-Table1[[#This Row],[CurrentStock]],"")</f>
        <v/>
      </c>
      <c r="N256" t="str">
        <f>IF(Table1[[#This Row],[CurrentStock]]&gt;Table1[[#This Row],[ReorderLevel]]*3,"Over Stock","Okay")</f>
        <v>Okay</v>
      </c>
      <c r="O256" t="str">
        <f>IF(Table1[[#This Row],[CurrentStock]]&lt;Table1[[#This Row],[ReorderLevel]],"Reorder","Okay")</f>
        <v>Okay</v>
      </c>
    </row>
    <row r="257" spans="1:15" x14ac:dyDescent="0.3">
      <c r="A257">
        <v>56486</v>
      </c>
      <c r="B257" t="s">
        <v>21</v>
      </c>
      <c r="C257" t="s">
        <v>31</v>
      </c>
      <c r="D257">
        <v>28</v>
      </c>
      <c r="E257">
        <v>80</v>
      </c>
      <c r="F257">
        <v>364.36</v>
      </c>
      <c r="G257" t="s">
        <v>34</v>
      </c>
      <c r="H257" s="1">
        <v>45574</v>
      </c>
      <c r="I257" s="1">
        <v>45609</v>
      </c>
      <c r="J257" t="s">
        <v>37</v>
      </c>
      <c r="K257" t="b">
        <f>Table1[[#This Row],[CurrentStock]]&lt;Table1[[#This Row],[ReorderLevel]]</f>
        <v>1</v>
      </c>
      <c r="L257" s="9">
        <f>Table1[[#This Row],[CurrentStock]]*Table1[[#This Row],[UnitPrice]]</f>
        <v>10202.08</v>
      </c>
      <c r="M257">
        <f>IF(Table1[[#This Row],[ReorderLevel]]-Table1[[#This Row],[CurrentStock]]&gt;0,Table1[[#This Row],[ReorderLevel]]-Table1[[#This Row],[CurrentStock]],"")</f>
        <v>52</v>
      </c>
      <c r="N257" t="str">
        <f>IF(Table1[[#This Row],[CurrentStock]]&gt;Table1[[#This Row],[ReorderLevel]]*3,"Over Stock","Okay")</f>
        <v>Okay</v>
      </c>
      <c r="O257" t="str">
        <f>IF(Table1[[#This Row],[CurrentStock]]&lt;Table1[[#This Row],[ReorderLevel]],"Reorder","Okay")</f>
        <v>Reorder</v>
      </c>
    </row>
    <row r="258" spans="1:15" x14ac:dyDescent="0.3">
      <c r="A258">
        <v>91942</v>
      </c>
      <c r="B258" t="s">
        <v>20</v>
      </c>
      <c r="C258" t="s">
        <v>29</v>
      </c>
      <c r="D258">
        <v>188</v>
      </c>
      <c r="E258">
        <v>20</v>
      </c>
      <c r="F258">
        <v>256.64</v>
      </c>
      <c r="G258" t="s">
        <v>36</v>
      </c>
      <c r="H258" s="1">
        <v>45482</v>
      </c>
      <c r="I258" s="1">
        <v>45505</v>
      </c>
      <c r="J258" t="s">
        <v>39</v>
      </c>
      <c r="K258" t="b">
        <f>Table1[[#This Row],[CurrentStock]]&lt;Table1[[#This Row],[ReorderLevel]]</f>
        <v>0</v>
      </c>
      <c r="L258" s="9">
        <f>Table1[[#This Row],[CurrentStock]]*Table1[[#This Row],[UnitPrice]]</f>
        <v>48248.32</v>
      </c>
      <c r="M258" t="str">
        <f>IF(Table1[[#This Row],[ReorderLevel]]-Table1[[#This Row],[CurrentStock]]&gt;0,Table1[[#This Row],[ReorderLevel]]-Table1[[#This Row],[CurrentStock]],"")</f>
        <v/>
      </c>
      <c r="N258" t="str">
        <f>IF(Table1[[#This Row],[CurrentStock]]&gt;Table1[[#This Row],[ReorderLevel]]*3,"Over Stock","Okay")</f>
        <v>Over Stock</v>
      </c>
      <c r="O258" t="str">
        <f>IF(Table1[[#This Row],[CurrentStock]]&lt;Table1[[#This Row],[ReorderLevel]],"Reorder","Okay")</f>
        <v>Okay</v>
      </c>
    </row>
    <row r="259" spans="1:15" x14ac:dyDescent="0.3">
      <c r="A259">
        <v>75095</v>
      </c>
      <c r="B259" t="s">
        <v>22</v>
      </c>
      <c r="C259" t="s">
        <v>27</v>
      </c>
      <c r="D259">
        <v>280</v>
      </c>
      <c r="E259">
        <v>80</v>
      </c>
      <c r="F259">
        <v>84.24</v>
      </c>
      <c r="G259" t="s">
        <v>35</v>
      </c>
      <c r="H259" s="1">
        <v>45653</v>
      </c>
      <c r="I259" s="1">
        <v>45673</v>
      </c>
      <c r="J259" t="s">
        <v>37</v>
      </c>
      <c r="K259" t="b">
        <f>Table1[[#This Row],[CurrentStock]]&lt;Table1[[#This Row],[ReorderLevel]]</f>
        <v>0</v>
      </c>
      <c r="L259" s="9">
        <f>Table1[[#This Row],[CurrentStock]]*Table1[[#This Row],[UnitPrice]]</f>
        <v>23587.199999999997</v>
      </c>
      <c r="M259" t="str">
        <f>IF(Table1[[#This Row],[ReorderLevel]]-Table1[[#This Row],[CurrentStock]]&gt;0,Table1[[#This Row],[ReorderLevel]]-Table1[[#This Row],[CurrentStock]],"")</f>
        <v/>
      </c>
      <c r="N259" t="str">
        <f>IF(Table1[[#This Row],[CurrentStock]]&gt;Table1[[#This Row],[ReorderLevel]]*3,"Over Stock","Okay")</f>
        <v>Over Stock</v>
      </c>
      <c r="O259" t="str">
        <f>IF(Table1[[#This Row],[CurrentStock]]&lt;Table1[[#This Row],[ReorderLevel]],"Reorder","Okay")</f>
        <v>Okay</v>
      </c>
    </row>
    <row r="260" spans="1:15" x14ac:dyDescent="0.3">
      <c r="A260">
        <v>78056</v>
      </c>
      <c r="B260" t="s">
        <v>20</v>
      </c>
      <c r="C260" t="s">
        <v>29</v>
      </c>
      <c r="D260">
        <v>387</v>
      </c>
      <c r="E260">
        <v>40</v>
      </c>
      <c r="F260">
        <v>203.74</v>
      </c>
      <c r="G260" t="s">
        <v>33</v>
      </c>
      <c r="H260" s="1">
        <v>45653</v>
      </c>
      <c r="I260" s="1">
        <v>45691</v>
      </c>
      <c r="J260" t="s">
        <v>37</v>
      </c>
      <c r="K260" t="b">
        <f>Table1[[#This Row],[CurrentStock]]&lt;Table1[[#This Row],[ReorderLevel]]</f>
        <v>0</v>
      </c>
      <c r="L260" s="9">
        <f>Table1[[#This Row],[CurrentStock]]*Table1[[#This Row],[UnitPrice]]</f>
        <v>78847.38</v>
      </c>
      <c r="M260" t="str">
        <f>IF(Table1[[#This Row],[ReorderLevel]]-Table1[[#This Row],[CurrentStock]]&gt;0,Table1[[#This Row],[ReorderLevel]]-Table1[[#This Row],[CurrentStock]],"")</f>
        <v/>
      </c>
      <c r="N260" t="str">
        <f>IF(Table1[[#This Row],[CurrentStock]]&gt;Table1[[#This Row],[ReorderLevel]]*3,"Over Stock","Okay")</f>
        <v>Over Stock</v>
      </c>
      <c r="O260" t="str">
        <f>IF(Table1[[#This Row],[CurrentStock]]&lt;Table1[[#This Row],[ReorderLevel]],"Reorder","Okay")</f>
        <v>Okay</v>
      </c>
    </row>
    <row r="261" spans="1:15" x14ac:dyDescent="0.3">
      <c r="A261">
        <v>20805</v>
      </c>
      <c r="B261" t="s">
        <v>13</v>
      </c>
      <c r="C261" t="s">
        <v>29</v>
      </c>
      <c r="D261">
        <v>65</v>
      </c>
      <c r="E261">
        <v>20</v>
      </c>
      <c r="F261">
        <v>190.75</v>
      </c>
      <c r="G261" t="s">
        <v>34</v>
      </c>
      <c r="H261" s="1">
        <v>45377</v>
      </c>
      <c r="I261" s="1">
        <v>45407</v>
      </c>
      <c r="J261" t="s">
        <v>37</v>
      </c>
      <c r="K261" t="b">
        <f>Table1[[#This Row],[CurrentStock]]&lt;Table1[[#This Row],[ReorderLevel]]</f>
        <v>0</v>
      </c>
      <c r="L261" s="9">
        <f>Table1[[#This Row],[CurrentStock]]*Table1[[#This Row],[UnitPrice]]</f>
        <v>12398.75</v>
      </c>
      <c r="M261" t="str">
        <f>IF(Table1[[#This Row],[ReorderLevel]]-Table1[[#This Row],[CurrentStock]]&gt;0,Table1[[#This Row],[ReorderLevel]]-Table1[[#This Row],[CurrentStock]],"")</f>
        <v/>
      </c>
      <c r="N261" t="str">
        <f>IF(Table1[[#This Row],[CurrentStock]]&gt;Table1[[#This Row],[ReorderLevel]]*3,"Over Stock","Okay")</f>
        <v>Over Stock</v>
      </c>
      <c r="O261" t="str">
        <f>IF(Table1[[#This Row],[CurrentStock]]&lt;Table1[[#This Row],[ReorderLevel]],"Reorder","Okay")</f>
        <v>Okay</v>
      </c>
    </row>
    <row r="262" spans="1:15" x14ac:dyDescent="0.3">
      <c r="A262">
        <v>15110</v>
      </c>
      <c r="B262" t="s">
        <v>12</v>
      </c>
      <c r="C262" t="s">
        <v>28</v>
      </c>
      <c r="D262">
        <v>436</v>
      </c>
      <c r="E262">
        <v>20</v>
      </c>
      <c r="F262">
        <v>340.8</v>
      </c>
      <c r="G262" t="s">
        <v>32</v>
      </c>
      <c r="H262" s="1">
        <v>45534</v>
      </c>
      <c r="I262" s="1">
        <v>45569</v>
      </c>
      <c r="J262" t="s">
        <v>37</v>
      </c>
      <c r="K262" t="b">
        <f>Table1[[#This Row],[CurrentStock]]&lt;Table1[[#This Row],[ReorderLevel]]</f>
        <v>0</v>
      </c>
      <c r="L262" s="9">
        <f>Table1[[#This Row],[CurrentStock]]*Table1[[#This Row],[UnitPrice]]</f>
        <v>148588.80000000002</v>
      </c>
      <c r="M262" t="str">
        <f>IF(Table1[[#This Row],[ReorderLevel]]-Table1[[#This Row],[CurrentStock]]&gt;0,Table1[[#This Row],[ReorderLevel]]-Table1[[#This Row],[CurrentStock]],"")</f>
        <v/>
      </c>
      <c r="N262" t="str">
        <f>IF(Table1[[#This Row],[CurrentStock]]&gt;Table1[[#This Row],[ReorderLevel]]*3,"Over Stock","Okay")</f>
        <v>Over Stock</v>
      </c>
      <c r="O262" t="str">
        <f>IF(Table1[[#This Row],[CurrentStock]]&lt;Table1[[#This Row],[ReorderLevel]],"Reorder","Okay")</f>
        <v>Okay</v>
      </c>
    </row>
    <row r="263" spans="1:15" x14ac:dyDescent="0.3">
      <c r="A263">
        <v>33705</v>
      </c>
      <c r="B263" t="s">
        <v>25</v>
      </c>
      <c r="C263" t="s">
        <v>31</v>
      </c>
      <c r="D263">
        <v>380</v>
      </c>
      <c r="E263">
        <v>50</v>
      </c>
      <c r="F263">
        <v>362.43</v>
      </c>
      <c r="G263" t="s">
        <v>36</v>
      </c>
      <c r="H263" s="1">
        <v>45315</v>
      </c>
      <c r="I263" s="1">
        <v>45354</v>
      </c>
      <c r="J263" t="s">
        <v>39</v>
      </c>
      <c r="K263" t="b">
        <f>Table1[[#This Row],[CurrentStock]]&lt;Table1[[#This Row],[ReorderLevel]]</f>
        <v>0</v>
      </c>
      <c r="L263" s="9">
        <f>Table1[[#This Row],[CurrentStock]]*Table1[[#This Row],[UnitPrice]]</f>
        <v>137723.4</v>
      </c>
      <c r="M263" t="str">
        <f>IF(Table1[[#This Row],[ReorderLevel]]-Table1[[#This Row],[CurrentStock]]&gt;0,Table1[[#This Row],[ReorderLevel]]-Table1[[#This Row],[CurrentStock]],"")</f>
        <v/>
      </c>
      <c r="N263" t="str">
        <f>IF(Table1[[#This Row],[CurrentStock]]&gt;Table1[[#This Row],[ReorderLevel]]*3,"Over Stock","Okay")</f>
        <v>Over Stock</v>
      </c>
      <c r="O263" t="str">
        <f>IF(Table1[[#This Row],[CurrentStock]]&lt;Table1[[#This Row],[ReorderLevel]],"Reorder","Okay")</f>
        <v>Okay</v>
      </c>
    </row>
    <row r="264" spans="1:15" x14ac:dyDescent="0.3">
      <c r="A264">
        <v>71627</v>
      </c>
      <c r="B264" t="s">
        <v>23</v>
      </c>
      <c r="C264" t="s">
        <v>30</v>
      </c>
      <c r="D264">
        <v>487</v>
      </c>
      <c r="E264">
        <v>150</v>
      </c>
      <c r="F264">
        <v>6.59</v>
      </c>
      <c r="G264" t="s">
        <v>35</v>
      </c>
      <c r="H264" s="1">
        <v>45329</v>
      </c>
      <c r="I264" s="1">
        <v>45337</v>
      </c>
      <c r="J264" t="s">
        <v>37</v>
      </c>
      <c r="K264" t="b">
        <f>Table1[[#This Row],[CurrentStock]]&lt;Table1[[#This Row],[ReorderLevel]]</f>
        <v>0</v>
      </c>
      <c r="L264" s="9">
        <f>Table1[[#This Row],[CurrentStock]]*Table1[[#This Row],[UnitPrice]]</f>
        <v>3209.33</v>
      </c>
      <c r="M264" t="str">
        <f>IF(Table1[[#This Row],[ReorderLevel]]-Table1[[#This Row],[CurrentStock]]&gt;0,Table1[[#This Row],[ReorderLevel]]-Table1[[#This Row],[CurrentStock]],"")</f>
        <v/>
      </c>
      <c r="N264" t="str">
        <f>IF(Table1[[#This Row],[CurrentStock]]&gt;Table1[[#This Row],[ReorderLevel]]*3,"Over Stock","Okay")</f>
        <v>Over Stock</v>
      </c>
      <c r="O264" t="str">
        <f>IF(Table1[[#This Row],[CurrentStock]]&lt;Table1[[#This Row],[ReorderLevel]],"Reorder","Okay")</f>
        <v>Okay</v>
      </c>
    </row>
    <row r="265" spans="1:15" x14ac:dyDescent="0.3">
      <c r="A265">
        <v>26087</v>
      </c>
      <c r="B265" t="s">
        <v>10</v>
      </c>
      <c r="C265" t="s">
        <v>27</v>
      </c>
      <c r="D265">
        <v>118</v>
      </c>
      <c r="E265">
        <v>150</v>
      </c>
      <c r="F265">
        <v>243.08</v>
      </c>
      <c r="G265" t="s">
        <v>36</v>
      </c>
      <c r="H265" s="1">
        <v>45305</v>
      </c>
      <c r="I265" s="1">
        <v>45312</v>
      </c>
      <c r="J265" t="s">
        <v>39</v>
      </c>
      <c r="K265" t="b">
        <f>Table1[[#This Row],[CurrentStock]]&lt;Table1[[#This Row],[ReorderLevel]]</f>
        <v>1</v>
      </c>
      <c r="L265" s="9">
        <f>Table1[[#This Row],[CurrentStock]]*Table1[[#This Row],[UnitPrice]]</f>
        <v>28683.440000000002</v>
      </c>
      <c r="M265">
        <f>IF(Table1[[#This Row],[ReorderLevel]]-Table1[[#This Row],[CurrentStock]]&gt;0,Table1[[#This Row],[ReorderLevel]]-Table1[[#This Row],[CurrentStock]],"")</f>
        <v>32</v>
      </c>
      <c r="N265" t="str">
        <f>IF(Table1[[#This Row],[CurrentStock]]&gt;Table1[[#This Row],[ReorderLevel]]*3,"Over Stock","Okay")</f>
        <v>Okay</v>
      </c>
      <c r="O265" t="str">
        <f>IF(Table1[[#This Row],[CurrentStock]]&lt;Table1[[#This Row],[ReorderLevel]],"Reorder","Okay")</f>
        <v>Reorder</v>
      </c>
    </row>
    <row r="266" spans="1:15" x14ac:dyDescent="0.3">
      <c r="A266">
        <v>24226</v>
      </c>
      <c r="B266" t="s">
        <v>11</v>
      </c>
      <c r="C266" t="s">
        <v>27</v>
      </c>
      <c r="D266">
        <v>375</v>
      </c>
      <c r="E266">
        <v>100</v>
      </c>
      <c r="F266">
        <v>245.87</v>
      </c>
      <c r="G266" t="s">
        <v>34</v>
      </c>
      <c r="H266" s="1">
        <v>45449</v>
      </c>
      <c r="I266" s="1">
        <v>45471</v>
      </c>
      <c r="J266" t="s">
        <v>38</v>
      </c>
      <c r="K266" t="b">
        <f>Table1[[#This Row],[CurrentStock]]&lt;Table1[[#This Row],[ReorderLevel]]</f>
        <v>0</v>
      </c>
      <c r="L266" s="9">
        <f>Table1[[#This Row],[CurrentStock]]*Table1[[#This Row],[UnitPrice]]</f>
        <v>92201.25</v>
      </c>
      <c r="M266" t="str">
        <f>IF(Table1[[#This Row],[ReorderLevel]]-Table1[[#This Row],[CurrentStock]]&gt;0,Table1[[#This Row],[ReorderLevel]]-Table1[[#This Row],[CurrentStock]],"")</f>
        <v/>
      </c>
      <c r="N266" t="str">
        <f>IF(Table1[[#This Row],[CurrentStock]]&gt;Table1[[#This Row],[ReorderLevel]]*3,"Over Stock","Okay")</f>
        <v>Over Stock</v>
      </c>
      <c r="O266" t="str">
        <f>IF(Table1[[#This Row],[CurrentStock]]&lt;Table1[[#This Row],[ReorderLevel]],"Reorder","Okay")</f>
        <v>Okay</v>
      </c>
    </row>
    <row r="267" spans="1:15" x14ac:dyDescent="0.3">
      <c r="A267">
        <v>76077</v>
      </c>
      <c r="B267" t="s">
        <v>19</v>
      </c>
      <c r="C267" t="s">
        <v>28</v>
      </c>
      <c r="D267">
        <v>365</v>
      </c>
      <c r="E267">
        <v>40</v>
      </c>
      <c r="F267">
        <v>33.979999999999997</v>
      </c>
      <c r="G267" t="s">
        <v>33</v>
      </c>
      <c r="H267" s="1">
        <v>45400</v>
      </c>
      <c r="I267" s="1">
        <v>45416</v>
      </c>
      <c r="J267" t="s">
        <v>39</v>
      </c>
      <c r="K267" t="b">
        <f>Table1[[#This Row],[CurrentStock]]&lt;Table1[[#This Row],[ReorderLevel]]</f>
        <v>0</v>
      </c>
      <c r="L267" s="9">
        <f>Table1[[#This Row],[CurrentStock]]*Table1[[#This Row],[UnitPrice]]</f>
        <v>12402.699999999999</v>
      </c>
      <c r="M267" t="str">
        <f>IF(Table1[[#This Row],[ReorderLevel]]-Table1[[#This Row],[CurrentStock]]&gt;0,Table1[[#This Row],[ReorderLevel]]-Table1[[#This Row],[CurrentStock]],"")</f>
        <v/>
      </c>
      <c r="N267" t="str">
        <f>IF(Table1[[#This Row],[CurrentStock]]&gt;Table1[[#This Row],[ReorderLevel]]*3,"Over Stock","Okay")</f>
        <v>Over Stock</v>
      </c>
      <c r="O267" t="str">
        <f>IF(Table1[[#This Row],[CurrentStock]]&lt;Table1[[#This Row],[ReorderLevel]],"Reorder","Okay")</f>
        <v>Okay</v>
      </c>
    </row>
    <row r="268" spans="1:15" x14ac:dyDescent="0.3">
      <c r="A268">
        <v>38854</v>
      </c>
      <c r="B268" t="s">
        <v>16</v>
      </c>
      <c r="C268" t="s">
        <v>30</v>
      </c>
      <c r="D268">
        <v>355</v>
      </c>
      <c r="E268">
        <v>40</v>
      </c>
      <c r="F268">
        <v>222.9</v>
      </c>
      <c r="G268" t="s">
        <v>35</v>
      </c>
      <c r="H268" s="1">
        <v>45519</v>
      </c>
      <c r="I268" s="1">
        <v>45553</v>
      </c>
      <c r="J268" t="s">
        <v>38</v>
      </c>
      <c r="K268" t="b">
        <f>Table1[[#This Row],[CurrentStock]]&lt;Table1[[#This Row],[ReorderLevel]]</f>
        <v>0</v>
      </c>
      <c r="L268" s="9">
        <f>Table1[[#This Row],[CurrentStock]]*Table1[[#This Row],[UnitPrice]]</f>
        <v>79129.5</v>
      </c>
      <c r="M268" t="str">
        <f>IF(Table1[[#This Row],[ReorderLevel]]-Table1[[#This Row],[CurrentStock]]&gt;0,Table1[[#This Row],[ReorderLevel]]-Table1[[#This Row],[CurrentStock]],"")</f>
        <v/>
      </c>
      <c r="N268" t="str">
        <f>IF(Table1[[#This Row],[CurrentStock]]&gt;Table1[[#This Row],[ReorderLevel]]*3,"Over Stock","Okay")</f>
        <v>Over Stock</v>
      </c>
      <c r="O268" t="str">
        <f>IF(Table1[[#This Row],[CurrentStock]]&lt;Table1[[#This Row],[ReorderLevel]],"Reorder","Okay")</f>
        <v>Okay</v>
      </c>
    </row>
    <row r="269" spans="1:15" x14ac:dyDescent="0.3">
      <c r="A269">
        <v>26184</v>
      </c>
      <c r="B269" t="s">
        <v>12</v>
      </c>
      <c r="C269" t="s">
        <v>28</v>
      </c>
      <c r="D269">
        <v>318</v>
      </c>
      <c r="E269">
        <v>50</v>
      </c>
      <c r="F269">
        <v>35.96</v>
      </c>
      <c r="G269" t="s">
        <v>34</v>
      </c>
      <c r="H269" s="1">
        <v>45542</v>
      </c>
      <c r="I269" s="1">
        <v>45557</v>
      </c>
      <c r="J269" t="s">
        <v>39</v>
      </c>
      <c r="K269" t="b">
        <f>Table1[[#This Row],[CurrentStock]]&lt;Table1[[#This Row],[ReorderLevel]]</f>
        <v>0</v>
      </c>
      <c r="L269" s="9">
        <f>Table1[[#This Row],[CurrentStock]]*Table1[[#This Row],[UnitPrice]]</f>
        <v>11435.28</v>
      </c>
      <c r="M269" t="str">
        <f>IF(Table1[[#This Row],[ReorderLevel]]-Table1[[#This Row],[CurrentStock]]&gt;0,Table1[[#This Row],[ReorderLevel]]-Table1[[#This Row],[CurrentStock]],"")</f>
        <v/>
      </c>
      <c r="N269" t="str">
        <f>IF(Table1[[#This Row],[CurrentStock]]&gt;Table1[[#This Row],[ReorderLevel]]*3,"Over Stock","Okay")</f>
        <v>Over Stock</v>
      </c>
      <c r="O269" t="str">
        <f>IF(Table1[[#This Row],[CurrentStock]]&lt;Table1[[#This Row],[ReorderLevel]],"Reorder","Okay")</f>
        <v>Okay</v>
      </c>
    </row>
    <row r="270" spans="1:15" x14ac:dyDescent="0.3">
      <c r="A270">
        <v>40254</v>
      </c>
      <c r="B270" t="s">
        <v>26</v>
      </c>
      <c r="C270" t="s">
        <v>30</v>
      </c>
      <c r="D270">
        <v>400</v>
      </c>
      <c r="E270">
        <v>100</v>
      </c>
      <c r="F270">
        <v>319.91000000000003</v>
      </c>
      <c r="G270" t="s">
        <v>34</v>
      </c>
      <c r="H270" s="1">
        <v>45531</v>
      </c>
      <c r="I270" s="1">
        <v>45562</v>
      </c>
      <c r="J270" t="s">
        <v>38</v>
      </c>
      <c r="K270" t="b">
        <f>Table1[[#This Row],[CurrentStock]]&lt;Table1[[#This Row],[ReorderLevel]]</f>
        <v>0</v>
      </c>
      <c r="L270" s="9">
        <f>Table1[[#This Row],[CurrentStock]]*Table1[[#This Row],[UnitPrice]]</f>
        <v>127964.00000000001</v>
      </c>
      <c r="M270" t="str">
        <f>IF(Table1[[#This Row],[ReorderLevel]]-Table1[[#This Row],[CurrentStock]]&gt;0,Table1[[#This Row],[ReorderLevel]]-Table1[[#This Row],[CurrentStock]],"")</f>
        <v/>
      </c>
      <c r="N270" t="str">
        <f>IF(Table1[[#This Row],[CurrentStock]]&gt;Table1[[#This Row],[ReorderLevel]]*3,"Over Stock","Okay")</f>
        <v>Over Stock</v>
      </c>
      <c r="O270" t="str">
        <f>IF(Table1[[#This Row],[CurrentStock]]&lt;Table1[[#This Row],[ReorderLevel]],"Reorder","Okay")</f>
        <v>Okay</v>
      </c>
    </row>
    <row r="271" spans="1:15" x14ac:dyDescent="0.3">
      <c r="A271">
        <v>44865</v>
      </c>
      <c r="B271" t="s">
        <v>12</v>
      </c>
      <c r="C271" t="s">
        <v>28</v>
      </c>
      <c r="D271">
        <v>399</v>
      </c>
      <c r="E271">
        <v>80</v>
      </c>
      <c r="F271">
        <v>96.32</v>
      </c>
      <c r="G271" t="s">
        <v>32</v>
      </c>
      <c r="H271" s="1">
        <v>45352</v>
      </c>
      <c r="I271" s="1">
        <v>45366</v>
      </c>
      <c r="J271" t="s">
        <v>37</v>
      </c>
      <c r="K271" t="b">
        <f>Table1[[#This Row],[CurrentStock]]&lt;Table1[[#This Row],[ReorderLevel]]</f>
        <v>0</v>
      </c>
      <c r="L271" s="9">
        <f>Table1[[#This Row],[CurrentStock]]*Table1[[#This Row],[UnitPrice]]</f>
        <v>38431.68</v>
      </c>
      <c r="M271" t="str">
        <f>IF(Table1[[#This Row],[ReorderLevel]]-Table1[[#This Row],[CurrentStock]]&gt;0,Table1[[#This Row],[ReorderLevel]]-Table1[[#This Row],[CurrentStock]],"")</f>
        <v/>
      </c>
      <c r="N271" t="str">
        <f>IF(Table1[[#This Row],[CurrentStock]]&gt;Table1[[#This Row],[ReorderLevel]]*3,"Over Stock","Okay")</f>
        <v>Over Stock</v>
      </c>
      <c r="O271" t="str">
        <f>IF(Table1[[#This Row],[CurrentStock]]&lt;Table1[[#This Row],[ReorderLevel]],"Reorder","Okay")</f>
        <v>Okay</v>
      </c>
    </row>
    <row r="272" spans="1:15" x14ac:dyDescent="0.3">
      <c r="A272">
        <v>93820</v>
      </c>
      <c r="B272" t="s">
        <v>20</v>
      </c>
      <c r="C272" t="s">
        <v>29</v>
      </c>
      <c r="D272">
        <v>349</v>
      </c>
      <c r="E272">
        <v>100</v>
      </c>
      <c r="F272">
        <v>295.31</v>
      </c>
      <c r="G272" t="s">
        <v>32</v>
      </c>
      <c r="H272" s="1">
        <v>45489</v>
      </c>
      <c r="I272" s="1">
        <v>45510</v>
      </c>
      <c r="J272" t="s">
        <v>37</v>
      </c>
      <c r="K272" t="b">
        <f>Table1[[#This Row],[CurrentStock]]&lt;Table1[[#This Row],[ReorderLevel]]</f>
        <v>0</v>
      </c>
      <c r="L272" s="9">
        <f>Table1[[#This Row],[CurrentStock]]*Table1[[#This Row],[UnitPrice]]</f>
        <v>103063.19</v>
      </c>
      <c r="M272" t="str">
        <f>IF(Table1[[#This Row],[ReorderLevel]]-Table1[[#This Row],[CurrentStock]]&gt;0,Table1[[#This Row],[ReorderLevel]]-Table1[[#This Row],[CurrentStock]],"")</f>
        <v/>
      </c>
      <c r="N272" t="str">
        <f>IF(Table1[[#This Row],[CurrentStock]]&gt;Table1[[#This Row],[ReorderLevel]]*3,"Over Stock","Okay")</f>
        <v>Over Stock</v>
      </c>
      <c r="O272" t="str">
        <f>IF(Table1[[#This Row],[CurrentStock]]&lt;Table1[[#This Row],[ReorderLevel]],"Reorder","Okay")</f>
        <v>Okay</v>
      </c>
    </row>
    <row r="273" spans="1:15" x14ac:dyDescent="0.3">
      <c r="A273">
        <v>17999</v>
      </c>
      <c r="B273" t="s">
        <v>15</v>
      </c>
      <c r="C273" t="s">
        <v>29</v>
      </c>
      <c r="D273">
        <v>34</v>
      </c>
      <c r="E273">
        <v>100</v>
      </c>
      <c r="F273">
        <v>116.64</v>
      </c>
      <c r="G273" t="s">
        <v>36</v>
      </c>
      <c r="H273" s="1">
        <v>45360</v>
      </c>
      <c r="I273" s="1">
        <v>45393</v>
      </c>
      <c r="J273" t="s">
        <v>37</v>
      </c>
      <c r="K273" t="b">
        <f>Table1[[#This Row],[CurrentStock]]&lt;Table1[[#This Row],[ReorderLevel]]</f>
        <v>1</v>
      </c>
      <c r="L273" s="9">
        <f>Table1[[#This Row],[CurrentStock]]*Table1[[#This Row],[UnitPrice]]</f>
        <v>3965.76</v>
      </c>
      <c r="M273">
        <f>IF(Table1[[#This Row],[ReorderLevel]]-Table1[[#This Row],[CurrentStock]]&gt;0,Table1[[#This Row],[ReorderLevel]]-Table1[[#This Row],[CurrentStock]],"")</f>
        <v>66</v>
      </c>
      <c r="N273" t="str">
        <f>IF(Table1[[#This Row],[CurrentStock]]&gt;Table1[[#This Row],[ReorderLevel]]*3,"Over Stock","Okay")</f>
        <v>Okay</v>
      </c>
      <c r="O273" t="str">
        <f>IF(Table1[[#This Row],[CurrentStock]]&lt;Table1[[#This Row],[ReorderLevel]],"Reorder","Okay")</f>
        <v>Reorder</v>
      </c>
    </row>
    <row r="274" spans="1:15" x14ac:dyDescent="0.3">
      <c r="A274">
        <v>39309</v>
      </c>
      <c r="B274" t="s">
        <v>23</v>
      </c>
      <c r="C274" t="s">
        <v>30</v>
      </c>
      <c r="D274">
        <v>191</v>
      </c>
      <c r="E274">
        <v>80</v>
      </c>
      <c r="F274">
        <v>354.48</v>
      </c>
      <c r="G274" t="s">
        <v>33</v>
      </c>
      <c r="H274" s="1">
        <v>45381</v>
      </c>
      <c r="I274" s="1">
        <v>45389</v>
      </c>
      <c r="J274" t="s">
        <v>38</v>
      </c>
      <c r="K274" t="b">
        <f>Table1[[#This Row],[CurrentStock]]&lt;Table1[[#This Row],[ReorderLevel]]</f>
        <v>0</v>
      </c>
      <c r="L274" s="9">
        <f>Table1[[#This Row],[CurrentStock]]*Table1[[#This Row],[UnitPrice]]</f>
        <v>67705.680000000008</v>
      </c>
      <c r="M274" t="str">
        <f>IF(Table1[[#This Row],[ReorderLevel]]-Table1[[#This Row],[CurrentStock]]&gt;0,Table1[[#This Row],[ReorderLevel]]-Table1[[#This Row],[CurrentStock]],"")</f>
        <v/>
      </c>
      <c r="N274" t="str">
        <f>IF(Table1[[#This Row],[CurrentStock]]&gt;Table1[[#This Row],[ReorderLevel]]*3,"Over Stock","Okay")</f>
        <v>Okay</v>
      </c>
      <c r="O274" t="str">
        <f>IF(Table1[[#This Row],[CurrentStock]]&lt;Table1[[#This Row],[ReorderLevel]],"Reorder","Okay")</f>
        <v>Okay</v>
      </c>
    </row>
    <row r="275" spans="1:15" x14ac:dyDescent="0.3">
      <c r="A275">
        <v>77155</v>
      </c>
      <c r="B275" t="s">
        <v>18</v>
      </c>
      <c r="C275" t="s">
        <v>28</v>
      </c>
      <c r="D275">
        <v>99</v>
      </c>
      <c r="E275">
        <v>100</v>
      </c>
      <c r="F275">
        <v>33.35</v>
      </c>
      <c r="G275" t="s">
        <v>35</v>
      </c>
      <c r="H275" s="1">
        <v>45465</v>
      </c>
      <c r="I275" s="1">
        <v>45500</v>
      </c>
      <c r="J275" t="s">
        <v>37</v>
      </c>
      <c r="K275" t="b">
        <f>Table1[[#This Row],[CurrentStock]]&lt;Table1[[#This Row],[ReorderLevel]]</f>
        <v>1</v>
      </c>
      <c r="L275" s="9">
        <f>Table1[[#This Row],[CurrentStock]]*Table1[[#This Row],[UnitPrice]]</f>
        <v>3301.65</v>
      </c>
      <c r="M275">
        <f>IF(Table1[[#This Row],[ReorderLevel]]-Table1[[#This Row],[CurrentStock]]&gt;0,Table1[[#This Row],[ReorderLevel]]-Table1[[#This Row],[CurrentStock]],"")</f>
        <v>1</v>
      </c>
      <c r="N275" t="str">
        <f>IF(Table1[[#This Row],[CurrentStock]]&gt;Table1[[#This Row],[ReorderLevel]]*3,"Over Stock","Okay")</f>
        <v>Okay</v>
      </c>
      <c r="O275" t="str">
        <f>IF(Table1[[#This Row],[CurrentStock]]&lt;Table1[[#This Row],[ReorderLevel]],"Reorder","Okay")</f>
        <v>Reorder</v>
      </c>
    </row>
    <row r="276" spans="1:15" x14ac:dyDescent="0.3">
      <c r="A276">
        <v>83997</v>
      </c>
      <c r="B276" t="s">
        <v>14</v>
      </c>
      <c r="C276" t="s">
        <v>27</v>
      </c>
      <c r="D276">
        <v>413</v>
      </c>
      <c r="E276">
        <v>100</v>
      </c>
      <c r="F276">
        <v>134.54</v>
      </c>
      <c r="G276" t="s">
        <v>33</v>
      </c>
      <c r="H276" s="1">
        <v>45454</v>
      </c>
      <c r="I276" s="1">
        <v>45486</v>
      </c>
      <c r="J276" t="s">
        <v>39</v>
      </c>
      <c r="K276" t="b">
        <f>Table1[[#This Row],[CurrentStock]]&lt;Table1[[#This Row],[ReorderLevel]]</f>
        <v>0</v>
      </c>
      <c r="L276" s="9">
        <f>Table1[[#This Row],[CurrentStock]]*Table1[[#This Row],[UnitPrice]]</f>
        <v>55565.02</v>
      </c>
      <c r="M276" t="str">
        <f>IF(Table1[[#This Row],[ReorderLevel]]-Table1[[#This Row],[CurrentStock]]&gt;0,Table1[[#This Row],[ReorderLevel]]-Table1[[#This Row],[CurrentStock]],"")</f>
        <v/>
      </c>
      <c r="N276" t="str">
        <f>IF(Table1[[#This Row],[CurrentStock]]&gt;Table1[[#This Row],[ReorderLevel]]*3,"Over Stock","Okay")</f>
        <v>Over Stock</v>
      </c>
      <c r="O276" t="str">
        <f>IF(Table1[[#This Row],[CurrentStock]]&lt;Table1[[#This Row],[ReorderLevel]],"Reorder","Okay")</f>
        <v>Okay</v>
      </c>
    </row>
    <row r="277" spans="1:15" x14ac:dyDescent="0.3">
      <c r="A277">
        <v>50785</v>
      </c>
      <c r="B277" t="s">
        <v>24</v>
      </c>
      <c r="C277" t="s">
        <v>31</v>
      </c>
      <c r="D277">
        <v>204</v>
      </c>
      <c r="E277">
        <v>100</v>
      </c>
      <c r="F277">
        <v>37.36</v>
      </c>
      <c r="G277" t="s">
        <v>33</v>
      </c>
      <c r="H277" s="1">
        <v>45592</v>
      </c>
      <c r="I277" s="1">
        <v>45616</v>
      </c>
      <c r="J277" t="s">
        <v>38</v>
      </c>
      <c r="K277" t="b">
        <f>Table1[[#This Row],[CurrentStock]]&lt;Table1[[#This Row],[ReorderLevel]]</f>
        <v>0</v>
      </c>
      <c r="L277" s="9">
        <f>Table1[[#This Row],[CurrentStock]]*Table1[[#This Row],[UnitPrice]]</f>
        <v>7621.44</v>
      </c>
      <c r="M277" t="str">
        <f>IF(Table1[[#This Row],[ReorderLevel]]-Table1[[#This Row],[CurrentStock]]&gt;0,Table1[[#This Row],[ReorderLevel]]-Table1[[#This Row],[CurrentStock]],"")</f>
        <v/>
      </c>
      <c r="N277" t="str">
        <f>IF(Table1[[#This Row],[CurrentStock]]&gt;Table1[[#This Row],[ReorderLevel]]*3,"Over Stock","Okay")</f>
        <v>Okay</v>
      </c>
      <c r="O277" t="str">
        <f>IF(Table1[[#This Row],[CurrentStock]]&lt;Table1[[#This Row],[ReorderLevel]],"Reorder","Okay")</f>
        <v>Okay</v>
      </c>
    </row>
    <row r="278" spans="1:15" x14ac:dyDescent="0.3">
      <c r="A278">
        <v>24289</v>
      </c>
      <c r="B278" t="s">
        <v>18</v>
      </c>
      <c r="C278" t="s">
        <v>28</v>
      </c>
      <c r="D278">
        <v>195</v>
      </c>
      <c r="E278">
        <v>30</v>
      </c>
      <c r="F278">
        <v>208.49</v>
      </c>
      <c r="G278" t="s">
        <v>32</v>
      </c>
      <c r="H278" s="1">
        <v>45298</v>
      </c>
      <c r="I278" s="1">
        <v>45308</v>
      </c>
      <c r="J278" t="s">
        <v>38</v>
      </c>
      <c r="K278" t="b">
        <f>Table1[[#This Row],[CurrentStock]]&lt;Table1[[#This Row],[ReorderLevel]]</f>
        <v>0</v>
      </c>
      <c r="L278" s="9">
        <f>Table1[[#This Row],[CurrentStock]]*Table1[[#This Row],[UnitPrice]]</f>
        <v>40655.550000000003</v>
      </c>
      <c r="M278" t="str">
        <f>IF(Table1[[#This Row],[ReorderLevel]]-Table1[[#This Row],[CurrentStock]]&gt;0,Table1[[#This Row],[ReorderLevel]]-Table1[[#This Row],[CurrentStock]],"")</f>
        <v/>
      </c>
      <c r="N278" t="str">
        <f>IF(Table1[[#This Row],[CurrentStock]]&gt;Table1[[#This Row],[ReorderLevel]]*3,"Over Stock","Okay")</f>
        <v>Over Stock</v>
      </c>
      <c r="O278" t="str">
        <f>IF(Table1[[#This Row],[CurrentStock]]&lt;Table1[[#This Row],[ReorderLevel]],"Reorder","Okay")</f>
        <v>Okay</v>
      </c>
    </row>
    <row r="279" spans="1:15" x14ac:dyDescent="0.3">
      <c r="A279">
        <v>38228</v>
      </c>
      <c r="B279" t="s">
        <v>23</v>
      </c>
      <c r="C279" t="s">
        <v>30</v>
      </c>
      <c r="D279">
        <v>153</v>
      </c>
      <c r="E279">
        <v>50</v>
      </c>
      <c r="F279">
        <v>394.92</v>
      </c>
      <c r="G279" t="s">
        <v>32</v>
      </c>
      <c r="H279" s="1">
        <v>45433</v>
      </c>
      <c r="I279" s="1">
        <v>45458</v>
      </c>
      <c r="J279" t="s">
        <v>38</v>
      </c>
      <c r="K279" t="b">
        <f>Table1[[#This Row],[CurrentStock]]&lt;Table1[[#This Row],[ReorderLevel]]</f>
        <v>0</v>
      </c>
      <c r="L279" s="9">
        <f>Table1[[#This Row],[CurrentStock]]*Table1[[#This Row],[UnitPrice]]</f>
        <v>60422.76</v>
      </c>
      <c r="M279" t="str">
        <f>IF(Table1[[#This Row],[ReorderLevel]]-Table1[[#This Row],[CurrentStock]]&gt;0,Table1[[#This Row],[ReorderLevel]]-Table1[[#This Row],[CurrentStock]],"")</f>
        <v/>
      </c>
      <c r="N279" t="str">
        <f>IF(Table1[[#This Row],[CurrentStock]]&gt;Table1[[#This Row],[ReorderLevel]]*3,"Over Stock","Okay")</f>
        <v>Over Stock</v>
      </c>
      <c r="O279" t="str">
        <f>IF(Table1[[#This Row],[CurrentStock]]&lt;Table1[[#This Row],[ReorderLevel]],"Reorder","Okay")</f>
        <v>Okay</v>
      </c>
    </row>
    <row r="280" spans="1:15" x14ac:dyDescent="0.3">
      <c r="A280">
        <v>39055</v>
      </c>
      <c r="B280" t="s">
        <v>24</v>
      </c>
      <c r="C280" t="s">
        <v>31</v>
      </c>
      <c r="D280">
        <v>471</v>
      </c>
      <c r="E280">
        <v>20</v>
      </c>
      <c r="F280">
        <v>234.65</v>
      </c>
      <c r="G280" t="s">
        <v>34</v>
      </c>
      <c r="H280" s="1">
        <v>45636</v>
      </c>
      <c r="I280" s="1">
        <v>45661</v>
      </c>
      <c r="J280" t="s">
        <v>37</v>
      </c>
      <c r="K280" t="b">
        <f>Table1[[#This Row],[CurrentStock]]&lt;Table1[[#This Row],[ReorderLevel]]</f>
        <v>0</v>
      </c>
      <c r="L280" s="9">
        <f>Table1[[#This Row],[CurrentStock]]*Table1[[#This Row],[UnitPrice]]</f>
        <v>110520.15000000001</v>
      </c>
      <c r="M280" t="str">
        <f>IF(Table1[[#This Row],[ReorderLevel]]-Table1[[#This Row],[CurrentStock]]&gt;0,Table1[[#This Row],[ReorderLevel]]-Table1[[#This Row],[CurrentStock]],"")</f>
        <v/>
      </c>
      <c r="N280" t="str">
        <f>IF(Table1[[#This Row],[CurrentStock]]&gt;Table1[[#This Row],[ReorderLevel]]*3,"Over Stock","Okay")</f>
        <v>Over Stock</v>
      </c>
      <c r="O280" t="str">
        <f>IF(Table1[[#This Row],[CurrentStock]]&lt;Table1[[#This Row],[ReorderLevel]],"Reorder","Okay")</f>
        <v>Okay</v>
      </c>
    </row>
    <row r="281" spans="1:15" x14ac:dyDescent="0.3">
      <c r="A281">
        <v>29446</v>
      </c>
      <c r="B281" t="s">
        <v>26</v>
      </c>
      <c r="C281" t="s">
        <v>30</v>
      </c>
      <c r="D281">
        <v>160</v>
      </c>
      <c r="E281">
        <v>30</v>
      </c>
      <c r="F281">
        <v>361.4</v>
      </c>
      <c r="G281" t="s">
        <v>35</v>
      </c>
      <c r="H281" s="1">
        <v>45618</v>
      </c>
      <c r="I281" s="1">
        <v>45644</v>
      </c>
      <c r="J281" t="s">
        <v>37</v>
      </c>
      <c r="K281" t="b">
        <f>Table1[[#This Row],[CurrentStock]]&lt;Table1[[#This Row],[ReorderLevel]]</f>
        <v>0</v>
      </c>
      <c r="L281" s="9">
        <f>Table1[[#This Row],[CurrentStock]]*Table1[[#This Row],[UnitPrice]]</f>
        <v>57824</v>
      </c>
      <c r="M281" t="str">
        <f>IF(Table1[[#This Row],[ReorderLevel]]-Table1[[#This Row],[CurrentStock]]&gt;0,Table1[[#This Row],[ReorderLevel]]-Table1[[#This Row],[CurrentStock]],"")</f>
        <v/>
      </c>
      <c r="N281" t="str">
        <f>IF(Table1[[#This Row],[CurrentStock]]&gt;Table1[[#This Row],[ReorderLevel]]*3,"Over Stock","Okay")</f>
        <v>Over Stock</v>
      </c>
      <c r="O281" t="str">
        <f>IF(Table1[[#This Row],[CurrentStock]]&lt;Table1[[#This Row],[ReorderLevel]],"Reorder","Okay")</f>
        <v>Okay</v>
      </c>
    </row>
    <row r="282" spans="1:15" x14ac:dyDescent="0.3">
      <c r="A282">
        <v>55232</v>
      </c>
      <c r="B282" t="s">
        <v>26</v>
      </c>
      <c r="C282" t="s">
        <v>30</v>
      </c>
      <c r="D282">
        <v>353</v>
      </c>
      <c r="E282">
        <v>50</v>
      </c>
      <c r="F282">
        <v>362.79</v>
      </c>
      <c r="G282" t="s">
        <v>35</v>
      </c>
      <c r="H282" s="1">
        <v>45460</v>
      </c>
      <c r="I282" s="1">
        <v>45486</v>
      </c>
      <c r="J282" t="s">
        <v>39</v>
      </c>
      <c r="K282" t="b">
        <f>Table1[[#This Row],[CurrentStock]]&lt;Table1[[#This Row],[ReorderLevel]]</f>
        <v>0</v>
      </c>
      <c r="L282" s="9">
        <f>Table1[[#This Row],[CurrentStock]]*Table1[[#This Row],[UnitPrice]]</f>
        <v>128064.87000000001</v>
      </c>
      <c r="M282" t="str">
        <f>IF(Table1[[#This Row],[ReorderLevel]]-Table1[[#This Row],[CurrentStock]]&gt;0,Table1[[#This Row],[ReorderLevel]]-Table1[[#This Row],[CurrentStock]],"")</f>
        <v/>
      </c>
      <c r="N282" t="str">
        <f>IF(Table1[[#This Row],[CurrentStock]]&gt;Table1[[#This Row],[ReorderLevel]]*3,"Over Stock","Okay")</f>
        <v>Over Stock</v>
      </c>
      <c r="O282" t="str">
        <f>IF(Table1[[#This Row],[CurrentStock]]&lt;Table1[[#This Row],[ReorderLevel]],"Reorder","Okay")</f>
        <v>Okay</v>
      </c>
    </row>
    <row r="283" spans="1:15" x14ac:dyDescent="0.3">
      <c r="A283">
        <v>75633</v>
      </c>
      <c r="B283" t="s">
        <v>24</v>
      </c>
      <c r="C283" t="s">
        <v>31</v>
      </c>
      <c r="D283">
        <v>329</v>
      </c>
      <c r="E283">
        <v>80</v>
      </c>
      <c r="F283">
        <v>74.78</v>
      </c>
      <c r="G283" t="s">
        <v>32</v>
      </c>
      <c r="H283" s="1">
        <v>45313</v>
      </c>
      <c r="I283" s="1">
        <v>45319</v>
      </c>
      <c r="J283" t="s">
        <v>37</v>
      </c>
      <c r="K283" t="b">
        <f>Table1[[#This Row],[CurrentStock]]&lt;Table1[[#This Row],[ReorderLevel]]</f>
        <v>0</v>
      </c>
      <c r="L283" s="9">
        <f>Table1[[#This Row],[CurrentStock]]*Table1[[#This Row],[UnitPrice]]</f>
        <v>24602.62</v>
      </c>
      <c r="M283" t="str">
        <f>IF(Table1[[#This Row],[ReorderLevel]]-Table1[[#This Row],[CurrentStock]]&gt;0,Table1[[#This Row],[ReorderLevel]]-Table1[[#This Row],[CurrentStock]],"")</f>
        <v/>
      </c>
      <c r="N283" t="str">
        <f>IF(Table1[[#This Row],[CurrentStock]]&gt;Table1[[#This Row],[ReorderLevel]]*3,"Over Stock","Okay")</f>
        <v>Over Stock</v>
      </c>
      <c r="O283" t="str">
        <f>IF(Table1[[#This Row],[CurrentStock]]&lt;Table1[[#This Row],[ReorderLevel]],"Reorder","Okay")</f>
        <v>Okay</v>
      </c>
    </row>
    <row r="284" spans="1:15" x14ac:dyDescent="0.3">
      <c r="A284">
        <v>77263</v>
      </c>
      <c r="B284" t="s">
        <v>11</v>
      </c>
      <c r="C284" t="s">
        <v>27</v>
      </c>
      <c r="D284">
        <v>494</v>
      </c>
      <c r="E284">
        <v>100</v>
      </c>
      <c r="F284">
        <v>404.17</v>
      </c>
      <c r="G284" t="s">
        <v>32</v>
      </c>
      <c r="H284" s="1">
        <v>45429</v>
      </c>
      <c r="I284" s="1">
        <v>45468</v>
      </c>
      <c r="J284" t="s">
        <v>38</v>
      </c>
      <c r="K284" t="b">
        <f>Table1[[#This Row],[CurrentStock]]&lt;Table1[[#This Row],[ReorderLevel]]</f>
        <v>0</v>
      </c>
      <c r="L284" s="9">
        <f>Table1[[#This Row],[CurrentStock]]*Table1[[#This Row],[UnitPrice]]</f>
        <v>199659.98</v>
      </c>
      <c r="M284" t="str">
        <f>IF(Table1[[#This Row],[ReorderLevel]]-Table1[[#This Row],[CurrentStock]]&gt;0,Table1[[#This Row],[ReorderLevel]]-Table1[[#This Row],[CurrentStock]],"")</f>
        <v/>
      </c>
      <c r="N284" t="str">
        <f>IF(Table1[[#This Row],[CurrentStock]]&gt;Table1[[#This Row],[ReorderLevel]]*3,"Over Stock","Okay")</f>
        <v>Over Stock</v>
      </c>
      <c r="O284" t="str">
        <f>IF(Table1[[#This Row],[CurrentStock]]&lt;Table1[[#This Row],[ReorderLevel]],"Reorder","Okay")</f>
        <v>Okay</v>
      </c>
    </row>
    <row r="285" spans="1:15" x14ac:dyDescent="0.3">
      <c r="A285">
        <v>15774</v>
      </c>
      <c r="B285" t="s">
        <v>19</v>
      </c>
      <c r="C285" t="s">
        <v>28</v>
      </c>
      <c r="D285">
        <v>276</v>
      </c>
      <c r="E285">
        <v>50</v>
      </c>
      <c r="F285">
        <v>274.7</v>
      </c>
      <c r="G285" t="s">
        <v>36</v>
      </c>
      <c r="H285" s="1">
        <v>45359</v>
      </c>
      <c r="I285" s="1">
        <v>45385</v>
      </c>
      <c r="J285" t="s">
        <v>38</v>
      </c>
      <c r="K285" t="b">
        <f>Table1[[#This Row],[CurrentStock]]&lt;Table1[[#This Row],[ReorderLevel]]</f>
        <v>0</v>
      </c>
      <c r="L285" s="9">
        <f>Table1[[#This Row],[CurrentStock]]*Table1[[#This Row],[UnitPrice]]</f>
        <v>75817.2</v>
      </c>
      <c r="M285" t="str">
        <f>IF(Table1[[#This Row],[ReorderLevel]]-Table1[[#This Row],[CurrentStock]]&gt;0,Table1[[#This Row],[ReorderLevel]]-Table1[[#This Row],[CurrentStock]],"")</f>
        <v/>
      </c>
      <c r="N285" t="str">
        <f>IF(Table1[[#This Row],[CurrentStock]]&gt;Table1[[#This Row],[ReorderLevel]]*3,"Over Stock","Okay")</f>
        <v>Over Stock</v>
      </c>
      <c r="O285" t="str">
        <f>IF(Table1[[#This Row],[CurrentStock]]&lt;Table1[[#This Row],[ReorderLevel]],"Reorder","Okay")</f>
        <v>Okay</v>
      </c>
    </row>
    <row r="286" spans="1:15" x14ac:dyDescent="0.3">
      <c r="A286">
        <v>49961</v>
      </c>
      <c r="B286" t="s">
        <v>11</v>
      </c>
      <c r="C286" t="s">
        <v>27</v>
      </c>
      <c r="D286">
        <v>269</v>
      </c>
      <c r="E286">
        <v>40</v>
      </c>
      <c r="F286">
        <v>473.59</v>
      </c>
      <c r="G286" t="s">
        <v>35</v>
      </c>
      <c r="H286" s="1">
        <v>45459</v>
      </c>
      <c r="I286" s="1">
        <v>45491</v>
      </c>
      <c r="J286" t="s">
        <v>38</v>
      </c>
      <c r="K286" t="b">
        <f>Table1[[#This Row],[CurrentStock]]&lt;Table1[[#This Row],[ReorderLevel]]</f>
        <v>0</v>
      </c>
      <c r="L286" s="9">
        <f>Table1[[#This Row],[CurrentStock]]*Table1[[#This Row],[UnitPrice]]</f>
        <v>127395.70999999999</v>
      </c>
      <c r="M286" t="str">
        <f>IF(Table1[[#This Row],[ReorderLevel]]-Table1[[#This Row],[CurrentStock]]&gt;0,Table1[[#This Row],[ReorderLevel]]-Table1[[#This Row],[CurrentStock]],"")</f>
        <v/>
      </c>
      <c r="N286" t="str">
        <f>IF(Table1[[#This Row],[CurrentStock]]&gt;Table1[[#This Row],[ReorderLevel]]*3,"Over Stock","Okay")</f>
        <v>Over Stock</v>
      </c>
      <c r="O286" t="str">
        <f>IF(Table1[[#This Row],[CurrentStock]]&lt;Table1[[#This Row],[ReorderLevel]],"Reorder","Okay")</f>
        <v>Okay</v>
      </c>
    </row>
    <row r="287" spans="1:15" x14ac:dyDescent="0.3">
      <c r="A287">
        <v>60729</v>
      </c>
      <c r="B287" t="s">
        <v>24</v>
      </c>
      <c r="C287" t="s">
        <v>31</v>
      </c>
      <c r="D287">
        <v>247</v>
      </c>
      <c r="E287">
        <v>100</v>
      </c>
      <c r="F287">
        <v>175.11</v>
      </c>
      <c r="G287" t="s">
        <v>34</v>
      </c>
      <c r="H287" s="1">
        <v>45335</v>
      </c>
      <c r="I287" s="1">
        <v>45372</v>
      </c>
      <c r="J287" t="s">
        <v>38</v>
      </c>
      <c r="K287" t="b">
        <f>Table1[[#This Row],[CurrentStock]]&lt;Table1[[#This Row],[ReorderLevel]]</f>
        <v>0</v>
      </c>
      <c r="L287" s="9">
        <f>Table1[[#This Row],[CurrentStock]]*Table1[[#This Row],[UnitPrice]]</f>
        <v>43252.170000000006</v>
      </c>
      <c r="M287" t="str">
        <f>IF(Table1[[#This Row],[ReorderLevel]]-Table1[[#This Row],[CurrentStock]]&gt;0,Table1[[#This Row],[ReorderLevel]]-Table1[[#This Row],[CurrentStock]],"")</f>
        <v/>
      </c>
      <c r="N287" t="str">
        <f>IF(Table1[[#This Row],[CurrentStock]]&gt;Table1[[#This Row],[ReorderLevel]]*3,"Over Stock","Okay")</f>
        <v>Okay</v>
      </c>
      <c r="O287" t="str">
        <f>IF(Table1[[#This Row],[CurrentStock]]&lt;Table1[[#This Row],[ReorderLevel]],"Reorder","Okay")</f>
        <v>Okay</v>
      </c>
    </row>
    <row r="288" spans="1:15" x14ac:dyDescent="0.3">
      <c r="A288">
        <v>12551</v>
      </c>
      <c r="B288" t="s">
        <v>22</v>
      </c>
      <c r="C288" t="s">
        <v>27</v>
      </c>
      <c r="D288">
        <v>88</v>
      </c>
      <c r="E288">
        <v>40</v>
      </c>
      <c r="F288">
        <v>193.31</v>
      </c>
      <c r="G288" t="s">
        <v>34</v>
      </c>
      <c r="H288" s="1">
        <v>45488</v>
      </c>
      <c r="I288" s="1">
        <v>45503</v>
      </c>
      <c r="J288" t="s">
        <v>39</v>
      </c>
      <c r="K288" t="b">
        <f>Table1[[#This Row],[CurrentStock]]&lt;Table1[[#This Row],[ReorderLevel]]</f>
        <v>0</v>
      </c>
      <c r="L288" s="9">
        <f>Table1[[#This Row],[CurrentStock]]*Table1[[#This Row],[UnitPrice]]</f>
        <v>17011.28</v>
      </c>
      <c r="M288" t="str">
        <f>IF(Table1[[#This Row],[ReorderLevel]]-Table1[[#This Row],[CurrentStock]]&gt;0,Table1[[#This Row],[ReorderLevel]]-Table1[[#This Row],[CurrentStock]],"")</f>
        <v/>
      </c>
      <c r="N288" t="str">
        <f>IF(Table1[[#This Row],[CurrentStock]]&gt;Table1[[#This Row],[ReorderLevel]]*3,"Over Stock","Okay")</f>
        <v>Okay</v>
      </c>
      <c r="O288" t="str">
        <f>IF(Table1[[#This Row],[CurrentStock]]&lt;Table1[[#This Row],[ReorderLevel]],"Reorder","Okay")</f>
        <v>Okay</v>
      </c>
    </row>
    <row r="289" spans="1:15" x14ac:dyDescent="0.3">
      <c r="A289">
        <v>31038</v>
      </c>
      <c r="B289" t="s">
        <v>11</v>
      </c>
      <c r="C289" t="s">
        <v>27</v>
      </c>
      <c r="D289">
        <v>296</v>
      </c>
      <c r="E289">
        <v>50</v>
      </c>
      <c r="F289">
        <v>141.84</v>
      </c>
      <c r="G289" t="s">
        <v>33</v>
      </c>
      <c r="H289" s="1">
        <v>45363</v>
      </c>
      <c r="I289" s="1">
        <v>45376</v>
      </c>
      <c r="J289" t="s">
        <v>39</v>
      </c>
      <c r="K289" t="b">
        <f>Table1[[#This Row],[CurrentStock]]&lt;Table1[[#This Row],[ReorderLevel]]</f>
        <v>0</v>
      </c>
      <c r="L289" s="9">
        <f>Table1[[#This Row],[CurrentStock]]*Table1[[#This Row],[UnitPrice]]</f>
        <v>41984.639999999999</v>
      </c>
      <c r="M289" t="str">
        <f>IF(Table1[[#This Row],[ReorderLevel]]-Table1[[#This Row],[CurrentStock]]&gt;0,Table1[[#This Row],[ReorderLevel]]-Table1[[#This Row],[CurrentStock]],"")</f>
        <v/>
      </c>
      <c r="N289" t="str">
        <f>IF(Table1[[#This Row],[CurrentStock]]&gt;Table1[[#This Row],[ReorderLevel]]*3,"Over Stock","Okay")</f>
        <v>Over Stock</v>
      </c>
      <c r="O289" t="str">
        <f>IF(Table1[[#This Row],[CurrentStock]]&lt;Table1[[#This Row],[ReorderLevel]],"Reorder","Okay")</f>
        <v>Okay</v>
      </c>
    </row>
    <row r="290" spans="1:15" x14ac:dyDescent="0.3">
      <c r="A290">
        <v>21116</v>
      </c>
      <c r="B290" t="s">
        <v>11</v>
      </c>
      <c r="C290" t="s">
        <v>27</v>
      </c>
      <c r="D290">
        <v>453</v>
      </c>
      <c r="E290">
        <v>50</v>
      </c>
      <c r="F290">
        <v>87.19</v>
      </c>
      <c r="G290" t="s">
        <v>32</v>
      </c>
      <c r="H290" s="1">
        <v>45627</v>
      </c>
      <c r="I290" s="1">
        <v>45634</v>
      </c>
      <c r="J290" t="s">
        <v>38</v>
      </c>
      <c r="K290" t="b">
        <f>Table1[[#This Row],[CurrentStock]]&lt;Table1[[#This Row],[ReorderLevel]]</f>
        <v>0</v>
      </c>
      <c r="L290" s="9">
        <f>Table1[[#This Row],[CurrentStock]]*Table1[[#This Row],[UnitPrice]]</f>
        <v>39497.07</v>
      </c>
      <c r="M290" t="str">
        <f>IF(Table1[[#This Row],[ReorderLevel]]-Table1[[#This Row],[CurrentStock]]&gt;0,Table1[[#This Row],[ReorderLevel]]-Table1[[#This Row],[CurrentStock]],"")</f>
        <v/>
      </c>
      <c r="N290" t="str">
        <f>IF(Table1[[#This Row],[CurrentStock]]&gt;Table1[[#This Row],[ReorderLevel]]*3,"Over Stock","Okay")</f>
        <v>Over Stock</v>
      </c>
      <c r="O290" t="str">
        <f>IF(Table1[[#This Row],[CurrentStock]]&lt;Table1[[#This Row],[ReorderLevel]],"Reorder","Okay")</f>
        <v>Okay</v>
      </c>
    </row>
    <row r="291" spans="1:15" x14ac:dyDescent="0.3">
      <c r="A291">
        <v>43380</v>
      </c>
      <c r="B291" t="s">
        <v>25</v>
      </c>
      <c r="C291" t="s">
        <v>31</v>
      </c>
      <c r="D291">
        <v>39</v>
      </c>
      <c r="E291">
        <v>100</v>
      </c>
      <c r="F291">
        <v>74.650000000000006</v>
      </c>
      <c r="G291" t="s">
        <v>34</v>
      </c>
      <c r="H291" s="1">
        <v>45420</v>
      </c>
      <c r="I291" s="1">
        <v>45432</v>
      </c>
      <c r="J291" t="s">
        <v>38</v>
      </c>
      <c r="K291" t="b">
        <f>Table1[[#This Row],[CurrentStock]]&lt;Table1[[#This Row],[ReorderLevel]]</f>
        <v>1</v>
      </c>
      <c r="L291" s="9">
        <f>Table1[[#This Row],[CurrentStock]]*Table1[[#This Row],[UnitPrice]]</f>
        <v>2911.3500000000004</v>
      </c>
      <c r="M291">
        <f>IF(Table1[[#This Row],[ReorderLevel]]-Table1[[#This Row],[CurrentStock]]&gt;0,Table1[[#This Row],[ReorderLevel]]-Table1[[#This Row],[CurrentStock]],"")</f>
        <v>61</v>
      </c>
      <c r="N291" t="str">
        <f>IF(Table1[[#This Row],[CurrentStock]]&gt;Table1[[#This Row],[ReorderLevel]]*3,"Over Stock","Okay")</f>
        <v>Okay</v>
      </c>
      <c r="O291" t="str">
        <f>IF(Table1[[#This Row],[CurrentStock]]&lt;Table1[[#This Row],[ReorderLevel]],"Reorder","Okay")</f>
        <v>Reorder</v>
      </c>
    </row>
    <row r="292" spans="1:15" x14ac:dyDescent="0.3">
      <c r="A292">
        <v>72987</v>
      </c>
      <c r="B292" t="s">
        <v>17</v>
      </c>
      <c r="C292" t="s">
        <v>30</v>
      </c>
      <c r="D292">
        <v>477</v>
      </c>
      <c r="E292">
        <v>100</v>
      </c>
      <c r="F292">
        <v>484.04</v>
      </c>
      <c r="G292" t="s">
        <v>32</v>
      </c>
      <c r="H292" s="1">
        <v>45566</v>
      </c>
      <c r="I292" s="1">
        <v>45602</v>
      </c>
      <c r="J292" t="s">
        <v>39</v>
      </c>
      <c r="K292" t="b">
        <f>Table1[[#This Row],[CurrentStock]]&lt;Table1[[#This Row],[ReorderLevel]]</f>
        <v>0</v>
      </c>
      <c r="L292" s="9">
        <f>Table1[[#This Row],[CurrentStock]]*Table1[[#This Row],[UnitPrice]]</f>
        <v>230887.08000000002</v>
      </c>
      <c r="M292" t="str">
        <f>IF(Table1[[#This Row],[ReorderLevel]]-Table1[[#This Row],[CurrentStock]]&gt;0,Table1[[#This Row],[ReorderLevel]]-Table1[[#This Row],[CurrentStock]],"")</f>
        <v/>
      </c>
      <c r="N292" t="str">
        <f>IF(Table1[[#This Row],[CurrentStock]]&gt;Table1[[#This Row],[ReorderLevel]]*3,"Over Stock","Okay")</f>
        <v>Over Stock</v>
      </c>
      <c r="O292" t="str">
        <f>IF(Table1[[#This Row],[CurrentStock]]&lt;Table1[[#This Row],[ReorderLevel]],"Reorder","Okay")</f>
        <v>Okay</v>
      </c>
    </row>
    <row r="293" spans="1:15" x14ac:dyDescent="0.3">
      <c r="A293">
        <v>66481</v>
      </c>
      <c r="B293" t="s">
        <v>19</v>
      </c>
      <c r="C293" t="s">
        <v>28</v>
      </c>
      <c r="D293">
        <v>108</v>
      </c>
      <c r="E293">
        <v>150</v>
      </c>
      <c r="F293">
        <v>65.599999999999994</v>
      </c>
      <c r="G293" t="s">
        <v>34</v>
      </c>
      <c r="H293" s="1">
        <v>45449</v>
      </c>
      <c r="I293" s="1">
        <v>45466</v>
      </c>
      <c r="J293" t="s">
        <v>39</v>
      </c>
      <c r="K293" t="b">
        <f>Table1[[#This Row],[CurrentStock]]&lt;Table1[[#This Row],[ReorderLevel]]</f>
        <v>1</v>
      </c>
      <c r="L293" s="9">
        <f>Table1[[#This Row],[CurrentStock]]*Table1[[#This Row],[UnitPrice]]</f>
        <v>7084.7999999999993</v>
      </c>
      <c r="M293">
        <f>IF(Table1[[#This Row],[ReorderLevel]]-Table1[[#This Row],[CurrentStock]]&gt;0,Table1[[#This Row],[ReorderLevel]]-Table1[[#This Row],[CurrentStock]],"")</f>
        <v>42</v>
      </c>
      <c r="N293" t="str">
        <f>IF(Table1[[#This Row],[CurrentStock]]&gt;Table1[[#This Row],[ReorderLevel]]*3,"Over Stock","Okay")</f>
        <v>Okay</v>
      </c>
      <c r="O293" t="str">
        <f>IF(Table1[[#This Row],[CurrentStock]]&lt;Table1[[#This Row],[ReorderLevel]],"Reorder","Okay")</f>
        <v>Reorder</v>
      </c>
    </row>
    <row r="294" spans="1:15" x14ac:dyDescent="0.3">
      <c r="A294">
        <v>65426</v>
      </c>
      <c r="B294" t="s">
        <v>25</v>
      </c>
      <c r="C294" t="s">
        <v>31</v>
      </c>
      <c r="D294">
        <v>58</v>
      </c>
      <c r="E294">
        <v>150</v>
      </c>
      <c r="F294">
        <v>69.260000000000005</v>
      </c>
      <c r="G294" t="s">
        <v>35</v>
      </c>
      <c r="H294" s="1">
        <v>45616</v>
      </c>
      <c r="I294" s="1">
        <v>45645</v>
      </c>
      <c r="J294" t="s">
        <v>37</v>
      </c>
      <c r="K294" t="b">
        <f>Table1[[#This Row],[CurrentStock]]&lt;Table1[[#This Row],[ReorderLevel]]</f>
        <v>1</v>
      </c>
      <c r="L294" s="9">
        <f>Table1[[#This Row],[CurrentStock]]*Table1[[#This Row],[UnitPrice]]</f>
        <v>4017.0800000000004</v>
      </c>
      <c r="M294">
        <f>IF(Table1[[#This Row],[ReorderLevel]]-Table1[[#This Row],[CurrentStock]]&gt;0,Table1[[#This Row],[ReorderLevel]]-Table1[[#This Row],[CurrentStock]],"")</f>
        <v>92</v>
      </c>
      <c r="N294" t="str">
        <f>IF(Table1[[#This Row],[CurrentStock]]&gt;Table1[[#This Row],[ReorderLevel]]*3,"Over Stock","Okay")</f>
        <v>Okay</v>
      </c>
      <c r="O294" t="str">
        <f>IF(Table1[[#This Row],[CurrentStock]]&lt;Table1[[#This Row],[ReorderLevel]],"Reorder","Okay")</f>
        <v>Reorder</v>
      </c>
    </row>
    <row r="295" spans="1:15" x14ac:dyDescent="0.3">
      <c r="A295">
        <v>59416</v>
      </c>
      <c r="B295" t="s">
        <v>14</v>
      </c>
      <c r="C295" t="s">
        <v>27</v>
      </c>
      <c r="D295">
        <v>153</v>
      </c>
      <c r="E295">
        <v>100</v>
      </c>
      <c r="F295">
        <v>192.62</v>
      </c>
      <c r="G295" t="s">
        <v>34</v>
      </c>
      <c r="H295" s="1">
        <v>45518</v>
      </c>
      <c r="I295" s="1">
        <v>45550</v>
      </c>
      <c r="J295" t="s">
        <v>39</v>
      </c>
      <c r="K295" t="b">
        <f>Table1[[#This Row],[CurrentStock]]&lt;Table1[[#This Row],[ReorderLevel]]</f>
        <v>0</v>
      </c>
      <c r="L295" s="9">
        <f>Table1[[#This Row],[CurrentStock]]*Table1[[#This Row],[UnitPrice]]</f>
        <v>29470.86</v>
      </c>
      <c r="M295" t="str">
        <f>IF(Table1[[#This Row],[ReorderLevel]]-Table1[[#This Row],[CurrentStock]]&gt;0,Table1[[#This Row],[ReorderLevel]]-Table1[[#This Row],[CurrentStock]],"")</f>
        <v/>
      </c>
      <c r="N295" t="str">
        <f>IF(Table1[[#This Row],[CurrentStock]]&gt;Table1[[#This Row],[ReorderLevel]]*3,"Over Stock","Okay")</f>
        <v>Okay</v>
      </c>
      <c r="O295" t="str">
        <f>IF(Table1[[#This Row],[CurrentStock]]&lt;Table1[[#This Row],[ReorderLevel]],"Reorder","Okay")</f>
        <v>Okay</v>
      </c>
    </row>
    <row r="296" spans="1:15" x14ac:dyDescent="0.3">
      <c r="A296">
        <v>53732</v>
      </c>
      <c r="B296" t="s">
        <v>21</v>
      </c>
      <c r="C296" t="s">
        <v>31</v>
      </c>
      <c r="D296">
        <v>210</v>
      </c>
      <c r="E296">
        <v>50</v>
      </c>
      <c r="F296">
        <v>160.6</v>
      </c>
      <c r="G296" t="s">
        <v>33</v>
      </c>
      <c r="H296" s="1">
        <v>45655</v>
      </c>
      <c r="I296" s="1">
        <v>45668</v>
      </c>
      <c r="J296" t="s">
        <v>39</v>
      </c>
      <c r="K296" t="b">
        <f>Table1[[#This Row],[CurrentStock]]&lt;Table1[[#This Row],[ReorderLevel]]</f>
        <v>0</v>
      </c>
      <c r="L296" s="9">
        <f>Table1[[#This Row],[CurrentStock]]*Table1[[#This Row],[UnitPrice]]</f>
        <v>33726</v>
      </c>
      <c r="M296" t="str">
        <f>IF(Table1[[#This Row],[ReorderLevel]]-Table1[[#This Row],[CurrentStock]]&gt;0,Table1[[#This Row],[ReorderLevel]]-Table1[[#This Row],[CurrentStock]],"")</f>
        <v/>
      </c>
      <c r="N296" t="str">
        <f>IF(Table1[[#This Row],[CurrentStock]]&gt;Table1[[#This Row],[ReorderLevel]]*3,"Over Stock","Okay")</f>
        <v>Over Stock</v>
      </c>
      <c r="O296" t="str">
        <f>IF(Table1[[#This Row],[CurrentStock]]&lt;Table1[[#This Row],[ReorderLevel]],"Reorder","Okay")</f>
        <v>Okay</v>
      </c>
    </row>
    <row r="297" spans="1:15" x14ac:dyDescent="0.3">
      <c r="A297">
        <v>35556</v>
      </c>
      <c r="B297" t="s">
        <v>15</v>
      </c>
      <c r="C297" t="s">
        <v>29</v>
      </c>
      <c r="D297">
        <v>473</v>
      </c>
      <c r="E297">
        <v>80</v>
      </c>
      <c r="F297">
        <v>60.91</v>
      </c>
      <c r="G297" t="s">
        <v>32</v>
      </c>
      <c r="H297" s="1">
        <v>45509</v>
      </c>
      <c r="I297" s="1">
        <v>45546</v>
      </c>
      <c r="J297" t="s">
        <v>39</v>
      </c>
      <c r="K297" t="b">
        <f>Table1[[#This Row],[CurrentStock]]&lt;Table1[[#This Row],[ReorderLevel]]</f>
        <v>0</v>
      </c>
      <c r="L297" s="9">
        <f>Table1[[#This Row],[CurrentStock]]*Table1[[#This Row],[UnitPrice]]</f>
        <v>28810.429999999997</v>
      </c>
      <c r="M297" t="str">
        <f>IF(Table1[[#This Row],[ReorderLevel]]-Table1[[#This Row],[CurrentStock]]&gt;0,Table1[[#This Row],[ReorderLevel]]-Table1[[#This Row],[CurrentStock]],"")</f>
        <v/>
      </c>
      <c r="N297" t="str">
        <f>IF(Table1[[#This Row],[CurrentStock]]&gt;Table1[[#This Row],[ReorderLevel]]*3,"Over Stock","Okay")</f>
        <v>Over Stock</v>
      </c>
      <c r="O297" t="str">
        <f>IF(Table1[[#This Row],[CurrentStock]]&lt;Table1[[#This Row],[ReorderLevel]],"Reorder","Okay")</f>
        <v>Okay</v>
      </c>
    </row>
    <row r="298" spans="1:15" x14ac:dyDescent="0.3">
      <c r="A298">
        <v>16416</v>
      </c>
      <c r="B298" t="s">
        <v>19</v>
      </c>
      <c r="C298" t="s">
        <v>28</v>
      </c>
      <c r="D298">
        <v>430</v>
      </c>
      <c r="E298">
        <v>30</v>
      </c>
      <c r="F298">
        <v>375.67</v>
      </c>
      <c r="G298" t="s">
        <v>36</v>
      </c>
      <c r="H298" s="1">
        <v>45570</v>
      </c>
      <c r="I298" s="1">
        <v>45596</v>
      </c>
      <c r="J298" t="s">
        <v>38</v>
      </c>
      <c r="K298" t="b">
        <f>Table1[[#This Row],[CurrentStock]]&lt;Table1[[#This Row],[ReorderLevel]]</f>
        <v>0</v>
      </c>
      <c r="L298" s="9">
        <f>Table1[[#This Row],[CurrentStock]]*Table1[[#This Row],[UnitPrice]]</f>
        <v>161538.1</v>
      </c>
      <c r="M298" t="str">
        <f>IF(Table1[[#This Row],[ReorderLevel]]-Table1[[#This Row],[CurrentStock]]&gt;0,Table1[[#This Row],[ReorderLevel]]-Table1[[#This Row],[CurrentStock]],"")</f>
        <v/>
      </c>
      <c r="N298" t="str">
        <f>IF(Table1[[#This Row],[CurrentStock]]&gt;Table1[[#This Row],[ReorderLevel]]*3,"Over Stock","Okay")</f>
        <v>Over Stock</v>
      </c>
      <c r="O298" t="str">
        <f>IF(Table1[[#This Row],[CurrentStock]]&lt;Table1[[#This Row],[ReorderLevel]],"Reorder","Okay")</f>
        <v>Okay</v>
      </c>
    </row>
    <row r="299" spans="1:15" x14ac:dyDescent="0.3">
      <c r="A299">
        <v>84663</v>
      </c>
      <c r="B299" t="s">
        <v>13</v>
      </c>
      <c r="C299" t="s">
        <v>29</v>
      </c>
      <c r="D299">
        <v>288</v>
      </c>
      <c r="E299">
        <v>50</v>
      </c>
      <c r="F299">
        <v>370.95</v>
      </c>
      <c r="G299" t="s">
        <v>34</v>
      </c>
      <c r="H299" s="1">
        <v>45357</v>
      </c>
      <c r="I299" s="1">
        <v>45396</v>
      </c>
      <c r="J299" t="s">
        <v>38</v>
      </c>
      <c r="K299" t="b">
        <f>Table1[[#This Row],[CurrentStock]]&lt;Table1[[#This Row],[ReorderLevel]]</f>
        <v>0</v>
      </c>
      <c r="L299" s="9">
        <f>Table1[[#This Row],[CurrentStock]]*Table1[[#This Row],[UnitPrice]]</f>
        <v>106833.59999999999</v>
      </c>
      <c r="M299" t="str">
        <f>IF(Table1[[#This Row],[ReorderLevel]]-Table1[[#This Row],[CurrentStock]]&gt;0,Table1[[#This Row],[ReorderLevel]]-Table1[[#This Row],[CurrentStock]],"")</f>
        <v/>
      </c>
      <c r="N299" t="str">
        <f>IF(Table1[[#This Row],[CurrentStock]]&gt;Table1[[#This Row],[ReorderLevel]]*3,"Over Stock","Okay")</f>
        <v>Over Stock</v>
      </c>
      <c r="O299" t="str">
        <f>IF(Table1[[#This Row],[CurrentStock]]&lt;Table1[[#This Row],[ReorderLevel]],"Reorder","Okay")</f>
        <v>Okay</v>
      </c>
    </row>
    <row r="300" spans="1:15" x14ac:dyDescent="0.3">
      <c r="A300">
        <v>97960</v>
      </c>
      <c r="B300" t="s">
        <v>18</v>
      </c>
      <c r="C300" t="s">
        <v>28</v>
      </c>
      <c r="D300">
        <v>455</v>
      </c>
      <c r="E300">
        <v>150</v>
      </c>
      <c r="F300">
        <v>143.24</v>
      </c>
      <c r="G300" t="s">
        <v>36</v>
      </c>
      <c r="H300" s="1">
        <v>45482</v>
      </c>
      <c r="I300" s="1">
        <v>45489</v>
      </c>
      <c r="J300" t="s">
        <v>38</v>
      </c>
      <c r="K300" t="b">
        <f>Table1[[#This Row],[CurrentStock]]&lt;Table1[[#This Row],[ReorderLevel]]</f>
        <v>0</v>
      </c>
      <c r="L300" s="9">
        <f>Table1[[#This Row],[CurrentStock]]*Table1[[#This Row],[UnitPrice]]</f>
        <v>65174.200000000004</v>
      </c>
      <c r="M300" t="str">
        <f>IF(Table1[[#This Row],[ReorderLevel]]-Table1[[#This Row],[CurrentStock]]&gt;0,Table1[[#This Row],[ReorderLevel]]-Table1[[#This Row],[CurrentStock]],"")</f>
        <v/>
      </c>
      <c r="N300" t="str">
        <f>IF(Table1[[#This Row],[CurrentStock]]&gt;Table1[[#This Row],[ReorderLevel]]*3,"Over Stock","Okay")</f>
        <v>Over Stock</v>
      </c>
      <c r="O300" t="str">
        <f>IF(Table1[[#This Row],[CurrentStock]]&lt;Table1[[#This Row],[ReorderLevel]],"Reorder","Okay")</f>
        <v>Okay</v>
      </c>
    </row>
    <row r="301" spans="1:15" x14ac:dyDescent="0.3">
      <c r="A301">
        <v>60939</v>
      </c>
      <c r="B301" t="s">
        <v>18</v>
      </c>
      <c r="C301" t="s">
        <v>28</v>
      </c>
      <c r="D301">
        <v>436</v>
      </c>
      <c r="E301">
        <v>100</v>
      </c>
      <c r="F301">
        <v>380.83</v>
      </c>
      <c r="G301" t="s">
        <v>36</v>
      </c>
      <c r="H301" s="1">
        <v>45330</v>
      </c>
      <c r="I301" s="1">
        <v>45343</v>
      </c>
      <c r="J301" t="s">
        <v>38</v>
      </c>
      <c r="K301" t="b">
        <f>Table1[[#This Row],[CurrentStock]]&lt;Table1[[#This Row],[ReorderLevel]]</f>
        <v>0</v>
      </c>
      <c r="L301" s="9">
        <f>Table1[[#This Row],[CurrentStock]]*Table1[[#This Row],[UnitPrice]]</f>
        <v>166041.88</v>
      </c>
      <c r="M301" t="str">
        <f>IF(Table1[[#This Row],[ReorderLevel]]-Table1[[#This Row],[CurrentStock]]&gt;0,Table1[[#This Row],[ReorderLevel]]-Table1[[#This Row],[CurrentStock]],"")</f>
        <v/>
      </c>
      <c r="N301" t="str">
        <f>IF(Table1[[#This Row],[CurrentStock]]&gt;Table1[[#This Row],[ReorderLevel]]*3,"Over Stock","Okay")</f>
        <v>Over Stock</v>
      </c>
      <c r="O301" t="str">
        <f>IF(Table1[[#This Row],[CurrentStock]]&lt;Table1[[#This Row],[ReorderLevel]],"Reorder","Okay")</f>
        <v>Okay</v>
      </c>
    </row>
    <row r="302" spans="1:15" x14ac:dyDescent="0.3">
      <c r="A302">
        <v>25223</v>
      </c>
      <c r="B302" t="s">
        <v>25</v>
      </c>
      <c r="C302" t="s">
        <v>31</v>
      </c>
      <c r="D302">
        <v>224</v>
      </c>
      <c r="E302">
        <v>100</v>
      </c>
      <c r="F302">
        <v>337.01</v>
      </c>
      <c r="G302" t="s">
        <v>34</v>
      </c>
      <c r="H302" s="1">
        <v>45382</v>
      </c>
      <c r="I302" s="1">
        <v>45420</v>
      </c>
      <c r="J302" t="s">
        <v>37</v>
      </c>
      <c r="K302" t="b">
        <f>Table1[[#This Row],[CurrentStock]]&lt;Table1[[#This Row],[ReorderLevel]]</f>
        <v>0</v>
      </c>
      <c r="L302" s="9">
        <f>Table1[[#This Row],[CurrentStock]]*Table1[[#This Row],[UnitPrice]]</f>
        <v>75490.239999999991</v>
      </c>
      <c r="M302" t="str">
        <f>IF(Table1[[#This Row],[ReorderLevel]]-Table1[[#This Row],[CurrentStock]]&gt;0,Table1[[#This Row],[ReorderLevel]]-Table1[[#This Row],[CurrentStock]],"")</f>
        <v/>
      </c>
      <c r="N302" t="str">
        <f>IF(Table1[[#This Row],[CurrentStock]]&gt;Table1[[#This Row],[ReorderLevel]]*3,"Over Stock","Okay")</f>
        <v>Okay</v>
      </c>
      <c r="O302" t="str">
        <f>IF(Table1[[#This Row],[CurrentStock]]&lt;Table1[[#This Row],[ReorderLevel]],"Reorder","Okay")</f>
        <v>Okay</v>
      </c>
    </row>
    <row r="303" spans="1:15" x14ac:dyDescent="0.3">
      <c r="A303">
        <v>33383</v>
      </c>
      <c r="B303" t="s">
        <v>13</v>
      </c>
      <c r="C303" t="s">
        <v>29</v>
      </c>
      <c r="D303">
        <v>29</v>
      </c>
      <c r="E303">
        <v>150</v>
      </c>
      <c r="F303">
        <v>59.81</v>
      </c>
      <c r="G303" t="s">
        <v>33</v>
      </c>
      <c r="H303" s="1">
        <v>45375</v>
      </c>
      <c r="I303" s="1">
        <v>45404</v>
      </c>
      <c r="J303" t="s">
        <v>39</v>
      </c>
      <c r="K303" t="b">
        <f>Table1[[#This Row],[CurrentStock]]&lt;Table1[[#This Row],[ReorderLevel]]</f>
        <v>1</v>
      </c>
      <c r="L303" s="9">
        <f>Table1[[#This Row],[CurrentStock]]*Table1[[#This Row],[UnitPrice]]</f>
        <v>1734.49</v>
      </c>
      <c r="M303">
        <f>IF(Table1[[#This Row],[ReorderLevel]]-Table1[[#This Row],[CurrentStock]]&gt;0,Table1[[#This Row],[ReorderLevel]]-Table1[[#This Row],[CurrentStock]],"")</f>
        <v>121</v>
      </c>
      <c r="N303" t="str">
        <f>IF(Table1[[#This Row],[CurrentStock]]&gt;Table1[[#This Row],[ReorderLevel]]*3,"Over Stock","Okay")</f>
        <v>Okay</v>
      </c>
      <c r="O303" t="str">
        <f>IF(Table1[[#This Row],[CurrentStock]]&lt;Table1[[#This Row],[ReorderLevel]],"Reorder","Okay")</f>
        <v>Reorder</v>
      </c>
    </row>
    <row r="304" spans="1:15" x14ac:dyDescent="0.3">
      <c r="A304">
        <v>69675</v>
      </c>
      <c r="B304" t="s">
        <v>19</v>
      </c>
      <c r="C304" t="s">
        <v>28</v>
      </c>
      <c r="D304">
        <v>109</v>
      </c>
      <c r="E304">
        <v>40</v>
      </c>
      <c r="F304">
        <v>413.89</v>
      </c>
      <c r="G304" t="s">
        <v>34</v>
      </c>
      <c r="H304" s="1">
        <v>45566</v>
      </c>
      <c r="I304" s="1">
        <v>45579</v>
      </c>
      <c r="J304" t="s">
        <v>37</v>
      </c>
      <c r="K304" t="b">
        <f>Table1[[#This Row],[CurrentStock]]&lt;Table1[[#This Row],[ReorderLevel]]</f>
        <v>0</v>
      </c>
      <c r="L304" s="9">
        <f>Table1[[#This Row],[CurrentStock]]*Table1[[#This Row],[UnitPrice]]</f>
        <v>45114.01</v>
      </c>
      <c r="M304" t="str">
        <f>IF(Table1[[#This Row],[ReorderLevel]]-Table1[[#This Row],[CurrentStock]]&gt;0,Table1[[#This Row],[ReorderLevel]]-Table1[[#This Row],[CurrentStock]],"")</f>
        <v/>
      </c>
      <c r="N304" t="str">
        <f>IF(Table1[[#This Row],[CurrentStock]]&gt;Table1[[#This Row],[ReorderLevel]]*3,"Over Stock","Okay")</f>
        <v>Okay</v>
      </c>
      <c r="O304" t="str">
        <f>IF(Table1[[#This Row],[CurrentStock]]&lt;Table1[[#This Row],[ReorderLevel]],"Reorder","Okay")</f>
        <v>Okay</v>
      </c>
    </row>
    <row r="305" spans="1:15" x14ac:dyDescent="0.3">
      <c r="A305">
        <v>60085</v>
      </c>
      <c r="B305" t="s">
        <v>19</v>
      </c>
      <c r="C305" t="s">
        <v>28</v>
      </c>
      <c r="D305">
        <v>123</v>
      </c>
      <c r="E305">
        <v>150</v>
      </c>
      <c r="F305">
        <v>268.67</v>
      </c>
      <c r="G305" t="s">
        <v>36</v>
      </c>
      <c r="H305" s="1">
        <v>45566</v>
      </c>
      <c r="I305" s="1">
        <v>45584</v>
      </c>
      <c r="J305" t="s">
        <v>37</v>
      </c>
      <c r="K305" t="b">
        <f>Table1[[#This Row],[CurrentStock]]&lt;Table1[[#This Row],[ReorderLevel]]</f>
        <v>1</v>
      </c>
      <c r="L305" s="9">
        <f>Table1[[#This Row],[CurrentStock]]*Table1[[#This Row],[UnitPrice]]</f>
        <v>33046.410000000003</v>
      </c>
      <c r="M305">
        <f>IF(Table1[[#This Row],[ReorderLevel]]-Table1[[#This Row],[CurrentStock]]&gt;0,Table1[[#This Row],[ReorderLevel]]-Table1[[#This Row],[CurrentStock]],"")</f>
        <v>27</v>
      </c>
      <c r="N305" t="str">
        <f>IF(Table1[[#This Row],[CurrentStock]]&gt;Table1[[#This Row],[ReorderLevel]]*3,"Over Stock","Okay")</f>
        <v>Okay</v>
      </c>
      <c r="O305" t="str">
        <f>IF(Table1[[#This Row],[CurrentStock]]&lt;Table1[[#This Row],[ReorderLevel]],"Reorder","Okay")</f>
        <v>Reorder</v>
      </c>
    </row>
    <row r="306" spans="1:15" x14ac:dyDescent="0.3">
      <c r="A306">
        <v>56733</v>
      </c>
      <c r="B306" t="s">
        <v>11</v>
      </c>
      <c r="C306" t="s">
        <v>27</v>
      </c>
      <c r="D306">
        <v>464</v>
      </c>
      <c r="E306">
        <v>100</v>
      </c>
      <c r="F306">
        <v>27.83</v>
      </c>
      <c r="G306" t="s">
        <v>32</v>
      </c>
      <c r="H306" s="1">
        <v>45452</v>
      </c>
      <c r="I306" s="1">
        <v>45481</v>
      </c>
      <c r="J306" t="s">
        <v>37</v>
      </c>
      <c r="K306" t="b">
        <f>Table1[[#This Row],[CurrentStock]]&lt;Table1[[#This Row],[ReorderLevel]]</f>
        <v>0</v>
      </c>
      <c r="L306" s="9">
        <f>Table1[[#This Row],[CurrentStock]]*Table1[[#This Row],[UnitPrice]]</f>
        <v>12913.119999999999</v>
      </c>
      <c r="M306" t="str">
        <f>IF(Table1[[#This Row],[ReorderLevel]]-Table1[[#This Row],[CurrentStock]]&gt;0,Table1[[#This Row],[ReorderLevel]]-Table1[[#This Row],[CurrentStock]],"")</f>
        <v/>
      </c>
      <c r="N306" t="str">
        <f>IF(Table1[[#This Row],[CurrentStock]]&gt;Table1[[#This Row],[ReorderLevel]]*3,"Over Stock","Okay")</f>
        <v>Over Stock</v>
      </c>
      <c r="O306" t="str">
        <f>IF(Table1[[#This Row],[CurrentStock]]&lt;Table1[[#This Row],[ReorderLevel]],"Reorder","Okay")</f>
        <v>Okay</v>
      </c>
    </row>
    <row r="307" spans="1:15" x14ac:dyDescent="0.3">
      <c r="A307">
        <v>60139</v>
      </c>
      <c r="B307" t="s">
        <v>20</v>
      </c>
      <c r="C307" t="s">
        <v>29</v>
      </c>
      <c r="D307">
        <v>442</v>
      </c>
      <c r="E307">
        <v>100</v>
      </c>
      <c r="F307">
        <v>372.88</v>
      </c>
      <c r="G307" t="s">
        <v>33</v>
      </c>
      <c r="H307" s="1">
        <v>45487</v>
      </c>
      <c r="I307" s="1">
        <v>45495</v>
      </c>
      <c r="J307" t="s">
        <v>37</v>
      </c>
      <c r="K307" t="b">
        <f>Table1[[#This Row],[CurrentStock]]&lt;Table1[[#This Row],[ReorderLevel]]</f>
        <v>0</v>
      </c>
      <c r="L307" s="9">
        <f>Table1[[#This Row],[CurrentStock]]*Table1[[#This Row],[UnitPrice]]</f>
        <v>164812.96</v>
      </c>
      <c r="M307" t="str">
        <f>IF(Table1[[#This Row],[ReorderLevel]]-Table1[[#This Row],[CurrentStock]]&gt;0,Table1[[#This Row],[ReorderLevel]]-Table1[[#This Row],[CurrentStock]],"")</f>
        <v/>
      </c>
      <c r="N307" t="str">
        <f>IF(Table1[[#This Row],[CurrentStock]]&gt;Table1[[#This Row],[ReorderLevel]]*3,"Over Stock","Okay")</f>
        <v>Over Stock</v>
      </c>
      <c r="O307" t="str">
        <f>IF(Table1[[#This Row],[CurrentStock]]&lt;Table1[[#This Row],[ReorderLevel]],"Reorder","Okay")</f>
        <v>Okay</v>
      </c>
    </row>
    <row r="308" spans="1:15" x14ac:dyDescent="0.3">
      <c r="A308">
        <v>45292</v>
      </c>
      <c r="B308" t="s">
        <v>23</v>
      </c>
      <c r="C308" t="s">
        <v>30</v>
      </c>
      <c r="D308">
        <v>85</v>
      </c>
      <c r="E308">
        <v>20</v>
      </c>
      <c r="F308">
        <v>494.57</v>
      </c>
      <c r="G308" t="s">
        <v>35</v>
      </c>
      <c r="H308" s="1">
        <v>45546</v>
      </c>
      <c r="I308" s="1">
        <v>45566</v>
      </c>
      <c r="J308" t="s">
        <v>39</v>
      </c>
      <c r="K308" t="b">
        <f>Table1[[#This Row],[CurrentStock]]&lt;Table1[[#This Row],[ReorderLevel]]</f>
        <v>0</v>
      </c>
      <c r="L308" s="9">
        <f>Table1[[#This Row],[CurrentStock]]*Table1[[#This Row],[UnitPrice]]</f>
        <v>42038.45</v>
      </c>
      <c r="M308" t="str">
        <f>IF(Table1[[#This Row],[ReorderLevel]]-Table1[[#This Row],[CurrentStock]]&gt;0,Table1[[#This Row],[ReorderLevel]]-Table1[[#This Row],[CurrentStock]],"")</f>
        <v/>
      </c>
      <c r="N308" t="str">
        <f>IF(Table1[[#This Row],[CurrentStock]]&gt;Table1[[#This Row],[ReorderLevel]]*3,"Over Stock","Okay")</f>
        <v>Over Stock</v>
      </c>
      <c r="O308" t="str">
        <f>IF(Table1[[#This Row],[CurrentStock]]&lt;Table1[[#This Row],[ReorderLevel]],"Reorder","Okay")</f>
        <v>Okay</v>
      </c>
    </row>
    <row r="309" spans="1:15" x14ac:dyDescent="0.3">
      <c r="A309">
        <v>60500</v>
      </c>
      <c r="B309" t="s">
        <v>22</v>
      </c>
      <c r="C309" t="s">
        <v>27</v>
      </c>
      <c r="D309">
        <v>266</v>
      </c>
      <c r="E309">
        <v>100</v>
      </c>
      <c r="F309">
        <v>428.57</v>
      </c>
      <c r="G309" t="s">
        <v>34</v>
      </c>
      <c r="H309" s="1">
        <v>45546</v>
      </c>
      <c r="I309" s="1">
        <v>45571</v>
      </c>
      <c r="J309" t="s">
        <v>37</v>
      </c>
      <c r="K309" t="b">
        <f>Table1[[#This Row],[CurrentStock]]&lt;Table1[[#This Row],[ReorderLevel]]</f>
        <v>0</v>
      </c>
      <c r="L309" s="9">
        <f>Table1[[#This Row],[CurrentStock]]*Table1[[#This Row],[UnitPrice]]</f>
        <v>113999.62</v>
      </c>
      <c r="M309" t="str">
        <f>IF(Table1[[#This Row],[ReorderLevel]]-Table1[[#This Row],[CurrentStock]]&gt;0,Table1[[#This Row],[ReorderLevel]]-Table1[[#This Row],[CurrentStock]],"")</f>
        <v/>
      </c>
      <c r="N309" t="str">
        <f>IF(Table1[[#This Row],[CurrentStock]]&gt;Table1[[#This Row],[ReorderLevel]]*3,"Over Stock","Okay")</f>
        <v>Okay</v>
      </c>
      <c r="O309" t="str">
        <f>IF(Table1[[#This Row],[CurrentStock]]&lt;Table1[[#This Row],[ReorderLevel]],"Reorder","Okay")</f>
        <v>Okay</v>
      </c>
    </row>
    <row r="310" spans="1:15" x14ac:dyDescent="0.3">
      <c r="A310">
        <v>96497</v>
      </c>
      <c r="B310" t="s">
        <v>20</v>
      </c>
      <c r="C310" t="s">
        <v>29</v>
      </c>
      <c r="D310">
        <v>200</v>
      </c>
      <c r="E310">
        <v>80</v>
      </c>
      <c r="F310">
        <v>21.16</v>
      </c>
      <c r="G310" t="s">
        <v>35</v>
      </c>
      <c r="H310" s="1">
        <v>45326</v>
      </c>
      <c r="I310" s="1">
        <v>45347</v>
      </c>
      <c r="J310" t="s">
        <v>37</v>
      </c>
      <c r="K310" t="b">
        <f>Table1[[#This Row],[CurrentStock]]&lt;Table1[[#This Row],[ReorderLevel]]</f>
        <v>0</v>
      </c>
      <c r="L310" s="9">
        <f>Table1[[#This Row],[CurrentStock]]*Table1[[#This Row],[UnitPrice]]</f>
        <v>4232</v>
      </c>
      <c r="M310" t="str">
        <f>IF(Table1[[#This Row],[ReorderLevel]]-Table1[[#This Row],[CurrentStock]]&gt;0,Table1[[#This Row],[ReorderLevel]]-Table1[[#This Row],[CurrentStock]],"")</f>
        <v/>
      </c>
      <c r="N310" t="str">
        <f>IF(Table1[[#This Row],[CurrentStock]]&gt;Table1[[#This Row],[ReorderLevel]]*3,"Over Stock","Okay")</f>
        <v>Okay</v>
      </c>
      <c r="O310" t="str">
        <f>IF(Table1[[#This Row],[CurrentStock]]&lt;Table1[[#This Row],[ReorderLevel]],"Reorder","Okay")</f>
        <v>Okay</v>
      </c>
    </row>
    <row r="311" spans="1:15" x14ac:dyDescent="0.3">
      <c r="A311">
        <v>36649</v>
      </c>
      <c r="B311" t="s">
        <v>14</v>
      </c>
      <c r="C311" t="s">
        <v>27</v>
      </c>
      <c r="D311">
        <v>75</v>
      </c>
      <c r="E311">
        <v>100</v>
      </c>
      <c r="F311">
        <v>388.07</v>
      </c>
      <c r="G311" t="s">
        <v>34</v>
      </c>
      <c r="H311" s="1">
        <v>45652</v>
      </c>
      <c r="I311" s="1">
        <v>45675</v>
      </c>
      <c r="J311" t="s">
        <v>37</v>
      </c>
      <c r="K311" t="b">
        <f>Table1[[#This Row],[CurrentStock]]&lt;Table1[[#This Row],[ReorderLevel]]</f>
        <v>1</v>
      </c>
      <c r="L311" s="9">
        <f>Table1[[#This Row],[CurrentStock]]*Table1[[#This Row],[UnitPrice]]</f>
        <v>29105.25</v>
      </c>
      <c r="M311">
        <f>IF(Table1[[#This Row],[ReorderLevel]]-Table1[[#This Row],[CurrentStock]]&gt;0,Table1[[#This Row],[ReorderLevel]]-Table1[[#This Row],[CurrentStock]],"")</f>
        <v>25</v>
      </c>
      <c r="N311" t="str">
        <f>IF(Table1[[#This Row],[CurrentStock]]&gt;Table1[[#This Row],[ReorderLevel]]*3,"Over Stock","Okay")</f>
        <v>Okay</v>
      </c>
      <c r="O311" t="str">
        <f>IF(Table1[[#This Row],[CurrentStock]]&lt;Table1[[#This Row],[ReorderLevel]],"Reorder","Okay")</f>
        <v>Reorder</v>
      </c>
    </row>
    <row r="312" spans="1:15" x14ac:dyDescent="0.3">
      <c r="A312">
        <v>28230</v>
      </c>
      <c r="B312" t="s">
        <v>16</v>
      </c>
      <c r="C312" t="s">
        <v>30</v>
      </c>
      <c r="D312">
        <v>37</v>
      </c>
      <c r="E312">
        <v>50</v>
      </c>
      <c r="F312">
        <v>395.46</v>
      </c>
      <c r="G312" t="s">
        <v>34</v>
      </c>
      <c r="H312" s="1">
        <v>45470</v>
      </c>
      <c r="I312" s="1">
        <v>45478</v>
      </c>
      <c r="J312" t="s">
        <v>39</v>
      </c>
      <c r="K312" t="b">
        <f>Table1[[#This Row],[CurrentStock]]&lt;Table1[[#This Row],[ReorderLevel]]</f>
        <v>1</v>
      </c>
      <c r="L312" s="9">
        <f>Table1[[#This Row],[CurrentStock]]*Table1[[#This Row],[UnitPrice]]</f>
        <v>14632.019999999999</v>
      </c>
      <c r="M312">
        <f>IF(Table1[[#This Row],[ReorderLevel]]-Table1[[#This Row],[CurrentStock]]&gt;0,Table1[[#This Row],[ReorderLevel]]-Table1[[#This Row],[CurrentStock]],"")</f>
        <v>13</v>
      </c>
      <c r="N312" t="str">
        <f>IF(Table1[[#This Row],[CurrentStock]]&gt;Table1[[#This Row],[ReorderLevel]]*3,"Over Stock","Okay")</f>
        <v>Okay</v>
      </c>
      <c r="O312" t="str">
        <f>IF(Table1[[#This Row],[CurrentStock]]&lt;Table1[[#This Row],[ReorderLevel]],"Reorder","Okay")</f>
        <v>Reorder</v>
      </c>
    </row>
    <row r="313" spans="1:15" x14ac:dyDescent="0.3">
      <c r="A313">
        <v>21190</v>
      </c>
      <c r="B313" t="s">
        <v>10</v>
      </c>
      <c r="C313" t="s">
        <v>27</v>
      </c>
      <c r="D313">
        <v>66</v>
      </c>
      <c r="E313">
        <v>100</v>
      </c>
      <c r="F313">
        <v>135.02000000000001</v>
      </c>
      <c r="G313" t="s">
        <v>35</v>
      </c>
      <c r="H313" s="1">
        <v>45453</v>
      </c>
      <c r="I313" s="1">
        <v>45484</v>
      </c>
      <c r="J313" t="s">
        <v>37</v>
      </c>
      <c r="K313" t="b">
        <f>Table1[[#This Row],[CurrentStock]]&lt;Table1[[#This Row],[ReorderLevel]]</f>
        <v>1</v>
      </c>
      <c r="L313" s="9">
        <f>Table1[[#This Row],[CurrentStock]]*Table1[[#This Row],[UnitPrice]]</f>
        <v>8911.3200000000015</v>
      </c>
      <c r="M313">
        <f>IF(Table1[[#This Row],[ReorderLevel]]-Table1[[#This Row],[CurrentStock]]&gt;0,Table1[[#This Row],[ReorderLevel]]-Table1[[#This Row],[CurrentStock]],"")</f>
        <v>34</v>
      </c>
      <c r="N313" t="str">
        <f>IF(Table1[[#This Row],[CurrentStock]]&gt;Table1[[#This Row],[ReorderLevel]]*3,"Over Stock","Okay")</f>
        <v>Okay</v>
      </c>
      <c r="O313" t="str">
        <f>IF(Table1[[#This Row],[CurrentStock]]&lt;Table1[[#This Row],[ReorderLevel]],"Reorder","Okay")</f>
        <v>Reorder</v>
      </c>
    </row>
    <row r="314" spans="1:15" x14ac:dyDescent="0.3">
      <c r="A314">
        <v>50583</v>
      </c>
      <c r="B314" t="s">
        <v>12</v>
      </c>
      <c r="C314" t="s">
        <v>28</v>
      </c>
      <c r="D314">
        <v>400</v>
      </c>
      <c r="E314">
        <v>80</v>
      </c>
      <c r="F314">
        <v>238.88</v>
      </c>
      <c r="G314" t="s">
        <v>32</v>
      </c>
      <c r="H314" s="1">
        <v>45509</v>
      </c>
      <c r="I314" s="1">
        <v>45540</v>
      </c>
      <c r="J314" t="s">
        <v>39</v>
      </c>
      <c r="K314" t="b">
        <f>Table1[[#This Row],[CurrentStock]]&lt;Table1[[#This Row],[ReorderLevel]]</f>
        <v>0</v>
      </c>
      <c r="L314" s="9">
        <f>Table1[[#This Row],[CurrentStock]]*Table1[[#This Row],[UnitPrice]]</f>
        <v>95552</v>
      </c>
      <c r="M314" t="str">
        <f>IF(Table1[[#This Row],[ReorderLevel]]-Table1[[#This Row],[CurrentStock]]&gt;0,Table1[[#This Row],[ReorderLevel]]-Table1[[#This Row],[CurrentStock]],"")</f>
        <v/>
      </c>
      <c r="N314" t="str">
        <f>IF(Table1[[#This Row],[CurrentStock]]&gt;Table1[[#This Row],[ReorderLevel]]*3,"Over Stock","Okay")</f>
        <v>Over Stock</v>
      </c>
      <c r="O314" t="str">
        <f>IF(Table1[[#This Row],[CurrentStock]]&lt;Table1[[#This Row],[ReorderLevel]],"Reorder","Okay")</f>
        <v>Okay</v>
      </c>
    </row>
    <row r="315" spans="1:15" x14ac:dyDescent="0.3">
      <c r="A315">
        <v>93375</v>
      </c>
      <c r="B315" t="s">
        <v>18</v>
      </c>
      <c r="C315" t="s">
        <v>28</v>
      </c>
      <c r="D315">
        <v>92</v>
      </c>
      <c r="E315">
        <v>80</v>
      </c>
      <c r="F315">
        <v>243.61</v>
      </c>
      <c r="G315" t="s">
        <v>36</v>
      </c>
      <c r="H315" s="1">
        <v>45433</v>
      </c>
      <c r="I315" s="1">
        <v>45472</v>
      </c>
      <c r="J315" t="s">
        <v>37</v>
      </c>
      <c r="K315" t="b">
        <f>Table1[[#This Row],[CurrentStock]]&lt;Table1[[#This Row],[ReorderLevel]]</f>
        <v>0</v>
      </c>
      <c r="L315" s="9">
        <f>Table1[[#This Row],[CurrentStock]]*Table1[[#This Row],[UnitPrice]]</f>
        <v>22412.120000000003</v>
      </c>
      <c r="M315" t="str">
        <f>IF(Table1[[#This Row],[ReorderLevel]]-Table1[[#This Row],[CurrentStock]]&gt;0,Table1[[#This Row],[ReorderLevel]]-Table1[[#This Row],[CurrentStock]],"")</f>
        <v/>
      </c>
      <c r="N315" t="str">
        <f>IF(Table1[[#This Row],[CurrentStock]]&gt;Table1[[#This Row],[ReorderLevel]]*3,"Over Stock","Okay")</f>
        <v>Okay</v>
      </c>
      <c r="O315" t="str">
        <f>IF(Table1[[#This Row],[CurrentStock]]&lt;Table1[[#This Row],[ReorderLevel]],"Reorder","Okay")</f>
        <v>Okay</v>
      </c>
    </row>
    <row r="316" spans="1:15" x14ac:dyDescent="0.3">
      <c r="A316">
        <v>47418</v>
      </c>
      <c r="B316" t="s">
        <v>26</v>
      </c>
      <c r="C316" t="s">
        <v>30</v>
      </c>
      <c r="D316">
        <v>485</v>
      </c>
      <c r="E316">
        <v>20</v>
      </c>
      <c r="F316">
        <v>8.7899999999999991</v>
      </c>
      <c r="G316" t="s">
        <v>34</v>
      </c>
      <c r="H316" s="1">
        <v>45481</v>
      </c>
      <c r="I316" s="1">
        <v>45493</v>
      </c>
      <c r="J316" t="s">
        <v>37</v>
      </c>
      <c r="K316" t="b">
        <f>Table1[[#This Row],[CurrentStock]]&lt;Table1[[#This Row],[ReorderLevel]]</f>
        <v>0</v>
      </c>
      <c r="L316" s="9">
        <f>Table1[[#This Row],[CurrentStock]]*Table1[[#This Row],[UnitPrice]]</f>
        <v>4263.1499999999996</v>
      </c>
      <c r="M316" t="str">
        <f>IF(Table1[[#This Row],[ReorderLevel]]-Table1[[#This Row],[CurrentStock]]&gt;0,Table1[[#This Row],[ReorderLevel]]-Table1[[#This Row],[CurrentStock]],"")</f>
        <v/>
      </c>
      <c r="N316" t="str">
        <f>IF(Table1[[#This Row],[CurrentStock]]&gt;Table1[[#This Row],[ReorderLevel]]*3,"Over Stock","Okay")</f>
        <v>Over Stock</v>
      </c>
      <c r="O316" t="str">
        <f>IF(Table1[[#This Row],[CurrentStock]]&lt;Table1[[#This Row],[ReorderLevel]],"Reorder","Okay")</f>
        <v>Okay</v>
      </c>
    </row>
    <row r="317" spans="1:15" x14ac:dyDescent="0.3">
      <c r="A317">
        <v>15463</v>
      </c>
      <c r="B317" t="s">
        <v>25</v>
      </c>
      <c r="C317" t="s">
        <v>31</v>
      </c>
      <c r="D317">
        <v>340</v>
      </c>
      <c r="E317">
        <v>80</v>
      </c>
      <c r="F317">
        <v>288.16000000000003</v>
      </c>
      <c r="G317" t="s">
        <v>36</v>
      </c>
      <c r="H317" s="1">
        <v>45609</v>
      </c>
      <c r="I317" s="1">
        <v>45622</v>
      </c>
      <c r="J317" t="s">
        <v>37</v>
      </c>
      <c r="K317" t="b">
        <f>Table1[[#This Row],[CurrentStock]]&lt;Table1[[#This Row],[ReorderLevel]]</f>
        <v>0</v>
      </c>
      <c r="L317" s="9">
        <f>Table1[[#This Row],[CurrentStock]]*Table1[[#This Row],[UnitPrice]]</f>
        <v>97974.400000000009</v>
      </c>
      <c r="M317" t="str">
        <f>IF(Table1[[#This Row],[ReorderLevel]]-Table1[[#This Row],[CurrentStock]]&gt;0,Table1[[#This Row],[ReorderLevel]]-Table1[[#This Row],[CurrentStock]],"")</f>
        <v/>
      </c>
      <c r="N317" t="str">
        <f>IF(Table1[[#This Row],[CurrentStock]]&gt;Table1[[#This Row],[ReorderLevel]]*3,"Over Stock","Okay")</f>
        <v>Over Stock</v>
      </c>
      <c r="O317" t="str">
        <f>IF(Table1[[#This Row],[CurrentStock]]&lt;Table1[[#This Row],[ReorderLevel]],"Reorder","Okay")</f>
        <v>Okay</v>
      </c>
    </row>
    <row r="318" spans="1:15" x14ac:dyDescent="0.3">
      <c r="A318">
        <v>32207</v>
      </c>
      <c r="B318" t="s">
        <v>18</v>
      </c>
      <c r="C318" t="s">
        <v>28</v>
      </c>
      <c r="D318">
        <v>343</v>
      </c>
      <c r="E318">
        <v>80</v>
      </c>
      <c r="F318">
        <v>175.89</v>
      </c>
      <c r="G318" t="s">
        <v>32</v>
      </c>
      <c r="H318" s="1">
        <v>45474</v>
      </c>
      <c r="I318" s="1">
        <v>45491</v>
      </c>
      <c r="J318" t="s">
        <v>39</v>
      </c>
      <c r="K318" t="b">
        <f>Table1[[#This Row],[CurrentStock]]&lt;Table1[[#This Row],[ReorderLevel]]</f>
        <v>0</v>
      </c>
      <c r="L318" s="9">
        <f>Table1[[#This Row],[CurrentStock]]*Table1[[#This Row],[UnitPrice]]</f>
        <v>60330.27</v>
      </c>
      <c r="M318" t="str">
        <f>IF(Table1[[#This Row],[ReorderLevel]]-Table1[[#This Row],[CurrentStock]]&gt;0,Table1[[#This Row],[ReorderLevel]]-Table1[[#This Row],[CurrentStock]],"")</f>
        <v/>
      </c>
      <c r="N318" t="str">
        <f>IF(Table1[[#This Row],[CurrentStock]]&gt;Table1[[#This Row],[ReorderLevel]]*3,"Over Stock","Okay")</f>
        <v>Over Stock</v>
      </c>
      <c r="O318" t="str">
        <f>IF(Table1[[#This Row],[CurrentStock]]&lt;Table1[[#This Row],[ReorderLevel]],"Reorder","Okay")</f>
        <v>Okay</v>
      </c>
    </row>
    <row r="319" spans="1:15" x14ac:dyDescent="0.3">
      <c r="A319">
        <v>54363</v>
      </c>
      <c r="B319" t="s">
        <v>13</v>
      </c>
      <c r="C319" t="s">
        <v>29</v>
      </c>
      <c r="D319">
        <v>332</v>
      </c>
      <c r="E319">
        <v>150</v>
      </c>
      <c r="F319">
        <v>140.99</v>
      </c>
      <c r="G319" t="s">
        <v>36</v>
      </c>
      <c r="H319" s="1">
        <v>45292</v>
      </c>
      <c r="I319" s="1">
        <v>45315</v>
      </c>
      <c r="J319" t="s">
        <v>37</v>
      </c>
      <c r="K319" t="b">
        <f>Table1[[#This Row],[CurrentStock]]&lt;Table1[[#This Row],[ReorderLevel]]</f>
        <v>0</v>
      </c>
      <c r="L319" s="9">
        <f>Table1[[#This Row],[CurrentStock]]*Table1[[#This Row],[UnitPrice]]</f>
        <v>46808.68</v>
      </c>
      <c r="M319" t="str">
        <f>IF(Table1[[#This Row],[ReorderLevel]]-Table1[[#This Row],[CurrentStock]]&gt;0,Table1[[#This Row],[ReorderLevel]]-Table1[[#This Row],[CurrentStock]],"")</f>
        <v/>
      </c>
      <c r="N319" t="str">
        <f>IF(Table1[[#This Row],[CurrentStock]]&gt;Table1[[#This Row],[ReorderLevel]]*3,"Over Stock","Okay")</f>
        <v>Okay</v>
      </c>
      <c r="O319" t="str">
        <f>IF(Table1[[#This Row],[CurrentStock]]&lt;Table1[[#This Row],[ReorderLevel]],"Reorder","Okay")</f>
        <v>Okay</v>
      </c>
    </row>
    <row r="320" spans="1:15" x14ac:dyDescent="0.3">
      <c r="A320">
        <v>13321</v>
      </c>
      <c r="B320" t="s">
        <v>17</v>
      </c>
      <c r="C320" t="s">
        <v>30</v>
      </c>
      <c r="D320">
        <v>444</v>
      </c>
      <c r="E320">
        <v>20</v>
      </c>
      <c r="F320">
        <v>412.78</v>
      </c>
      <c r="G320" t="s">
        <v>36</v>
      </c>
      <c r="H320" s="1">
        <v>45394</v>
      </c>
      <c r="I320" s="1">
        <v>45426</v>
      </c>
      <c r="J320" t="s">
        <v>37</v>
      </c>
      <c r="K320" t="b">
        <f>Table1[[#This Row],[CurrentStock]]&lt;Table1[[#This Row],[ReorderLevel]]</f>
        <v>0</v>
      </c>
      <c r="L320" s="9">
        <f>Table1[[#This Row],[CurrentStock]]*Table1[[#This Row],[UnitPrice]]</f>
        <v>183274.31999999998</v>
      </c>
      <c r="M320" t="str">
        <f>IF(Table1[[#This Row],[ReorderLevel]]-Table1[[#This Row],[CurrentStock]]&gt;0,Table1[[#This Row],[ReorderLevel]]-Table1[[#This Row],[CurrentStock]],"")</f>
        <v/>
      </c>
      <c r="N320" t="str">
        <f>IF(Table1[[#This Row],[CurrentStock]]&gt;Table1[[#This Row],[ReorderLevel]]*3,"Over Stock","Okay")</f>
        <v>Over Stock</v>
      </c>
      <c r="O320" t="str">
        <f>IF(Table1[[#This Row],[CurrentStock]]&lt;Table1[[#This Row],[ReorderLevel]],"Reorder","Okay")</f>
        <v>Okay</v>
      </c>
    </row>
    <row r="321" spans="1:15" x14ac:dyDescent="0.3">
      <c r="A321">
        <v>33377</v>
      </c>
      <c r="B321" t="s">
        <v>15</v>
      </c>
      <c r="C321" t="s">
        <v>29</v>
      </c>
      <c r="D321">
        <v>342</v>
      </c>
      <c r="E321">
        <v>100</v>
      </c>
      <c r="F321">
        <v>132.52000000000001</v>
      </c>
      <c r="G321" t="s">
        <v>33</v>
      </c>
      <c r="H321" s="1">
        <v>45506</v>
      </c>
      <c r="I321" s="1">
        <v>45530</v>
      </c>
      <c r="J321" t="s">
        <v>39</v>
      </c>
      <c r="K321" t="b">
        <f>Table1[[#This Row],[CurrentStock]]&lt;Table1[[#This Row],[ReorderLevel]]</f>
        <v>0</v>
      </c>
      <c r="L321" s="9">
        <f>Table1[[#This Row],[CurrentStock]]*Table1[[#This Row],[UnitPrice]]</f>
        <v>45321.840000000004</v>
      </c>
      <c r="M321" t="str">
        <f>IF(Table1[[#This Row],[ReorderLevel]]-Table1[[#This Row],[CurrentStock]]&gt;0,Table1[[#This Row],[ReorderLevel]]-Table1[[#This Row],[CurrentStock]],"")</f>
        <v/>
      </c>
      <c r="N321" t="str">
        <f>IF(Table1[[#This Row],[CurrentStock]]&gt;Table1[[#This Row],[ReorderLevel]]*3,"Over Stock","Okay")</f>
        <v>Over Stock</v>
      </c>
      <c r="O321" t="str">
        <f>IF(Table1[[#This Row],[CurrentStock]]&lt;Table1[[#This Row],[ReorderLevel]],"Reorder","Okay")</f>
        <v>Okay</v>
      </c>
    </row>
    <row r="322" spans="1:15" x14ac:dyDescent="0.3">
      <c r="A322">
        <v>88931</v>
      </c>
      <c r="B322" t="s">
        <v>14</v>
      </c>
      <c r="C322" t="s">
        <v>27</v>
      </c>
      <c r="D322">
        <v>160</v>
      </c>
      <c r="E322">
        <v>150</v>
      </c>
      <c r="F322">
        <v>333.02</v>
      </c>
      <c r="G322" t="s">
        <v>35</v>
      </c>
      <c r="H322" s="1">
        <v>45438</v>
      </c>
      <c r="I322" s="1">
        <v>45470</v>
      </c>
      <c r="J322" t="s">
        <v>37</v>
      </c>
      <c r="K322" t="b">
        <f>Table1[[#This Row],[CurrentStock]]&lt;Table1[[#This Row],[ReorderLevel]]</f>
        <v>0</v>
      </c>
      <c r="L322" s="9">
        <f>Table1[[#This Row],[CurrentStock]]*Table1[[#This Row],[UnitPrice]]</f>
        <v>53283.199999999997</v>
      </c>
      <c r="M322" t="str">
        <f>IF(Table1[[#This Row],[ReorderLevel]]-Table1[[#This Row],[CurrentStock]]&gt;0,Table1[[#This Row],[ReorderLevel]]-Table1[[#This Row],[CurrentStock]],"")</f>
        <v/>
      </c>
      <c r="N322" t="str">
        <f>IF(Table1[[#This Row],[CurrentStock]]&gt;Table1[[#This Row],[ReorderLevel]]*3,"Over Stock","Okay")</f>
        <v>Okay</v>
      </c>
      <c r="O322" t="str">
        <f>IF(Table1[[#This Row],[CurrentStock]]&lt;Table1[[#This Row],[ReorderLevel]],"Reorder","Okay")</f>
        <v>Okay</v>
      </c>
    </row>
    <row r="323" spans="1:15" x14ac:dyDescent="0.3">
      <c r="A323">
        <v>96120</v>
      </c>
      <c r="B323" t="s">
        <v>14</v>
      </c>
      <c r="C323" t="s">
        <v>27</v>
      </c>
      <c r="D323">
        <v>242</v>
      </c>
      <c r="E323">
        <v>150</v>
      </c>
      <c r="F323">
        <v>376.18</v>
      </c>
      <c r="G323" t="s">
        <v>33</v>
      </c>
      <c r="H323" s="1">
        <v>45549</v>
      </c>
      <c r="I323" s="1">
        <v>45582</v>
      </c>
      <c r="J323" t="s">
        <v>39</v>
      </c>
      <c r="K323" t="b">
        <f>Table1[[#This Row],[CurrentStock]]&lt;Table1[[#This Row],[ReorderLevel]]</f>
        <v>0</v>
      </c>
      <c r="L323" s="9">
        <f>Table1[[#This Row],[CurrentStock]]*Table1[[#This Row],[UnitPrice]]</f>
        <v>91035.56</v>
      </c>
      <c r="M323" t="str">
        <f>IF(Table1[[#This Row],[ReorderLevel]]-Table1[[#This Row],[CurrentStock]]&gt;0,Table1[[#This Row],[ReorderLevel]]-Table1[[#This Row],[CurrentStock]],"")</f>
        <v/>
      </c>
      <c r="N323" t="str">
        <f>IF(Table1[[#This Row],[CurrentStock]]&gt;Table1[[#This Row],[ReorderLevel]]*3,"Over Stock","Okay")</f>
        <v>Okay</v>
      </c>
      <c r="O323" t="str">
        <f>IF(Table1[[#This Row],[CurrentStock]]&lt;Table1[[#This Row],[ReorderLevel]],"Reorder","Okay")</f>
        <v>Okay</v>
      </c>
    </row>
    <row r="324" spans="1:15" x14ac:dyDescent="0.3">
      <c r="A324">
        <v>56619</v>
      </c>
      <c r="B324" t="s">
        <v>13</v>
      </c>
      <c r="C324" t="s">
        <v>29</v>
      </c>
      <c r="D324">
        <v>460</v>
      </c>
      <c r="E324">
        <v>30</v>
      </c>
      <c r="F324">
        <v>253.57</v>
      </c>
      <c r="G324" t="s">
        <v>32</v>
      </c>
      <c r="H324" s="1">
        <v>45342</v>
      </c>
      <c r="I324" s="1">
        <v>45355</v>
      </c>
      <c r="J324" t="s">
        <v>39</v>
      </c>
      <c r="K324" t="b">
        <f>Table1[[#This Row],[CurrentStock]]&lt;Table1[[#This Row],[ReorderLevel]]</f>
        <v>0</v>
      </c>
      <c r="L324" s="9">
        <f>Table1[[#This Row],[CurrentStock]]*Table1[[#This Row],[UnitPrice]]</f>
        <v>116642.2</v>
      </c>
      <c r="M324" t="str">
        <f>IF(Table1[[#This Row],[ReorderLevel]]-Table1[[#This Row],[CurrentStock]]&gt;0,Table1[[#This Row],[ReorderLevel]]-Table1[[#This Row],[CurrentStock]],"")</f>
        <v/>
      </c>
      <c r="N324" t="str">
        <f>IF(Table1[[#This Row],[CurrentStock]]&gt;Table1[[#This Row],[ReorderLevel]]*3,"Over Stock","Okay")</f>
        <v>Over Stock</v>
      </c>
      <c r="O324" t="str">
        <f>IF(Table1[[#This Row],[CurrentStock]]&lt;Table1[[#This Row],[ReorderLevel]],"Reorder","Okay")</f>
        <v>Okay</v>
      </c>
    </row>
    <row r="325" spans="1:15" x14ac:dyDescent="0.3">
      <c r="A325">
        <v>88928</v>
      </c>
      <c r="B325" t="s">
        <v>20</v>
      </c>
      <c r="C325" t="s">
        <v>29</v>
      </c>
      <c r="D325">
        <v>1</v>
      </c>
      <c r="E325">
        <v>80</v>
      </c>
      <c r="F325">
        <v>37.89</v>
      </c>
      <c r="G325" t="s">
        <v>35</v>
      </c>
      <c r="H325" s="1">
        <v>45641</v>
      </c>
      <c r="I325" s="1">
        <v>45647</v>
      </c>
      <c r="J325" t="s">
        <v>39</v>
      </c>
      <c r="K325" t="b">
        <f>Table1[[#This Row],[CurrentStock]]&lt;Table1[[#This Row],[ReorderLevel]]</f>
        <v>1</v>
      </c>
      <c r="L325" s="9">
        <f>Table1[[#This Row],[CurrentStock]]*Table1[[#This Row],[UnitPrice]]</f>
        <v>37.89</v>
      </c>
      <c r="M325">
        <f>IF(Table1[[#This Row],[ReorderLevel]]-Table1[[#This Row],[CurrentStock]]&gt;0,Table1[[#This Row],[ReorderLevel]]-Table1[[#This Row],[CurrentStock]],"")</f>
        <v>79</v>
      </c>
      <c r="N325" t="str">
        <f>IF(Table1[[#This Row],[CurrentStock]]&gt;Table1[[#This Row],[ReorderLevel]]*3,"Over Stock","Okay")</f>
        <v>Okay</v>
      </c>
      <c r="O325" t="str">
        <f>IF(Table1[[#This Row],[CurrentStock]]&lt;Table1[[#This Row],[ReorderLevel]],"Reorder","Okay")</f>
        <v>Reorder</v>
      </c>
    </row>
    <row r="326" spans="1:15" x14ac:dyDescent="0.3">
      <c r="A326">
        <v>47437</v>
      </c>
      <c r="B326" t="s">
        <v>22</v>
      </c>
      <c r="C326" t="s">
        <v>27</v>
      </c>
      <c r="D326">
        <v>234</v>
      </c>
      <c r="E326">
        <v>20</v>
      </c>
      <c r="F326">
        <v>46.77</v>
      </c>
      <c r="G326" t="s">
        <v>35</v>
      </c>
      <c r="H326" s="1">
        <v>45648</v>
      </c>
      <c r="I326" s="1">
        <v>45673</v>
      </c>
      <c r="J326" t="s">
        <v>38</v>
      </c>
      <c r="K326" t="b">
        <f>Table1[[#This Row],[CurrentStock]]&lt;Table1[[#This Row],[ReorderLevel]]</f>
        <v>0</v>
      </c>
      <c r="L326" s="9">
        <f>Table1[[#This Row],[CurrentStock]]*Table1[[#This Row],[UnitPrice]]</f>
        <v>10944.18</v>
      </c>
      <c r="M326" t="str">
        <f>IF(Table1[[#This Row],[ReorderLevel]]-Table1[[#This Row],[CurrentStock]]&gt;0,Table1[[#This Row],[ReorderLevel]]-Table1[[#This Row],[CurrentStock]],"")</f>
        <v/>
      </c>
      <c r="N326" t="str">
        <f>IF(Table1[[#This Row],[CurrentStock]]&gt;Table1[[#This Row],[ReorderLevel]]*3,"Over Stock","Okay")</f>
        <v>Over Stock</v>
      </c>
      <c r="O326" t="str">
        <f>IF(Table1[[#This Row],[CurrentStock]]&lt;Table1[[#This Row],[ReorderLevel]],"Reorder","Okay")</f>
        <v>Okay</v>
      </c>
    </row>
    <row r="327" spans="1:15" x14ac:dyDescent="0.3">
      <c r="A327">
        <v>46268</v>
      </c>
      <c r="B327" t="s">
        <v>19</v>
      </c>
      <c r="C327" t="s">
        <v>28</v>
      </c>
      <c r="D327">
        <v>407</v>
      </c>
      <c r="E327">
        <v>20</v>
      </c>
      <c r="F327">
        <v>38.36</v>
      </c>
      <c r="G327" t="s">
        <v>35</v>
      </c>
      <c r="H327" s="1">
        <v>45568</v>
      </c>
      <c r="I327" s="1">
        <v>45590</v>
      </c>
      <c r="J327" t="s">
        <v>37</v>
      </c>
      <c r="K327" t="b">
        <f>Table1[[#This Row],[CurrentStock]]&lt;Table1[[#This Row],[ReorderLevel]]</f>
        <v>0</v>
      </c>
      <c r="L327" s="9">
        <f>Table1[[#This Row],[CurrentStock]]*Table1[[#This Row],[UnitPrice]]</f>
        <v>15612.52</v>
      </c>
      <c r="M327" t="str">
        <f>IF(Table1[[#This Row],[ReorderLevel]]-Table1[[#This Row],[CurrentStock]]&gt;0,Table1[[#This Row],[ReorderLevel]]-Table1[[#This Row],[CurrentStock]],"")</f>
        <v/>
      </c>
      <c r="N327" t="str">
        <f>IF(Table1[[#This Row],[CurrentStock]]&gt;Table1[[#This Row],[ReorderLevel]]*3,"Over Stock","Okay")</f>
        <v>Over Stock</v>
      </c>
      <c r="O327" t="str">
        <f>IF(Table1[[#This Row],[CurrentStock]]&lt;Table1[[#This Row],[ReorderLevel]],"Reorder","Okay")</f>
        <v>Okay</v>
      </c>
    </row>
    <row r="328" spans="1:15" x14ac:dyDescent="0.3">
      <c r="A328">
        <v>62395</v>
      </c>
      <c r="B328" t="s">
        <v>21</v>
      </c>
      <c r="C328" t="s">
        <v>31</v>
      </c>
      <c r="D328">
        <v>187</v>
      </c>
      <c r="E328">
        <v>50</v>
      </c>
      <c r="F328">
        <v>400.2</v>
      </c>
      <c r="G328" t="s">
        <v>35</v>
      </c>
      <c r="H328" s="1">
        <v>45486</v>
      </c>
      <c r="I328" s="1">
        <v>45518</v>
      </c>
      <c r="J328" t="s">
        <v>38</v>
      </c>
      <c r="K328" t="b">
        <f>Table1[[#This Row],[CurrentStock]]&lt;Table1[[#This Row],[ReorderLevel]]</f>
        <v>0</v>
      </c>
      <c r="L328" s="9">
        <f>Table1[[#This Row],[CurrentStock]]*Table1[[#This Row],[UnitPrice]]</f>
        <v>74837.399999999994</v>
      </c>
      <c r="M328" t="str">
        <f>IF(Table1[[#This Row],[ReorderLevel]]-Table1[[#This Row],[CurrentStock]]&gt;0,Table1[[#This Row],[ReorderLevel]]-Table1[[#This Row],[CurrentStock]],"")</f>
        <v/>
      </c>
      <c r="N328" t="str">
        <f>IF(Table1[[#This Row],[CurrentStock]]&gt;Table1[[#This Row],[ReorderLevel]]*3,"Over Stock","Okay")</f>
        <v>Over Stock</v>
      </c>
      <c r="O328" t="str">
        <f>IF(Table1[[#This Row],[CurrentStock]]&lt;Table1[[#This Row],[ReorderLevel]],"Reorder","Okay")</f>
        <v>Okay</v>
      </c>
    </row>
    <row r="329" spans="1:15" x14ac:dyDescent="0.3">
      <c r="A329">
        <v>98503</v>
      </c>
      <c r="B329" t="s">
        <v>15</v>
      </c>
      <c r="C329" t="s">
        <v>29</v>
      </c>
      <c r="D329">
        <v>312</v>
      </c>
      <c r="E329">
        <v>100</v>
      </c>
      <c r="F329">
        <v>354.27</v>
      </c>
      <c r="G329" t="s">
        <v>34</v>
      </c>
      <c r="H329" s="1">
        <v>45458</v>
      </c>
      <c r="I329" s="1">
        <v>45496</v>
      </c>
      <c r="J329" t="s">
        <v>37</v>
      </c>
      <c r="K329" t="b">
        <f>Table1[[#This Row],[CurrentStock]]&lt;Table1[[#This Row],[ReorderLevel]]</f>
        <v>0</v>
      </c>
      <c r="L329" s="9">
        <f>Table1[[#This Row],[CurrentStock]]*Table1[[#This Row],[UnitPrice]]</f>
        <v>110532.23999999999</v>
      </c>
      <c r="M329" t="str">
        <f>IF(Table1[[#This Row],[ReorderLevel]]-Table1[[#This Row],[CurrentStock]]&gt;0,Table1[[#This Row],[ReorderLevel]]-Table1[[#This Row],[CurrentStock]],"")</f>
        <v/>
      </c>
      <c r="N329" t="str">
        <f>IF(Table1[[#This Row],[CurrentStock]]&gt;Table1[[#This Row],[ReorderLevel]]*3,"Over Stock","Okay")</f>
        <v>Over Stock</v>
      </c>
      <c r="O329" t="str">
        <f>IF(Table1[[#This Row],[CurrentStock]]&lt;Table1[[#This Row],[ReorderLevel]],"Reorder","Okay")</f>
        <v>Okay</v>
      </c>
    </row>
    <row r="330" spans="1:15" x14ac:dyDescent="0.3">
      <c r="A330">
        <v>50379</v>
      </c>
      <c r="B330" t="s">
        <v>10</v>
      </c>
      <c r="C330" t="s">
        <v>27</v>
      </c>
      <c r="D330">
        <v>55</v>
      </c>
      <c r="E330">
        <v>20</v>
      </c>
      <c r="F330">
        <v>176.21</v>
      </c>
      <c r="G330" t="s">
        <v>33</v>
      </c>
      <c r="H330" s="1">
        <v>45439</v>
      </c>
      <c r="I330" s="1">
        <v>45462</v>
      </c>
      <c r="J330" t="s">
        <v>38</v>
      </c>
      <c r="K330" t="b">
        <f>Table1[[#This Row],[CurrentStock]]&lt;Table1[[#This Row],[ReorderLevel]]</f>
        <v>0</v>
      </c>
      <c r="L330" s="9">
        <f>Table1[[#This Row],[CurrentStock]]*Table1[[#This Row],[UnitPrice]]</f>
        <v>9691.5500000000011</v>
      </c>
      <c r="M330" t="str">
        <f>IF(Table1[[#This Row],[ReorderLevel]]-Table1[[#This Row],[CurrentStock]]&gt;0,Table1[[#This Row],[ReorderLevel]]-Table1[[#This Row],[CurrentStock]],"")</f>
        <v/>
      </c>
      <c r="N330" t="str">
        <f>IF(Table1[[#This Row],[CurrentStock]]&gt;Table1[[#This Row],[ReorderLevel]]*3,"Over Stock","Okay")</f>
        <v>Okay</v>
      </c>
      <c r="O330" t="str">
        <f>IF(Table1[[#This Row],[CurrentStock]]&lt;Table1[[#This Row],[ReorderLevel]],"Reorder","Okay")</f>
        <v>Okay</v>
      </c>
    </row>
    <row r="331" spans="1:15" x14ac:dyDescent="0.3">
      <c r="A331">
        <v>89239</v>
      </c>
      <c r="B331" t="s">
        <v>13</v>
      </c>
      <c r="C331" t="s">
        <v>29</v>
      </c>
      <c r="D331">
        <v>478</v>
      </c>
      <c r="E331">
        <v>40</v>
      </c>
      <c r="F331">
        <v>207.77</v>
      </c>
      <c r="G331" t="s">
        <v>33</v>
      </c>
      <c r="H331" s="1">
        <v>45596</v>
      </c>
      <c r="I331" s="1">
        <v>45605</v>
      </c>
      <c r="J331" t="s">
        <v>39</v>
      </c>
      <c r="K331" t="b">
        <f>Table1[[#This Row],[CurrentStock]]&lt;Table1[[#This Row],[ReorderLevel]]</f>
        <v>0</v>
      </c>
      <c r="L331" s="9">
        <f>Table1[[#This Row],[CurrentStock]]*Table1[[#This Row],[UnitPrice]]</f>
        <v>99314.06</v>
      </c>
      <c r="M331" t="str">
        <f>IF(Table1[[#This Row],[ReorderLevel]]-Table1[[#This Row],[CurrentStock]]&gt;0,Table1[[#This Row],[ReorderLevel]]-Table1[[#This Row],[CurrentStock]],"")</f>
        <v/>
      </c>
      <c r="N331" t="str">
        <f>IF(Table1[[#This Row],[CurrentStock]]&gt;Table1[[#This Row],[ReorderLevel]]*3,"Over Stock","Okay")</f>
        <v>Over Stock</v>
      </c>
      <c r="O331" t="str">
        <f>IF(Table1[[#This Row],[CurrentStock]]&lt;Table1[[#This Row],[ReorderLevel]],"Reorder","Okay")</f>
        <v>Okay</v>
      </c>
    </row>
    <row r="332" spans="1:15" x14ac:dyDescent="0.3">
      <c r="A332">
        <v>52359</v>
      </c>
      <c r="B332" t="s">
        <v>19</v>
      </c>
      <c r="C332" t="s">
        <v>28</v>
      </c>
      <c r="D332">
        <v>387</v>
      </c>
      <c r="E332">
        <v>20</v>
      </c>
      <c r="F332">
        <v>74.569999999999993</v>
      </c>
      <c r="G332" t="s">
        <v>32</v>
      </c>
      <c r="H332" s="1">
        <v>45616</v>
      </c>
      <c r="I332" s="1">
        <v>45650</v>
      </c>
      <c r="J332" t="s">
        <v>38</v>
      </c>
      <c r="K332" t="b">
        <f>Table1[[#This Row],[CurrentStock]]&lt;Table1[[#This Row],[ReorderLevel]]</f>
        <v>0</v>
      </c>
      <c r="L332" s="9">
        <f>Table1[[#This Row],[CurrentStock]]*Table1[[#This Row],[UnitPrice]]</f>
        <v>28858.589999999997</v>
      </c>
      <c r="M332" t="str">
        <f>IF(Table1[[#This Row],[ReorderLevel]]-Table1[[#This Row],[CurrentStock]]&gt;0,Table1[[#This Row],[ReorderLevel]]-Table1[[#This Row],[CurrentStock]],"")</f>
        <v/>
      </c>
      <c r="N332" t="str">
        <f>IF(Table1[[#This Row],[CurrentStock]]&gt;Table1[[#This Row],[ReorderLevel]]*3,"Over Stock","Okay")</f>
        <v>Over Stock</v>
      </c>
      <c r="O332" t="str">
        <f>IF(Table1[[#This Row],[CurrentStock]]&lt;Table1[[#This Row],[ReorderLevel]],"Reorder","Okay")</f>
        <v>Okay</v>
      </c>
    </row>
    <row r="333" spans="1:15" x14ac:dyDescent="0.3">
      <c r="A333">
        <v>87362</v>
      </c>
      <c r="B333" t="s">
        <v>20</v>
      </c>
      <c r="C333" t="s">
        <v>29</v>
      </c>
      <c r="D333">
        <v>259</v>
      </c>
      <c r="E333">
        <v>30</v>
      </c>
      <c r="F333">
        <v>24.3</v>
      </c>
      <c r="G333" t="s">
        <v>33</v>
      </c>
      <c r="H333" s="1">
        <v>45654</v>
      </c>
      <c r="I333" s="1">
        <v>45685</v>
      </c>
      <c r="J333" t="s">
        <v>39</v>
      </c>
      <c r="K333" t="b">
        <f>Table1[[#This Row],[CurrentStock]]&lt;Table1[[#This Row],[ReorderLevel]]</f>
        <v>0</v>
      </c>
      <c r="L333" s="9">
        <f>Table1[[#This Row],[CurrentStock]]*Table1[[#This Row],[UnitPrice]]</f>
        <v>6293.7</v>
      </c>
      <c r="M333" t="str">
        <f>IF(Table1[[#This Row],[ReorderLevel]]-Table1[[#This Row],[CurrentStock]]&gt;0,Table1[[#This Row],[ReorderLevel]]-Table1[[#This Row],[CurrentStock]],"")</f>
        <v/>
      </c>
      <c r="N333" t="str">
        <f>IF(Table1[[#This Row],[CurrentStock]]&gt;Table1[[#This Row],[ReorderLevel]]*3,"Over Stock","Okay")</f>
        <v>Over Stock</v>
      </c>
      <c r="O333" t="str">
        <f>IF(Table1[[#This Row],[CurrentStock]]&lt;Table1[[#This Row],[ReorderLevel]],"Reorder","Okay")</f>
        <v>Okay</v>
      </c>
    </row>
    <row r="334" spans="1:15" x14ac:dyDescent="0.3">
      <c r="A334">
        <v>37734</v>
      </c>
      <c r="B334" t="s">
        <v>20</v>
      </c>
      <c r="C334" t="s">
        <v>29</v>
      </c>
      <c r="D334">
        <v>398</v>
      </c>
      <c r="E334">
        <v>80</v>
      </c>
      <c r="F334">
        <v>148.18</v>
      </c>
      <c r="G334" t="s">
        <v>34</v>
      </c>
      <c r="H334" s="1">
        <v>45413</v>
      </c>
      <c r="I334" s="1">
        <v>45452</v>
      </c>
      <c r="J334" t="s">
        <v>39</v>
      </c>
      <c r="K334" t="b">
        <f>Table1[[#This Row],[CurrentStock]]&lt;Table1[[#This Row],[ReorderLevel]]</f>
        <v>0</v>
      </c>
      <c r="L334" s="9">
        <f>Table1[[#This Row],[CurrentStock]]*Table1[[#This Row],[UnitPrice]]</f>
        <v>58975.64</v>
      </c>
      <c r="M334" t="str">
        <f>IF(Table1[[#This Row],[ReorderLevel]]-Table1[[#This Row],[CurrentStock]]&gt;0,Table1[[#This Row],[ReorderLevel]]-Table1[[#This Row],[CurrentStock]],"")</f>
        <v/>
      </c>
      <c r="N334" t="str">
        <f>IF(Table1[[#This Row],[CurrentStock]]&gt;Table1[[#This Row],[ReorderLevel]]*3,"Over Stock","Okay")</f>
        <v>Over Stock</v>
      </c>
      <c r="O334" t="str">
        <f>IF(Table1[[#This Row],[CurrentStock]]&lt;Table1[[#This Row],[ReorderLevel]],"Reorder","Okay")</f>
        <v>Okay</v>
      </c>
    </row>
    <row r="335" spans="1:15" x14ac:dyDescent="0.3">
      <c r="A335">
        <v>69500</v>
      </c>
      <c r="B335" t="s">
        <v>10</v>
      </c>
      <c r="C335" t="s">
        <v>27</v>
      </c>
      <c r="D335">
        <v>368</v>
      </c>
      <c r="E335">
        <v>80</v>
      </c>
      <c r="F335">
        <v>147.76</v>
      </c>
      <c r="G335" t="s">
        <v>34</v>
      </c>
      <c r="H335" s="1">
        <v>45417</v>
      </c>
      <c r="I335" s="1">
        <v>45438</v>
      </c>
      <c r="J335" t="s">
        <v>37</v>
      </c>
      <c r="K335" t="b">
        <f>Table1[[#This Row],[CurrentStock]]&lt;Table1[[#This Row],[ReorderLevel]]</f>
        <v>0</v>
      </c>
      <c r="L335" s="9">
        <f>Table1[[#This Row],[CurrentStock]]*Table1[[#This Row],[UnitPrice]]</f>
        <v>54375.679999999993</v>
      </c>
      <c r="M335" t="str">
        <f>IF(Table1[[#This Row],[ReorderLevel]]-Table1[[#This Row],[CurrentStock]]&gt;0,Table1[[#This Row],[ReorderLevel]]-Table1[[#This Row],[CurrentStock]],"")</f>
        <v/>
      </c>
      <c r="N335" t="str">
        <f>IF(Table1[[#This Row],[CurrentStock]]&gt;Table1[[#This Row],[ReorderLevel]]*3,"Over Stock","Okay")</f>
        <v>Over Stock</v>
      </c>
      <c r="O335" t="str">
        <f>IF(Table1[[#This Row],[CurrentStock]]&lt;Table1[[#This Row],[ReorderLevel]],"Reorder","Okay")</f>
        <v>Okay</v>
      </c>
    </row>
    <row r="336" spans="1:15" x14ac:dyDescent="0.3">
      <c r="A336">
        <v>60098</v>
      </c>
      <c r="B336" t="s">
        <v>26</v>
      </c>
      <c r="C336" t="s">
        <v>30</v>
      </c>
      <c r="D336">
        <v>304</v>
      </c>
      <c r="E336">
        <v>80</v>
      </c>
      <c r="F336">
        <v>273.14</v>
      </c>
      <c r="G336" t="s">
        <v>32</v>
      </c>
      <c r="H336" s="1">
        <v>45633</v>
      </c>
      <c r="I336" s="1">
        <v>45660</v>
      </c>
      <c r="J336" t="s">
        <v>39</v>
      </c>
      <c r="K336" t="b">
        <f>Table1[[#This Row],[CurrentStock]]&lt;Table1[[#This Row],[ReorderLevel]]</f>
        <v>0</v>
      </c>
      <c r="L336" s="9">
        <f>Table1[[#This Row],[CurrentStock]]*Table1[[#This Row],[UnitPrice]]</f>
        <v>83034.559999999998</v>
      </c>
      <c r="M336" t="str">
        <f>IF(Table1[[#This Row],[ReorderLevel]]-Table1[[#This Row],[CurrentStock]]&gt;0,Table1[[#This Row],[ReorderLevel]]-Table1[[#This Row],[CurrentStock]],"")</f>
        <v/>
      </c>
      <c r="N336" t="str">
        <f>IF(Table1[[#This Row],[CurrentStock]]&gt;Table1[[#This Row],[ReorderLevel]]*3,"Over Stock","Okay")</f>
        <v>Over Stock</v>
      </c>
      <c r="O336" t="str">
        <f>IF(Table1[[#This Row],[CurrentStock]]&lt;Table1[[#This Row],[ReorderLevel]],"Reorder","Okay")</f>
        <v>Okay</v>
      </c>
    </row>
    <row r="337" spans="1:15" x14ac:dyDescent="0.3">
      <c r="A337">
        <v>10358</v>
      </c>
      <c r="B337" t="s">
        <v>24</v>
      </c>
      <c r="C337" t="s">
        <v>31</v>
      </c>
      <c r="D337">
        <v>50</v>
      </c>
      <c r="E337">
        <v>30</v>
      </c>
      <c r="F337">
        <v>33.54</v>
      </c>
      <c r="G337" t="s">
        <v>34</v>
      </c>
      <c r="H337" s="1">
        <v>45312</v>
      </c>
      <c r="I337" s="1">
        <v>45327</v>
      </c>
      <c r="J337" t="s">
        <v>38</v>
      </c>
      <c r="K337" t="b">
        <f>Table1[[#This Row],[CurrentStock]]&lt;Table1[[#This Row],[ReorderLevel]]</f>
        <v>0</v>
      </c>
      <c r="L337" s="9">
        <f>Table1[[#This Row],[CurrentStock]]*Table1[[#This Row],[UnitPrice]]</f>
        <v>1677</v>
      </c>
      <c r="M337" t="str">
        <f>IF(Table1[[#This Row],[ReorderLevel]]-Table1[[#This Row],[CurrentStock]]&gt;0,Table1[[#This Row],[ReorderLevel]]-Table1[[#This Row],[CurrentStock]],"")</f>
        <v/>
      </c>
      <c r="N337" t="str">
        <f>IF(Table1[[#This Row],[CurrentStock]]&gt;Table1[[#This Row],[ReorderLevel]]*3,"Over Stock","Okay")</f>
        <v>Okay</v>
      </c>
      <c r="O337" t="str">
        <f>IF(Table1[[#This Row],[CurrentStock]]&lt;Table1[[#This Row],[ReorderLevel]],"Reorder","Okay")</f>
        <v>Okay</v>
      </c>
    </row>
    <row r="338" spans="1:15" x14ac:dyDescent="0.3">
      <c r="A338">
        <v>36762</v>
      </c>
      <c r="B338" t="s">
        <v>19</v>
      </c>
      <c r="C338" t="s">
        <v>28</v>
      </c>
      <c r="D338">
        <v>279</v>
      </c>
      <c r="E338">
        <v>80</v>
      </c>
      <c r="F338">
        <v>224.8</v>
      </c>
      <c r="G338" t="s">
        <v>34</v>
      </c>
      <c r="H338" s="1">
        <v>45402</v>
      </c>
      <c r="I338" s="1">
        <v>45440</v>
      </c>
      <c r="J338" t="s">
        <v>38</v>
      </c>
      <c r="K338" t="b">
        <f>Table1[[#This Row],[CurrentStock]]&lt;Table1[[#This Row],[ReorderLevel]]</f>
        <v>0</v>
      </c>
      <c r="L338" s="9">
        <f>Table1[[#This Row],[CurrentStock]]*Table1[[#This Row],[UnitPrice]]</f>
        <v>62719.200000000004</v>
      </c>
      <c r="M338" t="str">
        <f>IF(Table1[[#This Row],[ReorderLevel]]-Table1[[#This Row],[CurrentStock]]&gt;0,Table1[[#This Row],[ReorderLevel]]-Table1[[#This Row],[CurrentStock]],"")</f>
        <v/>
      </c>
      <c r="N338" t="str">
        <f>IF(Table1[[#This Row],[CurrentStock]]&gt;Table1[[#This Row],[ReorderLevel]]*3,"Over Stock","Okay")</f>
        <v>Over Stock</v>
      </c>
      <c r="O338" t="str">
        <f>IF(Table1[[#This Row],[CurrentStock]]&lt;Table1[[#This Row],[ReorderLevel]],"Reorder","Okay")</f>
        <v>Okay</v>
      </c>
    </row>
    <row r="339" spans="1:15" x14ac:dyDescent="0.3">
      <c r="A339">
        <v>94754</v>
      </c>
      <c r="B339" t="s">
        <v>26</v>
      </c>
      <c r="C339" t="s">
        <v>30</v>
      </c>
      <c r="D339">
        <v>98</v>
      </c>
      <c r="E339">
        <v>50</v>
      </c>
      <c r="F339">
        <v>153.74</v>
      </c>
      <c r="G339" t="s">
        <v>36</v>
      </c>
      <c r="H339" s="1">
        <v>45505</v>
      </c>
      <c r="I339" s="1">
        <v>45533</v>
      </c>
      <c r="J339" t="s">
        <v>38</v>
      </c>
      <c r="K339" t="b">
        <f>Table1[[#This Row],[CurrentStock]]&lt;Table1[[#This Row],[ReorderLevel]]</f>
        <v>0</v>
      </c>
      <c r="L339" s="9">
        <f>Table1[[#This Row],[CurrentStock]]*Table1[[#This Row],[UnitPrice]]</f>
        <v>15066.52</v>
      </c>
      <c r="M339" t="str">
        <f>IF(Table1[[#This Row],[ReorderLevel]]-Table1[[#This Row],[CurrentStock]]&gt;0,Table1[[#This Row],[ReorderLevel]]-Table1[[#This Row],[CurrentStock]],"")</f>
        <v/>
      </c>
      <c r="N339" t="str">
        <f>IF(Table1[[#This Row],[CurrentStock]]&gt;Table1[[#This Row],[ReorderLevel]]*3,"Over Stock","Okay")</f>
        <v>Okay</v>
      </c>
      <c r="O339" t="str">
        <f>IF(Table1[[#This Row],[CurrentStock]]&lt;Table1[[#This Row],[ReorderLevel]],"Reorder","Okay")</f>
        <v>Okay</v>
      </c>
    </row>
    <row r="340" spans="1:15" x14ac:dyDescent="0.3">
      <c r="A340">
        <v>85774</v>
      </c>
      <c r="B340" t="s">
        <v>17</v>
      </c>
      <c r="C340" t="s">
        <v>30</v>
      </c>
      <c r="D340">
        <v>283</v>
      </c>
      <c r="E340">
        <v>80</v>
      </c>
      <c r="F340">
        <v>240.4</v>
      </c>
      <c r="G340" t="s">
        <v>32</v>
      </c>
      <c r="H340" s="1">
        <v>45455</v>
      </c>
      <c r="I340" s="1">
        <v>45478</v>
      </c>
      <c r="J340" t="s">
        <v>37</v>
      </c>
      <c r="K340" t="b">
        <f>Table1[[#This Row],[CurrentStock]]&lt;Table1[[#This Row],[ReorderLevel]]</f>
        <v>0</v>
      </c>
      <c r="L340" s="9">
        <f>Table1[[#This Row],[CurrentStock]]*Table1[[#This Row],[UnitPrice]]</f>
        <v>68033.2</v>
      </c>
      <c r="M340" t="str">
        <f>IF(Table1[[#This Row],[ReorderLevel]]-Table1[[#This Row],[CurrentStock]]&gt;0,Table1[[#This Row],[ReorderLevel]]-Table1[[#This Row],[CurrentStock]],"")</f>
        <v/>
      </c>
      <c r="N340" t="str">
        <f>IF(Table1[[#This Row],[CurrentStock]]&gt;Table1[[#This Row],[ReorderLevel]]*3,"Over Stock","Okay")</f>
        <v>Over Stock</v>
      </c>
      <c r="O340" t="str">
        <f>IF(Table1[[#This Row],[CurrentStock]]&lt;Table1[[#This Row],[ReorderLevel]],"Reorder","Okay")</f>
        <v>Okay</v>
      </c>
    </row>
    <row r="341" spans="1:15" x14ac:dyDescent="0.3">
      <c r="A341">
        <v>54789</v>
      </c>
      <c r="B341" t="s">
        <v>25</v>
      </c>
      <c r="C341" t="s">
        <v>31</v>
      </c>
      <c r="D341">
        <v>309</v>
      </c>
      <c r="E341">
        <v>80</v>
      </c>
      <c r="F341">
        <v>231.94</v>
      </c>
      <c r="G341" t="s">
        <v>32</v>
      </c>
      <c r="H341" s="1">
        <v>45537</v>
      </c>
      <c r="I341" s="1">
        <v>45562</v>
      </c>
      <c r="J341" t="s">
        <v>38</v>
      </c>
      <c r="K341" t="b">
        <f>Table1[[#This Row],[CurrentStock]]&lt;Table1[[#This Row],[ReorderLevel]]</f>
        <v>0</v>
      </c>
      <c r="L341" s="9">
        <f>Table1[[#This Row],[CurrentStock]]*Table1[[#This Row],[UnitPrice]]</f>
        <v>71669.460000000006</v>
      </c>
      <c r="M341" t="str">
        <f>IF(Table1[[#This Row],[ReorderLevel]]-Table1[[#This Row],[CurrentStock]]&gt;0,Table1[[#This Row],[ReorderLevel]]-Table1[[#This Row],[CurrentStock]],"")</f>
        <v/>
      </c>
      <c r="N341" t="str">
        <f>IF(Table1[[#This Row],[CurrentStock]]&gt;Table1[[#This Row],[ReorderLevel]]*3,"Over Stock","Okay")</f>
        <v>Over Stock</v>
      </c>
      <c r="O341" t="str">
        <f>IF(Table1[[#This Row],[CurrentStock]]&lt;Table1[[#This Row],[ReorderLevel]],"Reorder","Okay")</f>
        <v>Okay</v>
      </c>
    </row>
    <row r="342" spans="1:15" x14ac:dyDescent="0.3">
      <c r="A342">
        <v>76418</v>
      </c>
      <c r="B342" t="s">
        <v>10</v>
      </c>
      <c r="C342" t="s">
        <v>27</v>
      </c>
      <c r="D342">
        <v>464</v>
      </c>
      <c r="E342">
        <v>50</v>
      </c>
      <c r="F342">
        <v>236.06</v>
      </c>
      <c r="G342" t="s">
        <v>32</v>
      </c>
      <c r="H342" s="1">
        <v>45303</v>
      </c>
      <c r="I342" s="1">
        <v>45313</v>
      </c>
      <c r="J342" t="s">
        <v>39</v>
      </c>
      <c r="K342" t="b">
        <f>Table1[[#This Row],[CurrentStock]]&lt;Table1[[#This Row],[ReorderLevel]]</f>
        <v>0</v>
      </c>
      <c r="L342" s="9">
        <f>Table1[[#This Row],[CurrentStock]]*Table1[[#This Row],[UnitPrice]]</f>
        <v>109531.84</v>
      </c>
      <c r="M342" t="str">
        <f>IF(Table1[[#This Row],[ReorderLevel]]-Table1[[#This Row],[CurrentStock]]&gt;0,Table1[[#This Row],[ReorderLevel]]-Table1[[#This Row],[CurrentStock]],"")</f>
        <v/>
      </c>
      <c r="N342" t="str">
        <f>IF(Table1[[#This Row],[CurrentStock]]&gt;Table1[[#This Row],[ReorderLevel]]*3,"Over Stock","Okay")</f>
        <v>Over Stock</v>
      </c>
      <c r="O342" t="str">
        <f>IF(Table1[[#This Row],[CurrentStock]]&lt;Table1[[#This Row],[ReorderLevel]],"Reorder","Okay")</f>
        <v>Okay</v>
      </c>
    </row>
    <row r="343" spans="1:15" x14ac:dyDescent="0.3">
      <c r="A343">
        <v>38064</v>
      </c>
      <c r="B343" t="s">
        <v>11</v>
      </c>
      <c r="C343" t="s">
        <v>27</v>
      </c>
      <c r="D343">
        <v>307</v>
      </c>
      <c r="E343">
        <v>100</v>
      </c>
      <c r="F343">
        <v>296.42</v>
      </c>
      <c r="G343" t="s">
        <v>32</v>
      </c>
      <c r="H343" s="1">
        <v>45541</v>
      </c>
      <c r="I343" s="1">
        <v>45556</v>
      </c>
      <c r="J343" t="s">
        <v>38</v>
      </c>
      <c r="K343" t="b">
        <f>Table1[[#This Row],[CurrentStock]]&lt;Table1[[#This Row],[ReorderLevel]]</f>
        <v>0</v>
      </c>
      <c r="L343" s="9">
        <f>Table1[[#This Row],[CurrentStock]]*Table1[[#This Row],[UnitPrice]]</f>
        <v>91000.94</v>
      </c>
      <c r="M343" t="str">
        <f>IF(Table1[[#This Row],[ReorderLevel]]-Table1[[#This Row],[CurrentStock]]&gt;0,Table1[[#This Row],[ReorderLevel]]-Table1[[#This Row],[CurrentStock]],"")</f>
        <v/>
      </c>
      <c r="N343" t="str">
        <f>IF(Table1[[#This Row],[CurrentStock]]&gt;Table1[[#This Row],[ReorderLevel]]*3,"Over Stock","Okay")</f>
        <v>Over Stock</v>
      </c>
      <c r="O343" t="str">
        <f>IF(Table1[[#This Row],[CurrentStock]]&lt;Table1[[#This Row],[ReorderLevel]],"Reorder","Okay")</f>
        <v>Okay</v>
      </c>
    </row>
    <row r="344" spans="1:15" x14ac:dyDescent="0.3">
      <c r="A344">
        <v>31083</v>
      </c>
      <c r="B344" t="s">
        <v>19</v>
      </c>
      <c r="C344" t="s">
        <v>28</v>
      </c>
      <c r="D344">
        <v>241</v>
      </c>
      <c r="E344">
        <v>20</v>
      </c>
      <c r="F344">
        <v>433.46</v>
      </c>
      <c r="G344" t="s">
        <v>32</v>
      </c>
      <c r="H344" s="1">
        <v>45510</v>
      </c>
      <c r="I344" s="1">
        <v>45532</v>
      </c>
      <c r="J344" t="s">
        <v>38</v>
      </c>
      <c r="K344" t="b">
        <f>Table1[[#This Row],[CurrentStock]]&lt;Table1[[#This Row],[ReorderLevel]]</f>
        <v>0</v>
      </c>
      <c r="L344" s="9">
        <f>Table1[[#This Row],[CurrentStock]]*Table1[[#This Row],[UnitPrice]]</f>
        <v>104463.86</v>
      </c>
      <c r="M344" t="str">
        <f>IF(Table1[[#This Row],[ReorderLevel]]-Table1[[#This Row],[CurrentStock]]&gt;0,Table1[[#This Row],[ReorderLevel]]-Table1[[#This Row],[CurrentStock]],"")</f>
        <v/>
      </c>
      <c r="N344" t="str">
        <f>IF(Table1[[#This Row],[CurrentStock]]&gt;Table1[[#This Row],[ReorderLevel]]*3,"Over Stock","Okay")</f>
        <v>Over Stock</v>
      </c>
      <c r="O344" t="str">
        <f>IF(Table1[[#This Row],[CurrentStock]]&lt;Table1[[#This Row],[ReorderLevel]],"Reorder","Okay")</f>
        <v>Okay</v>
      </c>
    </row>
    <row r="345" spans="1:15" x14ac:dyDescent="0.3">
      <c r="A345">
        <v>92035</v>
      </c>
      <c r="B345" t="s">
        <v>22</v>
      </c>
      <c r="C345" t="s">
        <v>27</v>
      </c>
      <c r="D345">
        <v>364</v>
      </c>
      <c r="E345">
        <v>40</v>
      </c>
      <c r="F345">
        <v>104.23</v>
      </c>
      <c r="G345" t="s">
        <v>36</v>
      </c>
      <c r="H345" s="1">
        <v>45620</v>
      </c>
      <c r="I345" s="1">
        <v>45632</v>
      </c>
      <c r="J345" t="s">
        <v>37</v>
      </c>
      <c r="K345" t="b">
        <f>Table1[[#This Row],[CurrentStock]]&lt;Table1[[#This Row],[ReorderLevel]]</f>
        <v>0</v>
      </c>
      <c r="L345" s="9">
        <f>Table1[[#This Row],[CurrentStock]]*Table1[[#This Row],[UnitPrice]]</f>
        <v>37939.72</v>
      </c>
      <c r="M345" t="str">
        <f>IF(Table1[[#This Row],[ReorderLevel]]-Table1[[#This Row],[CurrentStock]]&gt;0,Table1[[#This Row],[ReorderLevel]]-Table1[[#This Row],[CurrentStock]],"")</f>
        <v/>
      </c>
      <c r="N345" t="str">
        <f>IF(Table1[[#This Row],[CurrentStock]]&gt;Table1[[#This Row],[ReorderLevel]]*3,"Over Stock","Okay")</f>
        <v>Over Stock</v>
      </c>
      <c r="O345" t="str">
        <f>IF(Table1[[#This Row],[CurrentStock]]&lt;Table1[[#This Row],[ReorderLevel]],"Reorder","Okay")</f>
        <v>Okay</v>
      </c>
    </row>
    <row r="346" spans="1:15" x14ac:dyDescent="0.3">
      <c r="A346">
        <v>35518</v>
      </c>
      <c r="B346" t="s">
        <v>18</v>
      </c>
      <c r="C346" t="s">
        <v>28</v>
      </c>
      <c r="D346">
        <v>224</v>
      </c>
      <c r="E346">
        <v>40</v>
      </c>
      <c r="F346">
        <v>159.38999999999999</v>
      </c>
      <c r="G346" t="s">
        <v>36</v>
      </c>
      <c r="H346" s="1">
        <v>45614</v>
      </c>
      <c r="I346" s="1">
        <v>45623</v>
      </c>
      <c r="J346" t="s">
        <v>38</v>
      </c>
      <c r="K346" t="b">
        <f>Table1[[#This Row],[CurrentStock]]&lt;Table1[[#This Row],[ReorderLevel]]</f>
        <v>0</v>
      </c>
      <c r="L346" s="9">
        <f>Table1[[#This Row],[CurrentStock]]*Table1[[#This Row],[UnitPrice]]</f>
        <v>35703.360000000001</v>
      </c>
      <c r="M346" t="str">
        <f>IF(Table1[[#This Row],[ReorderLevel]]-Table1[[#This Row],[CurrentStock]]&gt;0,Table1[[#This Row],[ReorderLevel]]-Table1[[#This Row],[CurrentStock]],"")</f>
        <v/>
      </c>
      <c r="N346" t="str">
        <f>IF(Table1[[#This Row],[CurrentStock]]&gt;Table1[[#This Row],[ReorderLevel]]*3,"Over Stock","Okay")</f>
        <v>Over Stock</v>
      </c>
      <c r="O346" t="str">
        <f>IF(Table1[[#This Row],[CurrentStock]]&lt;Table1[[#This Row],[ReorderLevel]],"Reorder","Okay")</f>
        <v>Okay</v>
      </c>
    </row>
    <row r="347" spans="1:15" x14ac:dyDescent="0.3">
      <c r="A347">
        <v>32313</v>
      </c>
      <c r="B347" t="s">
        <v>21</v>
      </c>
      <c r="C347" t="s">
        <v>31</v>
      </c>
      <c r="D347">
        <v>348</v>
      </c>
      <c r="E347">
        <v>100</v>
      </c>
      <c r="F347">
        <v>362.74</v>
      </c>
      <c r="G347" t="s">
        <v>36</v>
      </c>
      <c r="H347" s="1">
        <v>45345</v>
      </c>
      <c r="I347" s="1">
        <v>45359</v>
      </c>
      <c r="J347" t="s">
        <v>39</v>
      </c>
      <c r="K347" t="b">
        <f>Table1[[#This Row],[CurrentStock]]&lt;Table1[[#This Row],[ReorderLevel]]</f>
        <v>0</v>
      </c>
      <c r="L347" s="9">
        <f>Table1[[#This Row],[CurrentStock]]*Table1[[#This Row],[UnitPrice]]</f>
        <v>126233.52</v>
      </c>
      <c r="M347" t="str">
        <f>IF(Table1[[#This Row],[ReorderLevel]]-Table1[[#This Row],[CurrentStock]]&gt;0,Table1[[#This Row],[ReorderLevel]]-Table1[[#This Row],[CurrentStock]],"")</f>
        <v/>
      </c>
      <c r="N347" t="str">
        <f>IF(Table1[[#This Row],[CurrentStock]]&gt;Table1[[#This Row],[ReorderLevel]]*3,"Over Stock","Okay")</f>
        <v>Over Stock</v>
      </c>
      <c r="O347" t="str">
        <f>IF(Table1[[#This Row],[CurrentStock]]&lt;Table1[[#This Row],[ReorderLevel]],"Reorder","Okay")</f>
        <v>Okay</v>
      </c>
    </row>
    <row r="348" spans="1:15" x14ac:dyDescent="0.3">
      <c r="A348">
        <v>87842</v>
      </c>
      <c r="B348" t="s">
        <v>19</v>
      </c>
      <c r="C348" t="s">
        <v>28</v>
      </c>
      <c r="D348">
        <v>183</v>
      </c>
      <c r="E348">
        <v>100</v>
      </c>
      <c r="F348">
        <v>478.94</v>
      </c>
      <c r="G348" t="s">
        <v>33</v>
      </c>
      <c r="H348" s="1">
        <v>45594</v>
      </c>
      <c r="I348" s="1">
        <v>45633</v>
      </c>
      <c r="J348" t="s">
        <v>39</v>
      </c>
      <c r="K348" t="b">
        <f>Table1[[#This Row],[CurrentStock]]&lt;Table1[[#This Row],[ReorderLevel]]</f>
        <v>0</v>
      </c>
      <c r="L348" s="9">
        <f>Table1[[#This Row],[CurrentStock]]*Table1[[#This Row],[UnitPrice]]</f>
        <v>87646.02</v>
      </c>
      <c r="M348" t="str">
        <f>IF(Table1[[#This Row],[ReorderLevel]]-Table1[[#This Row],[CurrentStock]]&gt;0,Table1[[#This Row],[ReorderLevel]]-Table1[[#This Row],[CurrentStock]],"")</f>
        <v/>
      </c>
      <c r="N348" t="str">
        <f>IF(Table1[[#This Row],[CurrentStock]]&gt;Table1[[#This Row],[ReorderLevel]]*3,"Over Stock","Okay")</f>
        <v>Okay</v>
      </c>
      <c r="O348" t="str">
        <f>IF(Table1[[#This Row],[CurrentStock]]&lt;Table1[[#This Row],[ReorderLevel]],"Reorder","Okay")</f>
        <v>Okay</v>
      </c>
    </row>
    <row r="349" spans="1:15" x14ac:dyDescent="0.3">
      <c r="A349">
        <v>19764</v>
      </c>
      <c r="B349" t="s">
        <v>19</v>
      </c>
      <c r="C349" t="s">
        <v>28</v>
      </c>
      <c r="D349">
        <v>29</v>
      </c>
      <c r="E349">
        <v>150</v>
      </c>
      <c r="F349">
        <v>26.86</v>
      </c>
      <c r="G349" t="s">
        <v>35</v>
      </c>
      <c r="H349" s="1">
        <v>45583</v>
      </c>
      <c r="I349" s="1">
        <v>45612</v>
      </c>
      <c r="J349" t="s">
        <v>38</v>
      </c>
      <c r="K349" t="b">
        <f>Table1[[#This Row],[CurrentStock]]&lt;Table1[[#This Row],[ReorderLevel]]</f>
        <v>1</v>
      </c>
      <c r="L349" s="9">
        <f>Table1[[#This Row],[CurrentStock]]*Table1[[#This Row],[UnitPrice]]</f>
        <v>778.93999999999994</v>
      </c>
      <c r="M349">
        <f>IF(Table1[[#This Row],[ReorderLevel]]-Table1[[#This Row],[CurrentStock]]&gt;0,Table1[[#This Row],[ReorderLevel]]-Table1[[#This Row],[CurrentStock]],"")</f>
        <v>121</v>
      </c>
      <c r="N349" t="str">
        <f>IF(Table1[[#This Row],[CurrentStock]]&gt;Table1[[#This Row],[ReorderLevel]]*3,"Over Stock","Okay")</f>
        <v>Okay</v>
      </c>
      <c r="O349" t="str">
        <f>IF(Table1[[#This Row],[CurrentStock]]&lt;Table1[[#This Row],[ReorderLevel]],"Reorder","Okay")</f>
        <v>Reorder</v>
      </c>
    </row>
    <row r="350" spans="1:15" x14ac:dyDescent="0.3">
      <c r="A350">
        <v>30131</v>
      </c>
      <c r="B350" t="s">
        <v>26</v>
      </c>
      <c r="C350" t="s">
        <v>30</v>
      </c>
      <c r="D350">
        <v>231</v>
      </c>
      <c r="E350">
        <v>80</v>
      </c>
      <c r="F350">
        <v>411.85</v>
      </c>
      <c r="G350" t="s">
        <v>32</v>
      </c>
      <c r="H350" s="1">
        <v>45492</v>
      </c>
      <c r="I350" s="1">
        <v>45497</v>
      </c>
      <c r="J350" t="s">
        <v>39</v>
      </c>
      <c r="K350" t="b">
        <f>Table1[[#This Row],[CurrentStock]]&lt;Table1[[#This Row],[ReorderLevel]]</f>
        <v>0</v>
      </c>
      <c r="L350" s="9">
        <f>Table1[[#This Row],[CurrentStock]]*Table1[[#This Row],[UnitPrice]]</f>
        <v>95137.35</v>
      </c>
      <c r="M350" t="str">
        <f>IF(Table1[[#This Row],[ReorderLevel]]-Table1[[#This Row],[CurrentStock]]&gt;0,Table1[[#This Row],[ReorderLevel]]-Table1[[#This Row],[CurrentStock]],"")</f>
        <v/>
      </c>
      <c r="N350" t="str">
        <f>IF(Table1[[#This Row],[CurrentStock]]&gt;Table1[[#This Row],[ReorderLevel]]*3,"Over Stock","Okay")</f>
        <v>Okay</v>
      </c>
      <c r="O350" t="str">
        <f>IF(Table1[[#This Row],[CurrentStock]]&lt;Table1[[#This Row],[ReorderLevel]],"Reorder","Okay")</f>
        <v>Okay</v>
      </c>
    </row>
    <row r="351" spans="1:15" x14ac:dyDescent="0.3">
      <c r="A351">
        <v>29810</v>
      </c>
      <c r="B351" t="s">
        <v>12</v>
      </c>
      <c r="C351" t="s">
        <v>28</v>
      </c>
      <c r="D351">
        <v>429</v>
      </c>
      <c r="E351">
        <v>100</v>
      </c>
      <c r="F351">
        <v>206.73</v>
      </c>
      <c r="G351" t="s">
        <v>32</v>
      </c>
      <c r="H351" s="1">
        <v>45649</v>
      </c>
      <c r="I351" s="1">
        <v>45664</v>
      </c>
      <c r="J351" t="s">
        <v>39</v>
      </c>
      <c r="K351" t="b">
        <f>Table1[[#This Row],[CurrentStock]]&lt;Table1[[#This Row],[ReorderLevel]]</f>
        <v>0</v>
      </c>
      <c r="L351" s="9">
        <f>Table1[[#This Row],[CurrentStock]]*Table1[[#This Row],[UnitPrice]]</f>
        <v>88687.17</v>
      </c>
      <c r="M351" t="str">
        <f>IF(Table1[[#This Row],[ReorderLevel]]-Table1[[#This Row],[CurrentStock]]&gt;0,Table1[[#This Row],[ReorderLevel]]-Table1[[#This Row],[CurrentStock]],"")</f>
        <v/>
      </c>
      <c r="N351" t="str">
        <f>IF(Table1[[#This Row],[CurrentStock]]&gt;Table1[[#This Row],[ReorderLevel]]*3,"Over Stock","Okay")</f>
        <v>Over Stock</v>
      </c>
      <c r="O351" t="str">
        <f>IF(Table1[[#This Row],[CurrentStock]]&lt;Table1[[#This Row],[ReorderLevel]],"Reorder","Okay")</f>
        <v>Okay</v>
      </c>
    </row>
    <row r="352" spans="1:15" x14ac:dyDescent="0.3">
      <c r="A352">
        <v>80721</v>
      </c>
      <c r="B352" t="s">
        <v>10</v>
      </c>
      <c r="C352" t="s">
        <v>27</v>
      </c>
      <c r="D352">
        <v>172</v>
      </c>
      <c r="E352">
        <v>30</v>
      </c>
      <c r="F352">
        <v>8.01</v>
      </c>
      <c r="G352" t="s">
        <v>35</v>
      </c>
      <c r="H352" s="1">
        <v>45374</v>
      </c>
      <c r="I352" s="1">
        <v>45394</v>
      </c>
      <c r="J352" t="s">
        <v>38</v>
      </c>
      <c r="K352" t="b">
        <f>Table1[[#This Row],[CurrentStock]]&lt;Table1[[#This Row],[ReorderLevel]]</f>
        <v>0</v>
      </c>
      <c r="L352" s="9">
        <f>Table1[[#This Row],[CurrentStock]]*Table1[[#This Row],[UnitPrice]]</f>
        <v>1377.72</v>
      </c>
      <c r="M352" t="str">
        <f>IF(Table1[[#This Row],[ReorderLevel]]-Table1[[#This Row],[CurrentStock]]&gt;0,Table1[[#This Row],[ReorderLevel]]-Table1[[#This Row],[CurrentStock]],"")</f>
        <v/>
      </c>
      <c r="N352" t="str">
        <f>IF(Table1[[#This Row],[CurrentStock]]&gt;Table1[[#This Row],[ReorderLevel]]*3,"Over Stock","Okay")</f>
        <v>Over Stock</v>
      </c>
      <c r="O352" t="str">
        <f>IF(Table1[[#This Row],[CurrentStock]]&lt;Table1[[#This Row],[ReorderLevel]],"Reorder","Okay")</f>
        <v>Okay</v>
      </c>
    </row>
    <row r="353" spans="1:15" x14ac:dyDescent="0.3">
      <c r="A353">
        <v>78487</v>
      </c>
      <c r="B353" t="s">
        <v>21</v>
      </c>
      <c r="C353" t="s">
        <v>31</v>
      </c>
      <c r="D353">
        <v>379</v>
      </c>
      <c r="E353">
        <v>100</v>
      </c>
      <c r="F353">
        <v>29.86</v>
      </c>
      <c r="G353" t="s">
        <v>32</v>
      </c>
      <c r="H353" s="1">
        <v>45304</v>
      </c>
      <c r="I353" s="1">
        <v>45339</v>
      </c>
      <c r="J353" t="s">
        <v>39</v>
      </c>
      <c r="K353" t="b">
        <f>Table1[[#This Row],[CurrentStock]]&lt;Table1[[#This Row],[ReorderLevel]]</f>
        <v>0</v>
      </c>
      <c r="L353" s="9">
        <f>Table1[[#This Row],[CurrentStock]]*Table1[[#This Row],[UnitPrice]]</f>
        <v>11316.94</v>
      </c>
      <c r="M353" t="str">
        <f>IF(Table1[[#This Row],[ReorderLevel]]-Table1[[#This Row],[CurrentStock]]&gt;0,Table1[[#This Row],[ReorderLevel]]-Table1[[#This Row],[CurrentStock]],"")</f>
        <v/>
      </c>
      <c r="N353" t="str">
        <f>IF(Table1[[#This Row],[CurrentStock]]&gt;Table1[[#This Row],[ReorderLevel]]*3,"Over Stock","Okay")</f>
        <v>Over Stock</v>
      </c>
      <c r="O353" t="str">
        <f>IF(Table1[[#This Row],[CurrentStock]]&lt;Table1[[#This Row],[ReorderLevel]],"Reorder","Okay")</f>
        <v>Okay</v>
      </c>
    </row>
    <row r="354" spans="1:15" x14ac:dyDescent="0.3">
      <c r="A354">
        <v>43204</v>
      </c>
      <c r="B354" t="s">
        <v>16</v>
      </c>
      <c r="C354" t="s">
        <v>30</v>
      </c>
      <c r="D354">
        <v>52</v>
      </c>
      <c r="E354">
        <v>150</v>
      </c>
      <c r="F354">
        <v>116.88</v>
      </c>
      <c r="G354" t="s">
        <v>36</v>
      </c>
      <c r="H354" s="1">
        <v>45524</v>
      </c>
      <c r="I354" s="1">
        <v>45558</v>
      </c>
      <c r="J354" t="s">
        <v>37</v>
      </c>
      <c r="K354" t="b">
        <f>Table1[[#This Row],[CurrentStock]]&lt;Table1[[#This Row],[ReorderLevel]]</f>
        <v>1</v>
      </c>
      <c r="L354" s="9">
        <f>Table1[[#This Row],[CurrentStock]]*Table1[[#This Row],[UnitPrice]]</f>
        <v>6077.76</v>
      </c>
      <c r="M354">
        <f>IF(Table1[[#This Row],[ReorderLevel]]-Table1[[#This Row],[CurrentStock]]&gt;0,Table1[[#This Row],[ReorderLevel]]-Table1[[#This Row],[CurrentStock]],"")</f>
        <v>98</v>
      </c>
      <c r="N354" t="str">
        <f>IF(Table1[[#This Row],[CurrentStock]]&gt;Table1[[#This Row],[ReorderLevel]]*3,"Over Stock","Okay")</f>
        <v>Okay</v>
      </c>
      <c r="O354" t="str">
        <f>IF(Table1[[#This Row],[CurrentStock]]&lt;Table1[[#This Row],[ReorderLevel]],"Reorder","Okay")</f>
        <v>Reorder</v>
      </c>
    </row>
    <row r="355" spans="1:15" x14ac:dyDescent="0.3">
      <c r="A355">
        <v>26566</v>
      </c>
      <c r="B355" t="s">
        <v>20</v>
      </c>
      <c r="C355" t="s">
        <v>29</v>
      </c>
      <c r="D355">
        <v>274</v>
      </c>
      <c r="E355">
        <v>20</v>
      </c>
      <c r="F355">
        <v>381.01</v>
      </c>
      <c r="G355" t="s">
        <v>33</v>
      </c>
      <c r="H355" s="1">
        <v>45322</v>
      </c>
      <c r="I355" s="1">
        <v>45343</v>
      </c>
      <c r="J355" t="s">
        <v>39</v>
      </c>
      <c r="K355" t="b">
        <f>Table1[[#This Row],[CurrentStock]]&lt;Table1[[#This Row],[ReorderLevel]]</f>
        <v>0</v>
      </c>
      <c r="L355" s="9">
        <f>Table1[[#This Row],[CurrentStock]]*Table1[[#This Row],[UnitPrice]]</f>
        <v>104396.73999999999</v>
      </c>
      <c r="M355" t="str">
        <f>IF(Table1[[#This Row],[ReorderLevel]]-Table1[[#This Row],[CurrentStock]]&gt;0,Table1[[#This Row],[ReorderLevel]]-Table1[[#This Row],[CurrentStock]],"")</f>
        <v/>
      </c>
      <c r="N355" t="str">
        <f>IF(Table1[[#This Row],[CurrentStock]]&gt;Table1[[#This Row],[ReorderLevel]]*3,"Over Stock","Okay")</f>
        <v>Over Stock</v>
      </c>
      <c r="O355" t="str">
        <f>IF(Table1[[#This Row],[CurrentStock]]&lt;Table1[[#This Row],[ReorderLevel]],"Reorder","Okay")</f>
        <v>Okay</v>
      </c>
    </row>
    <row r="356" spans="1:15" x14ac:dyDescent="0.3">
      <c r="A356">
        <v>26237</v>
      </c>
      <c r="B356" t="s">
        <v>11</v>
      </c>
      <c r="C356" t="s">
        <v>27</v>
      </c>
      <c r="D356">
        <v>53</v>
      </c>
      <c r="E356">
        <v>50</v>
      </c>
      <c r="F356">
        <v>320.36</v>
      </c>
      <c r="G356" t="s">
        <v>34</v>
      </c>
      <c r="H356" s="1">
        <v>45305</v>
      </c>
      <c r="I356" s="1">
        <v>45337</v>
      </c>
      <c r="J356" t="s">
        <v>37</v>
      </c>
      <c r="K356" t="b">
        <f>Table1[[#This Row],[CurrentStock]]&lt;Table1[[#This Row],[ReorderLevel]]</f>
        <v>0</v>
      </c>
      <c r="L356" s="9">
        <f>Table1[[#This Row],[CurrentStock]]*Table1[[#This Row],[UnitPrice]]</f>
        <v>16979.080000000002</v>
      </c>
      <c r="M356" t="str">
        <f>IF(Table1[[#This Row],[ReorderLevel]]-Table1[[#This Row],[CurrentStock]]&gt;0,Table1[[#This Row],[ReorderLevel]]-Table1[[#This Row],[CurrentStock]],"")</f>
        <v/>
      </c>
      <c r="N356" t="str">
        <f>IF(Table1[[#This Row],[CurrentStock]]&gt;Table1[[#This Row],[ReorderLevel]]*3,"Over Stock","Okay")</f>
        <v>Okay</v>
      </c>
      <c r="O356" t="str">
        <f>IF(Table1[[#This Row],[CurrentStock]]&lt;Table1[[#This Row],[ReorderLevel]],"Reorder","Okay")</f>
        <v>Okay</v>
      </c>
    </row>
    <row r="357" spans="1:15" x14ac:dyDescent="0.3">
      <c r="A357">
        <v>22237</v>
      </c>
      <c r="B357" t="s">
        <v>10</v>
      </c>
      <c r="C357" t="s">
        <v>27</v>
      </c>
      <c r="D357">
        <v>58</v>
      </c>
      <c r="E357">
        <v>150</v>
      </c>
      <c r="F357">
        <v>361.72</v>
      </c>
      <c r="G357" t="s">
        <v>33</v>
      </c>
      <c r="H357" s="1">
        <v>45303</v>
      </c>
      <c r="I357" s="1">
        <v>45338</v>
      </c>
      <c r="J357" t="s">
        <v>39</v>
      </c>
      <c r="K357" t="b">
        <f>Table1[[#This Row],[CurrentStock]]&lt;Table1[[#This Row],[ReorderLevel]]</f>
        <v>1</v>
      </c>
      <c r="L357" s="9">
        <f>Table1[[#This Row],[CurrentStock]]*Table1[[#This Row],[UnitPrice]]</f>
        <v>20979.760000000002</v>
      </c>
      <c r="M357">
        <f>IF(Table1[[#This Row],[ReorderLevel]]-Table1[[#This Row],[CurrentStock]]&gt;0,Table1[[#This Row],[ReorderLevel]]-Table1[[#This Row],[CurrentStock]],"")</f>
        <v>92</v>
      </c>
      <c r="N357" t="str">
        <f>IF(Table1[[#This Row],[CurrentStock]]&gt;Table1[[#This Row],[ReorderLevel]]*3,"Over Stock","Okay")</f>
        <v>Okay</v>
      </c>
      <c r="O357" t="str">
        <f>IF(Table1[[#This Row],[CurrentStock]]&lt;Table1[[#This Row],[ReorderLevel]],"Reorder","Okay")</f>
        <v>Reorder</v>
      </c>
    </row>
    <row r="358" spans="1:15" x14ac:dyDescent="0.3">
      <c r="A358">
        <v>68608</v>
      </c>
      <c r="B358" t="s">
        <v>25</v>
      </c>
      <c r="C358" t="s">
        <v>31</v>
      </c>
      <c r="D358">
        <v>74</v>
      </c>
      <c r="E358">
        <v>20</v>
      </c>
      <c r="F358">
        <v>375.58</v>
      </c>
      <c r="G358" t="s">
        <v>33</v>
      </c>
      <c r="H358" s="1">
        <v>45370</v>
      </c>
      <c r="I358" s="1">
        <v>45405</v>
      </c>
      <c r="J358" t="s">
        <v>37</v>
      </c>
      <c r="K358" t="b">
        <f>Table1[[#This Row],[CurrentStock]]&lt;Table1[[#This Row],[ReorderLevel]]</f>
        <v>0</v>
      </c>
      <c r="L358" s="9">
        <f>Table1[[#This Row],[CurrentStock]]*Table1[[#This Row],[UnitPrice]]</f>
        <v>27792.92</v>
      </c>
      <c r="M358" t="str">
        <f>IF(Table1[[#This Row],[ReorderLevel]]-Table1[[#This Row],[CurrentStock]]&gt;0,Table1[[#This Row],[ReorderLevel]]-Table1[[#This Row],[CurrentStock]],"")</f>
        <v/>
      </c>
      <c r="N358" t="str">
        <f>IF(Table1[[#This Row],[CurrentStock]]&gt;Table1[[#This Row],[ReorderLevel]]*3,"Over Stock","Okay")</f>
        <v>Over Stock</v>
      </c>
      <c r="O358" t="str">
        <f>IF(Table1[[#This Row],[CurrentStock]]&lt;Table1[[#This Row],[ReorderLevel]],"Reorder","Okay")</f>
        <v>Okay</v>
      </c>
    </row>
    <row r="359" spans="1:15" x14ac:dyDescent="0.3">
      <c r="A359">
        <v>68161</v>
      </c>
      <c r="B359" t="s">
        <v>21</v>
      </c>
      <c r="C359" t="s">
        <v>31</v>
      </c>
      <c r="D359">
        <v>95</v>
      </c>
      <c r="E359">
        <v>100</v>
      </c>
      <c r="F359">
        <v>354.95</v>
      </c>
      <c r="G359" t="s">
        <v>35</v>
      </c>
      <c r="H359" s="1">
        <v>45634</v>
      </c>
      <c r="I359" s="1">
        <v>45662</v>
      </c>
      <c r="J359" t="s">
        <v>39</v>
      </c>
      <c r="K359" t="b">
        <f>Table1[[#This Row],[CurrentStock]]&lt;Table1[[#This Row],[ReorderLevel]]</f>
        <v>1</v>
      </c>
      <c r="L359" s="9">
        <f>Table1[[#This Row],[CurrentStock]]*Table1[[#This Row],[UnitPrice]]</f>
        <v>33720.25</v>
      </c>
      <c r="M359">
        <f>IF(Table1[[#This Row],[ReorderLevel]]-Table1[[#This Row],[CurrentStock]]&gt;0,Table1[[#This Row],[ReorderLevel]]-Table1[[#This Row],[CurrentStock]],"")</f>
        <v>5</v>
      </c>
      <c r="N359" t="str">
        <f>IF(Table1[[#This Row],[CurrentStock]]&gt;Table1[[#This Row],[ReorderLevel]]*3,"Over Stock","Okay")</f>
        <v>Okay</v>
      </c>
      <c r="O359" t="str">
        <f>IF(Table1[[#This Row],[CurrentStock]]&lt;Table1[[#This Row],[ReorderLevel]],"Reorder","Okay")</f>
        <v>Reorder</v>
      </c>
    </row>
    <row r="360" spans="1:15" x14ac:dyDescent="0.3">
      <c r="A360">
        <v>81274</v>
      </c>
      <c r="B360" t="s">
        <v>17</v>
      </c>
      <c r="C360" t="s">
        <v>30</v>
      </c>
      <c r="D360">
        <v>376</v>
      </c>
      <c r="E360">
        <v>80</v>
      </c>
      <c r="F360">
        <v>465.79</v>
      </c>
      <c r="G360" t="s">
        <v>32</v>
      </c>
      <c r="H360" s="1">
        <v>45412</v>
      </c>
      <c r="I360" s="1">
        <v>45417</v>
      </c>
      <c r="J360" t="s">
        <v>37</v>
      </c>
      <c r="K360" t="b">
        <f>Table1[[#This Row],[CurrentStock]]&lt;Table1[[#This Row],[ReorderLevel]]</f>
        <v>0</v>
      </c>
      <c r="L360" s="9">
        <f>Table1[[#This Row],[CurrentStock]]*Table1[[#This Row],[UnitPrice]]</f>
        <v>175137.04</v>
      </c>
      <c r="M360" t="str">
        <f>IF(Table1[[#This Row],[ReorderLevel]]-Table1[[#This Row],[CurrentStock]]&gt;0,Table1[[#This Row],[ReorderLevel]]-Table1[[#This Row],[CurrentStock]],"")</f>
        <v/>
      </c>
      <c r="N360" t="str">
        <f>IF(Table1[[#This Row],[CurrentStock]]&gt;Table1[[#This Row],[ReorderLevel]]*3,"Over Stock","Okay")</f>
        <v>Over Stock</v>
      </c>
      <c r="O360" t="str">
        <f>IF(Table1[[#This Row],[CurrentStock]]&lt;Table1[[#This Row],[ReorderLevel]],"Reorder","Okay")</f>
        <v>Okay</v>
      </c>
    </row>
    <row r="361" spans="1:15" x14ac:dyDescent="0.3">
      <c r="A361">
        <v>12224</v>
      </c>
      <c r="B361" t="s">
        <v>15</v>
      </c>
      <c r="C361" t="s">
        <v>29</v>
      </c>
      <c r="D361">
        <v>427</v>
      </c>
      <c r="E361">
        <v>50</v>
      </c>
      <c r="F361">
        <v>395.52</v>
      </c>
      <c r="G361" t="s">
        <v>34</v>
      </c>
      <c r="H361" s="1">
        <v>45598</v>
      </c>
      <c r="I361" s="1">
        <v>45615</v>
      </c>
      <c r="J361" t="s">
        <v>38</v>
      </c>
      <c r="K361" t="b">
        <f>Table1[[#This Row],[CurrentStock]]&lt;Table1[[#This Row],[ReorderLevel]]</f>
        <v>0</v>
      </c>
      <c r="L361" s="9">
        <f>Table1[[#This Row],[CurrentStock]]*Table1[[#This Row],[UnitPrice]]</f>
        <v>168887.03999999998</v>
      </c>
      <c r="M361" t="str">
        <f>IF(Table1[[#This Row],[ReorderLevel]]-Table1[[#This Row],[CurrentStock]]&gt;0,Table1[[#This Row],[ReorderLevel]]-Table1[[#This Row],[CurrentStock]],"")</f>
        <v/>
      </c>
      <c r="N361" t="str">
        <f>IF(Table1[[#This Row],[CurrentStock]]&gt;Table1[[#This Row],[ReorderLevel]]*3,"Over Stock","Okay")</f>
        <v>Over Stock</v>
      </c>
      <c r="O361" t="str">
        <f>IF(Table1[[#This Row],[CurrentStock]]&lt;Table1[[#This Row],[ReorderLevel]],"Reorder","Okay")</f>
        <v>Okay</v>
      </c>
    </row>
    <row r="362" spans="1:15" x14ac:dyDescent="0.3">
      <c r="A362">
        <v>54760</v>
      </c>
      <c r="B362" t="s">
        <v>26</v>
      </c>
      <c r="C362" t="s">
        <v>30</v>
      </c>
      <c r="D362">
        <v>185</v>
      </c>
      <c r="E362">
        <v>150</v>
      </c>
      <c r="F362">
        <v>249.44</v>
      </c>
      <c r="G362" t="s">
        <v>33</v>
      </c>
      <c r="H362" s="1">
        <v>45607</v>
      </c>
      <c r="I362" s="1">
        <v>45638</v>
      </c>
      <c r="J362" t="s">
        <v>38</v>
      </c>
      <c r="K362" t="b">
        <f>Table1[[#This Row],[CurrentStock]]&lt;Table1[[#This Row],[ReorderLevel]]</f>
        <v>0</v>
      </c>
      <c r="L362" s="9">
        <f>Table1[[#This Row],[CurrentStock]]*Table1[[#This Row],[UnitPrice]]</f>
        <v>46146.400000000001</v>
      </c>
      <c r="M362" t="str">
        <f>IF(Table1[[#This Row],[ReorderLevel]]-Table1[[#This Row],[CurrentStock]]&gt;0,Table1[[#This Row],[ReorderLevel]]-Table1[[#This Row],[CurrentStock]],"")</f>
        <v/>
      </c>
      <c r="N362" t="str">
        <f>IF(Table1[[#This Row],[CurrentStock]]&gt;Table1[[#This Row],[ReorderLevel]]*3,"Over Stock","Okay")</f>
        <v>Okay</v>
      </c>
      <c r="O362" t="str">
        <f>IF(Table1[[#This Row],[CurrentStock]]&lt;Table1[[#This Row],[ReorderLevel]],"Reorder","Okay")</f>
        <v>Okay</v>
      </c>
    </row>
    <row r="363" spans="1:15" x14ac:dyDescent="0.3">
      <c r="A363">
        <v>64040</v>
      </c>
      <c r="B363" t="s">
        <v>26</v>
      </c>
      <c r="C363" t="s">
        <v>30</v>
      </c>
      <c r="D363">
        <v>234</v>
      </c>
      <c r="E363">
        <v>80</v>
      </c>
      <c r="F363">
        <v>95.49</v>
      </c>
      <c r="G363" t="s">
        <v>35</v>
      </c>
      <c r="H363" s="1">
        <v>45315</v>
      </c>
      <c r="I363" s="1">
        <v>45330</v>
      </c>
      <c r="J363" t="s">
        <v>37</v>
      </c>
      <c r="K363" t="b">
        <f>Table1[[#This Row],[CurrentStock]]&lt;Table1[[#This Row],[ReorderLevel]]</f>
        <v>0</v>
      </c>
      <c r="L363" s="9">
        <f>Table1[[#This Row],[CurrentStock]]*Table1[[#This Row],[UnitPrice]]</f>
        <v>22344.66</v>
      </c>
      <c r="M363" t="str">
        <f>IF(Table1[[#This Row],[ReorderLevel]]-Table1[[#This Row],[CurrentStock]]&gt;0,Table1[[#This Row],[ReorderLevel]]-Table1[[#This Row],[CurrentStock]],"")</f>
        <v/>
      </c>
      <c r="N363" t="str">
        <f>IF(Table1[[#This Row],[CurrentStock]]&gt;Table1[[#This Row],[ReorderLevel]]*3,"Over Stock","Okay")</f>
        <v>Okay</v>
      </c>
      <c r="O363" t="str">
        <f>IF(Table1[[#This Row],[CurrentStock]]&lt;Table1[[#This Row],[ReorderLevel]],"Reorder","Okay")</f>
        <v>Okay</v>
      </c>
    </row>
    <row r="364" spans="1:15" x14ac:dyDescent="0.3">
      <c r="A364">
        <v>35599</v>
      </c>
      <c r="B364" t="s">
        <v>22</v>
      </c>
      <c r="C364" t="s">
        <v>27</v>
      </c>
      <c r="D364">
        <v>210</v>
      </c>
      <c r="E364">
        <v>50</v>
      </c>
      <c r="F364">
        <v>499.74</v>
      </c>
      <c r="G364" t="s">
        <v>35</v>
      </c>
      <c r="H364" s="1">
        <v>45392</v>
      </c>
      <c r="I364" s="1">
        <v>45424</v>
      </c>
      <c r="J364" t="s">
        <v>38</v>
      </c>
      <c r="K364" t="b">
        <f>Table1[[#This Row],[CurrentStock]]&lt;Table1[[#This Row],[ReorderLevel]]</f>
        <v>0</v>
      </c>
      <c r="L364" s="9">
        <f>Table1[[#This Row],[CurrentStock]]*Table1[[#This Row],[UnitPrice]]</f>
        <v>104945.40000000001</v>
      </c>
      <c r="M364" t="str">
        <f>IF(Table1[[#This Row],[ReorderLevel]]-Table1[[#This Row],[CurrentStock]]&gt;0,Table1[[#This Row],[ReorderLevel]]-Table1[[#This Row],[CurrentStock]],"")</f>
        <v/>
      </c>
      <c r="N364" t="str">
        <f>IF(Table1[[#This Row],[CurrentStock]]&gt;Table1[[#This Row],[ReorderLevel]]*3,"Over Stock","Okay")</f>
        <v>Over Stock</v>
      </c>
      <c r="O364" t="str">
        <f>IF(Table1[[#This Row],[CurrentStock]]&lt;Table1[[#This Row],[ReorderLevel]],"Reorder","Okay")</f>
        <v>Okay</v>
      </c>
    </row>
    <row r="365" spans="1:15" x14ac:dyDescent="0.3">
      <c r="A365">
        <v>37364</v>
      </c>
      <c r="B365" t="s">
        <v>21</v>
      </c>
      <c r="C365" t="s">
        <v>31</v>
      </c>
      <c r="D365">
        <v>226</v>
      </c>
      <c r="E365">
        <v>50</v>
      </c>
      <c r="F365">
        <v>6.43</v>
      </c>
      <c r="G365" t="s">
        <v>36</v>
      </c>
      <c r="H365" s="1">
        <v>45304</v>
      </c>
      <c r="I365" s="1">
        <v>45326</v>
      </c>
      <c r="J365" t="s">
        <v>38</v>
      </c>
      <c r="K365" t="b">
        <f>Table1[[#This Row],[CurrentStock]]&lt;Table1[[#This Row],[ReorderLevel]]</f>
        <v>0</v>
      </c>
      <c r="L365" s="9">
        <f>Table1[[#This Row],[CurrentStock]]*Table1[[#This Row],[UnitPrice]]</f>
        <v>1453.1799999999998</v>
      </c>
      <c r="M365" t="str">
        <f>IF(Table1[[#This Row],[ReorderLevel]]-Table1[[#This Row],[CurrentStock]]&gt;0,Table1[[#This Row],[ReorderLevel]]-Table1[[#This Row],[CurrentStock]],"")</f>
        <v/>
      </c>
      <c r="N365" t="str">
        <f>IF(Table1[[#This Row],[CurrentStock]]&gt;Table1[[#This Row],[ReorderLevel]]*3,"Over Stock","Okay")</f>
        <v>Over Stock</v>
      </c>
      <c r="O365" t="str">
        <f>IF(Table1[[#This Row],[CurrentStock]]&lt;Table1[[#This Row],[ReorderLevel]],"Reorder","Okay")</f>
        <v>Okay</v>
      </c>
    </row>
    <row r="366" spans="1:15" x14ac:dyDescent="0.3">
      <c r="A366">
        <v>93692</v>
      </c>
      <c r="B366" t="s">
        <v>24</v>
      </c>
      <c r="C366" t="s">
        <v>31</v>
      </c>
      <c r="D366">
        <v>328</v>
      </c>
      <c r="E366">
        <v>100</v>
      </c>
      <c r="F366">
        <v>238.78</v>
      </c>
      <c r="G366" t="s">
        <v>33</v>
      </c>
      <c r="H366" s="1">
        <v>45391</v>
      </c>
      <c r="I366" s="1">
        <v>45418</v>
      </c>
      <c r="J366" t="s">
        <v>37</v>
      </c>
      <c r="K366" t="b">
        <f>Table1[[#This Row],[CurrentStock]]&lt;Table1[[#This Row],[ReorderLevel]]</f>
        <v>0</v>
      </c>
      <c r="L366" s="9">
        <f>Table1[[#This Row],[CurrentStock]]*Table1[[#This Row],[UnitPrice]]</f>
        <v>78319.839999999997</v>
      </c>
      <c r="M366" t="str">
        <f>IF(Table1[[#This Row],[ReorderLevel]]-Table1[[#This Row],[CurrentStock]]&gt;0,Table1[[#This Row],[ReorderLevel]]-Table1[[#This Row],[CurrentStock]],"")</f>
        <v/>
      </c>
      <c r="N366" t="str">
        <f>IF(Table1[[#This Row],[CurrentStock]]&gt;Table1[[#This Row],[ReorderLevel]]*3,"Over Stock","Okay")</f>
        <v>Over Stock</v>
      </c>
      <c r="O366" t="str">
        <f>IF(Table1[[#This Row],[CurrentStock]]&lt;Table1[[#This Row],[ReorderLevel]],"Reorder","Okay")</f>
        <v>Okay</v>
      </c>
    </row>
    <row r="367" spans="1:15" x14ac:dyDescent="0.3">
      <c r="A367">
        <v>57591</v>
      </c>
      <c r="B367" t="s">
        <v>14</v>
      </c>
      <c r="C367" t="s">
        <v>27</v>
      </c>
      <c r="D367">
        <v>2</v>
      </c>
      <c r="E367">
        <v>50</v>
      </c>
      <c r="F367">
        <v>487.42</v>
      </c>
      <c r="G367" t="s">
        <v>35</v>
      </c>
      <c r="H367" s="1">
        <v>45440</v>
      </c>
      <c r="I367" s="1">
        <v>45472</v>
      </c>
      <c r="J367" t="s">
        <v>37</v>
      </c>
      <c r="K367" t="b">
        <f>Table1[[#This Row],[CurrentStock]]&lt;Table1[[#This Row],[ReorderLevel]]</f>
        <v>1</v>
      </c>
      <c r="L367" s="9">
        <f>Table1[[#This Row],[CurrentStock]]*Table1[[#This Row],[UnitPrice]]</f>
        <v>974.84</v>
      </c>
      <c r="M367">
        <f>IF(Table1[[#This Row],[ReorderLevel]]-Table1[[#This Row],[CurrentStock]]&gt;0,Table1[[#This Row],[ReorderLevel]]-Table1[[#This Row],[CurrentStock]],"")</f>
        <v>48</v>
      </c>
      <c r="N367" t="str">
        <f>IF(Table1[[#This Row],[CurrentStock]]&gt;Table1[[#This Row],[ReorderLevel]]*3,"Over Stock","Okay")</f>
        <v>Okay</v>
      </c>
      <c r="O367" t="str">
        <f>IF(Table1[[#This Row],[CurrentStock]]&lt;Table1[[#This Row],[ReorderLevel]],"Reorder","Okay")</f>
        <v>Reorder</v>
      </c>
    </row>
    <row r="368" spans="1:15" x14ac:dyDescent="0.3">
      <c r="A368">
        <v>65860</v>
      </c>
      <c r="B368" t="s">
        <v>22</v>
      </c>
      <c r="C368" t="s">
        <v>27</v>
      </c>
      <c r="D368">
        <v>226</v>
      </c>
      <c r="E368">
        <v>80</v>
      </c>
      <c r="F368">
        <v>33.76</v>
      </c>
      <c r="G368" t="s">
        <v>34</v>
      </c>
      <c r="H368" s="1">
        <v>45409</v>
      </c>
      <c r="I368" s="1">
        <v>45423</v>
      </c>
      <c r="J368" t="s">
        <v>38</v>
      </c>
      <c r="K368" t="b">
        <f>Table1[[#This Row],[CurrentStock]]&lt;Table1[[#This Row],[ReorderLevel]]</f>
        <v>0</v>
      </c>
      <c r="L368" s="9">
        <f>Table1[[#This Row],[CurrentStock]]*Table1[[#This Row],[UnitPrice]]</f>
        <v>7629.7599999999993</v>
      </c>
      <c r="M368" t="str">
        <f>IF(Table1[[#This Row],[ReorderLevel]]-Table1[[#This Row],[CurrentStock]]&gt;0,Table1[[#This Row],[ReorderLevel]]-Table1[[#This Row],[CurrentStock]],"")</f>
        <v/>
      </c>
      <c r="N368" t="str">
        <f>IF(Table1[[#This Row],[CurrentStock]]&gt;Table1[[#This Row],[ReorderLevel]]*3,"Over Stock","Okay")</f>
        <v>Okay</v>
      </c>
      <c r="O368" t="str">
        <f>IF(Table1[[#This Row],[CurrentStock]]&lt;Table1[[#This Row],[ReorderLevel]],"Reorder","Okay")</f>
        <v>Okay</v>
      </c>
    </row>
    <row r="369" spans="1:15" x14ac:dyDescent="0.3">
      <c r="A369">
        <v>52965</v>
      </c>
      <c r="B369" t="s">
        <v>23</v>
      </c>
      <c r="C369" t="s">
        <v>30</v>
      </c>
      <c r="D369">
        <v>45</v>
      </c>
      <c r="E369">
        <v>80</v>
      </c>
      <c r="F369">
        <v>192.65</v>
      </c>
      <c r="G369" t="s">
        <v>35</v>
      </c>
      <c r="H369" s="1">
        <v>45571</v>
      </c>
      <c r="I369" s="1">
        <v>45577</v>
      </c>
      <c r="J369" t="s">
        <v>39</v>
      </c>
      <c r="K369" t="b">
        <f>Table1[[#This Row],[CurrentStock]]&lt;Table1[[#This Row],[ReorderLevel]]</f>
        <v>1</v>
      </c>
      <c r="L369" s="9">
        <f>Table1[[#This Row],[CurrentStock]]*Table1[[#This Row],[UnitPrice]]</f>
        <v>8669.25</v>
      </c>
      <c r="M369">
        <f>IF(Table1[[#This Row],[ReorderLevel]]-Table1[[#This Row],[CurrentStock]]&gt;0,Table1[[#This Row],[ReorderLevel]]-Table1[[#This Row],[CurrentStock]],"")</f>
        <v>35</v>
      </c>
      <c r="N369" t="str">
        <f>IF(Table1[[#This Row],[CurrentStock]]&gt;Table1[[#This Row],[ReorderLevel]]*3,"Over Stock","Okay")</f>
        <v>Okay</v>
      </c>
      <c r="O369" t="str">
        <f>IF(Table1[[#This Row],[CurrentStock]]&lt;Table1[[#This Row],[ReorderLevel]],"Reorder","Okay")</f>
        <v>Reorder</v>
      </c>
    </row>
    <row r="370" spans="1:15" x14ac:dyDescent="0.3">
      <c r="A370">
        <v>46021</v>
      </c>
      <c r="B370" t="s">
        <v>25</v>
      </c>
      <c r="C370" t="s">
        <v>31</v>
      </c>
      <c r="D370">
        <v>408</v>
      </c>
      <c r="E370">
        <v>40</v>
      </c>
      <c r="F370">
        <v>205.12</v>
      </c>
      <c r="G370" t="s">
        <v>34</v>
      </c>
      <c r="H370" s="1">
        <v>45308</v>
      </c>
      <c r="I370" s="1">
        <v>45324</v>
      </c>
      <c r="J370" t="s">
        <v>37</v>
      </c>
      <c r="K370" t="b">
        <f>Table1[[#This Row],[CurrentStock]]&lt;Table1[[#This Row],[ReorderLevel]]</f>
        <v>0</v>
      </c>
      <c r="L370" s="9">
        <f>Table1[[#This Row],[CurrentStock]]*Table1[[#This Row],[UnitPrice]]</f>
        <v>83688.960000000006</v>
      </c>
      <c r="M370" t="str">
        <f>IF(Table1[[#This Row],[ReorderLevel]]-Table1[[#This Row],[CurrentStock]]&gt;0,Table1[[#This Row],[ReorderLevel]]-Table1[[#This Row],[CurrentStock]],"")</f>
        <v/>
      </c>
      <c r="N370" t="str">
        <f>IF(Table1[[#This Row],[CurrentStock]]&gt;Table1[[#This Row],[ReorderLevel]]*3,"Over Stock","Okay")</f>
        <v>Over Stock</v>
      </c>
      <c r="O370" t="str">
        <f>IF(Table1[[#This Row],[CurrentStock]]&lt;Table1[[#This Row],[ReorderLevel]],"Reorder","Okay")</f>
        <v>Okay</v>
      </c>
    </row>
    <row r="371" spans="1:15" x14ac:dyDescent="0.3">
      <c r="A371">
        <v>30307</v>
      </c>
      <c r="B371" t="s">
        <v>20</v>
      </c>
      <c r="C371" t="s">
        <v>29</v>
      </c>
      <c r="D371">
        <v>227</v>
      </c>
      <c r="E371">
        <v>30</v>
      </c>
      <c r="F371">
        <v>261.92</v>
      </c>
      <c r="G371" t="s">
        <v>34</v>
      </c>
      <c r="H371" s="1">
        <v>45521</v>
      </c>
      <c r="I371" s="1">
        <v>45526</v>
      </c>
      <c r="J371" t="s">
        <v>38</v>
      </c>
      <c r="K371" t="b">
        <f>Table1[[#This Row],[CurrentStock]]&lt;Table1[[#This Row],[ReorderLevel]]</f>
        <v>0</v>
      </c>
      <c r="L371" s="9">
        <f>Table1[[#This Row],[CurrentStock]]*Table1[[#This Row],[UnitPrice]]</f>
        <v>59455.840000000004</v>
      </c>
      <c r="M371" t="str">
        <f>IF(Table1[[#This Row],[ReorderLevel]]-Table1[[#This Row],[CurrentStock]]&gt;0,Table1[[#This Row],[ReorderLevel]]-Table1[[#This Row],[CurrentStock]],"")</f>
        <v/>
      </c>
      <c r="N371" t="str">
        <f>IF(Table1[[#This Row],[CurrentStock]]&gt;Table1[[#This Row],[ReorderLevel]]*3,"Over Stock","Okay")</f>
        <v>Over Stock</v>
      </c>
      <c r="O371" t="str">
        <f>IF(Table1[[#This Row],[CurrentStock]]&lt;Table1[[#This Row],[ReorderLevel]],"Reorder","Okay")</f>
        <v>Okay</v>
      </c>
    </row>
    <row r="372" spans="1:15" x14ac:dyDescent="0.3">
      <c r="A372">
        <v>40116</v>
      </c>
      <c r="B372" t="s">
        <v>12</v>
      </c>
      <c r="C372" t="s">
        <v>28</v>
      </c>
      <c r="D372">
        <v>459</v>
      </c>
      <c r="E372">
        <v>40</v>
      </c>
      <c r="F372">
        <v>289.8</v>
      </c>
      <c r="G372" t="s">
        <v>36</v>
      </c>
      <c r="H372" s="1">
        <v>45461</v>
      </c>
      <c r="I372" s="1">
        <v>45495</v>
      </c>
      <c r="J372" t="s">
        <v>37</v>
      </c>
      <c r="K372" t="b">
        <f>Table1[[#This Row],[CurrentStock]]&lt;Table1[[#This Row],[ReorderLevel]]</f>
        <v>0</v>
      </c>
      <c r="L372" s="9">
        <f>Table1[[#This Row],[CurrentStock]]*Table1[[#This Row],[UnitPrice]]</f>
        <v>133018.20000000001</v>
      </c>
      <c r="M372" t="str">
        <f>IF(Table1[[#This Row],[ReorderLevel]]-Table1[[#This Row],[CurrentStock]]&gt;0,Table1[[#This Row],[ReorderLevel]]-Table1[[#This Row],[CurrentStock]],"")</f>
        <v/>
      </c>
      <c r="N372" t="str">
        <f>IF(Table1[[#This Row],[CurrentStock]]&gt;Table1[[#This Row],[ReorderLevel]]*3,"Over Stock","Okay")</f>
        <v>Over Stock</v>
      </c>
      <c r="O372" t="str">
        <f>IF(Table1[[#This Row],[CurrentStock]]&lt;Table1[[#This Row],[ReorderLevel]],"Reorder","Okay")</f>
        <v>Okay</v>
      </c>
    </row>
    <row r="373" spans="1:15" x14ac:dyDescent="0.3">
      <c r="A373">
        <v>56607</v>
      </c>
      <c r="B373" t="s">
        <v>19</v>
      </c>
      <c r="C373" t="s">
        <v>28</v>
      </c>
      <c r="D373">
        <v>441</v>
      </c>
      <c r="E373">
        <v>150</v>
      </c>
      <c r="F373">
        <v>177.31</v>
      </c>
      <c r="G373" t="s">
        <v>32</v>
      </c>
      <c r="H373" s="1">
        <v>45417</v>
      </c>
      <c r="I373" s="1">
        <v>45433</v>
      </c>
      <c r="J373" t="s">
        <v>37</v>
      </c>
      <c r="K373" t="b">
        <f>Table1[[#This Row],[CurrentStock]]&lt;Table1[[#This Row],[ReorderLevel]]</f>
        <v>0</v>
      </c>
      <c r="L373" s="9">
        <f>Table1[[#This Row],[CurrentStock]]*Table1[[#This Row],[UnitPrice]]</f>
        <v>78193.710000000006</v>
      </c>
      <c r="M373" t="str">
        <f>IF(Table1[[#This Row],[ReorderLevel]]-Table1[[#This Row],[CurrentStock]]&gt;0,Table1[[#This Row],[ReorderLevel]]-Table1[[#This Row],[CurrentStock]],"")</f>
        <v/>
      </c>
      <c r="N373" t="str">
        <f>IF(Table1[[#This Row],[CurrentStock]]&gt;Table1[[#This Row],[ReorderLevel]]*3,"Over Stock","Okay")</f>
        <v>Okay</v>
      </c>
      <c r="O373" t="str">
        <f>IF(Table1[[#This Row],[CurrentStock]]&lt;Table1[[#This Row],[ReorderLevel]],"Reorder","Okay")</f>
        <v>Okay</v>
      </c>
    </row>
    <row r="374" spans="1:15" x14ac:dyDescent="0.3">
      <c r="A374">
        <v>98839</v>
      </c>
      <c r="B374" t="s">
        <v>10</v>
      </c>
      <c r="C374" t="s">
        <v>27</v>
      </c>
      <c r="D374">
        <v>134</v>
      </c>
      <c r="E374">
        <v>50</v>
      </c>
      <c r="F374">
        <v>424.3</v>
      </c>
      <c r="G374" t="s">
        <v>35</v>
      </c>
      <c r="H374" s="1">
        <v>45451</v>
      </c>
      <c r="I374" s="1">
        <v>45466</v>
      </c>
      <c r="J374" t="s">
        <v>38</v>
      </c>
      <c r="K374" t="b">
        <f>Table1[[#This Row],[CurrentStock]]&lt;Table1[[#This Row],[ReorderLevel]]</f>
        <v>0</v>
      </c>
      <c r="L374" s="9">
        <f>Table1[[#This Row],[CurrentStock]]*Table1[[#This Row],[UnitPrice]]</f>
        <v>56856.200000000004</v>
      </c>
      <c r="M374" t="str">
        <f>IF(Table1[[#This Row],[ReorderLevel]]-Table1[[#This Row],[CurrentStock]]&gt;0,Table1[[#This Row],[ReorderLevel]]-Table1[[#This Row],[CurrentStock]],"")</f>
        <v/>
      </c>
      <c r="N374" t="str">
        <f>IF(Table1[[#This Row],[CurrentStock]]&gt;Table1[[#This Row],[ReorderLevel]]*3,"Over Stock","Okay")</f>
        <v>Okay</v>
      </c>
      <c r="O374" t="str">
        <f>IF(Table1[[#This Row],[CurrentStock]]&lt;Table1[[#This Row],[ReorderLevel]],"Reorder","Okay")</f>
        <v>Okay</v>
      </c>
    </row>
    <row r="375" spans="1:15" x14ac:dyDescent="0.3">
      <c r="A375">
        <v>12204</v>
      </c>
      <c r="B375" t="s">
        <v>18</v>
      </c>
      <c r="C375" t="s">
        <v>28</v>
      </c>
      <c r="D375">
        <v>213</v>
      </c>
      <c r="E375">
        <v>40</v>
      </c>
      <c r="F375">
        <v>154.94</v>
      </c>
      <c r="G375" t="s">
        <v>33</v>
      </c>
      <c r="H375" s="1">
        <v>45486</v>
      </c>
      <c r="I375" s="1">
        <v>45519</v>
      </c>
      <c r="J375" t="s">
        <v>39</v>
      </c>
      <c r="K375" t="b">
        <f>Table1[[#This Row],[CurrentStock]]&lt;Table1[[#This Row],[ReorderLevel]]</f>
        <v>0</v>
      </c>
      <c r="L375" s="9">
        <f>Table1[[#This Row],[CurrentStock]]*Table1[[#This Row],[UnitPrice]]</f>
        <v>33002.22</v>
      </c>
      <c r="M375" t="str">
        <f>IF(Table1[[#This Row],[ReorderLevel]]-Table1[[#This Row],[CurrentStock]]&gt;0,Table1[[#This Row],[ReorderLevel]]-Table1[[#This Row],[CurrentStock]],"")</f>
        <v/>
      </c>
      <c r="N375" t="str">
        <f>IF(Table1[[#This Row],[CurrentStock]]&gt;Table1[[#This Row],[ReorderLevel]]*3,"Over Stock","Okay")</f>
        <v>Over Stock</v>
      </c>
      <c r="O375" t="str">
        <f>IF(Table1[[#This Row],[CurrentStock]]&lt;Table1[[#This Row],[ReorderLevel]],"Reorder","Okay")</f>
        <v>Okay</v>
      </c>
    </row>
    <row r="376" spans="1:15" x14ac:dyDescent="0.3">
      <c r="A376">
        <v>31607</v>
      </c>
      <c r="B376" t="s">
        <v>10</v>
      </c>
      <c r="C376" t="s">
        <v>27</v>
      </c>
      <c r="D376">
        <v>78</v>
      </c>
      <c r="E376">
        <v>50</v>
      </c>
      <c r="F376">
        <v>239.54</v>
      </c>
      <c r="G376" t="s">
        <v>35</v>
      </c>
      <c r="H376" s="1">
        <v>45509</v>
      </c>
      <c r="I376" s="1">
        <v>45517</v>
      </c>
      <c r="J376" t="s">
        <v>38</v>
      </c>
      <c r="K376" t="b">
        <f>Table1[[#This Row],[CurrentStock]]&lt;Table1[[#This Row],[ReorderLevel]]</f>
        <v>0</v>
      </c>
      <c r="L376" s="9">
        <f>Table1[[#This Row],[CurrentStock]]*Table1[[#This Row],[UnitPrice]]</f>
        <v>18684.12</v>
      </c>
      <c r="M376" t="str">
        <f>IF(Table1[[#This Row],[ReorderLevel]]-Table1[[#This Row],[CurrentStock]]&gt;0,Table1[[#This Row],[ReorderLevel]]-Table1[[#This Row],[CurrentStock]],"")</f>
        <v/>
      </c>
      <c r="N376" t="str">
        <f>IF(Table1[[#This Row],[CurrentStock]]&gt;Table1[[#This Row],[ReorderLevel]]*3,"Over Stock","Okay")</f>
        <v>Okay</v>
      </c>
      <c r="O376" t="str">
        <f>IF(Table1[[#This Row],[CurrentStock]]&lt;Table1[[#This Row],[ReorderLevel]],"Reorder","Okay")</f>
        <v>Okay</v>
      </c>
    </row>
    <row r="377" spans="1:15" x14ac:dyDescent="0.3">
      <c r="A377">
        <v>65835</v>
      </c>
      <c r="B377" t="s">
        <v>17</v>
      </c>
      <c r="C377" t="s">
        <v>30</v>
      </c>
      <c r="D377">
        <v>95</v>
      </c>
      <c r="E377">
        <v>50</v>
      </c>
      <c r="F377">
        <v>274.52</v>
      </c>
      <c r="G377" t="s">
        <v>35</v>
      </c>
      <c r="H377" s="1">
        <v>45434</v>
      </c>
      <c r="I377" s="1">
        <v>45470</v>
      </c>
      <c r="J377" t="s">
        <v>37</v>
      </c>
      <c r="K377" t="b">
        <f>Table1[[#This Row],[CurrentStock]]&lt;Table1[[#This Row],[ReorderLevel]]</f>
        <v>0</v>
      </c>
      <c r="L377" s="9">
        <f>Table1[[#This Row],[CurrentStock]]*Table1[[#This Row],[UnitPrice]]</f>
        <v>26079.399999999998</v>
      </c>
      <c r="M377" t="str">
        <f>IF(Table1[[#This Row],[ReorderLevel]]-Table1[[#This Row],[CurrentStock]]&gt;0,Table1[[#This Row],[ReorderLevel]]-Table1[[#This Row],[CurrentStock]],"")</f>
        <v/>
      </c>
      <c r="N377" t="str">
        <f>IF(Table1[[#This Row],[CurrentStock]]&gt;Table1[[#This Row],[ReorderLevel]]*3,"Over Stock","Okay")</f>
        <v>Okay</v>
      </c>
      <c r="O377" t="str">
        <f>IF(Table1[[#This Row],[CurrentStock]]&lt;Table1[[#This Row],[ReorderLevel]],"Reorder","Okay")</f>
        <v>Okay</v>
      </c>
    </row>
    <row r="378" spans="1:15" x14ac:dyDescent="0.3">
      <c r="A378">
        <v>56473</v>
      </c>
      <c r="B378" t="s">
        <v>15</v>
      </c>
      <c r="C378" t="s">
        <v>29</v>
      </c>
      <c r="D378">
        <v>491</v>
      </c>
      <c r="E378">
        <v>150</v>
      </c>
      <c r="F378">
        <v>74.7</v>
      </c>
      <c r="G378" t="s">
        <v>32</v>
      </c>
      <c r="H378" s="1">
        <v>45317</v>
      </c>
      <c r="I378" s="1">
        <v>45346</v>
      </c>
      <c r="J378" t="s">
        <v>37</v>
      </c>
      <c r="K378" t="b">
        <f>Table1[[#This Row],[CurrentStock]]&lt;Table1[[#This Row],[ReorderLevel]]</f>
        <v>0</v>
      </c>
      <c r="L378" s="9">
        <f>Table1[[#This Row],[CurrentStock]]*Table1[[#This Row],[UnitPrice]]</f>
        <v>36677.700000000004</v>
      </c>
      <c r="M378" t="str">
        <f>IF(Table1[[#This Row],[ReorderLevel]]-Table1[[#This Row],[CurrentStock]]&gt;0,Table1[[#This Row],[ReorderLevel]]-Table1[[#This Row],[CurrentStock]],"")</f>
        <v/>
      </c>
      <c r="N378" t="str">
        <f>IF(Table1[[#This Row],[CurrentStock]]&gt;Table1[[#This Row],[ReorderLevel]]*3,"Over Stock","Okay")</f>
        <v>Over Stock</v>
      </c>
      <c r="O378" t="str">
        <f>IF(Table1[[#This Row],[CurrentStock]]&lt;Table1[[#This Row],[ReorderLevel]],"Reorder","Okay")</f>
        <v>Okay</v>
      </c>
    </row>
    <row r="379" spans="1:15" x14ac:dyDescent="0.3">
      <c r="A379">
        <v>84218</v>
      </c>
      <c r="B379" t="s">
        <v>13</v>
      </c>
      <c r="C379" t="s">
        <v>29</v>
      </c>
      <c r="D379">
        <v>460</v>
      </c>
      <c r="E379">
        <v>80</v>
      </c>
      <c r="F379">
        <v>266</v>
      </c>
      <c r="G379" t="s">
        <v>35</v>
      </c>
      <c r="H379" s="1">
        <v>45359</v>
      </c>
      <c r="I379" s="1">
        <v>45394</v>
      </c>
      <c r="J379" t="s">
        <v>37</v>
      </c>
      <c r="K379" t="b">
        <f>Table1[[#This Row],[CurrentStock]]&lt;Table1[[#This Row],[ReorderLevel]]</f>
        <v>0</v>
      </c>
      <c r="L379" s="9">
        <f>Table1[[#This Row],[CurrentStock]]*Table1[[#This Row],[UnitPrice]]</f>
        <v>122360</v>
      </c>
      <c r="M379" t="str">
        <f>IF(Table1[[#This Row],[ReorderLevel]]-Table1[[#This Row],[CurrentStock]]&gt;0,Table1[[#This Row],[ReorderLevel]]-Table1[[#This Row],[CurrentStock]],"")</f>
        <v/>
      </c>
      <c r="N379" t="str">
        <f>IF(Table1[[#This Row],[CurrentStock]]&gt;Table1[[#This Row],[ReorderLevel]]*3,"Over Stock","Okay")</f>
        <v>Over Stock</v>
      </c>
      <c r="O379" t="str">
        <f>IF(Table1[[#This Row],[CurrentStock]]&lt;Table1[[#This Row],[ReorderLevel]],"Reorder","Okay")</f>
        <v>Okay</v>
      </c>
    </row>
    <row r="380" spans="1:15" x14ac:dyDescent="0.3">
      <c r="A380">
        <v>90360</v>
      </c>
      <c r="B380" t="s">
        <v>14</v>
      </c>
      <c r="C380" t="s">
        <v>27</v>
      </c>
      <c r="D380">
        <v>215</v>
      </c>
      <c r="E380">
        <v>100</v>
      </c>
      <c r="F380">
        <v>237.64</v>
      </c>
      <c r="G380" t="s">
        <v>33</v>
      </c>
      <c r="H380" s="1">
        <v>45338</v>
      </c>
      <c r="I380" s="1">
        <v>45373</v>
      </c>
      <c r="J380" t="s">
        <v>39</v>
      </c>
      <c r="K380" t="b">
        <f>Table1[[#This Row],[CurrentStock]]&lt;Table1[[#This Row],[ReorderLevel]]</f>
        <v>0</v>
      </c>
      <c r="L380" s="9">
        <f>Table1[[#This Row],[CurrentStock]]*Table1[[#This Row],[UnitPrice]]</f>
        <v>51092.6</v>
      </c>
      <c r="M380" t="str">
        <f>IF(Table1[[#This Row],[ReorderLevel]]-Table1[[#This Row],[CurrentStock]]&gt;0,Table1[[#This Row],[ReorderLevel]]-Table1[[#This Row],[CurrentStock]],"")</f>
        <v/>
      </c>
      <c r="N380" t="str">
        <f>IF(Table1[[#This Row],[CurrentStock]]&gt;Table1[[#This Row],[ReorderLevel]]*3,"Over Stock","Okay")</f>
        <v>Okay</v>
      </c>
      <c r="O380" t="str">
        <f>IF(Table1[[#This Row],[CurrentStock]]&lt;Table1[[#This Row],[ReorderLevel]],"Reorder","Okay")</f>
        <v>Okay</v>
      </c>
    </row>
    <row r="381" spans="1:15" x14ac:dyDescent="0.3">
      <c r="A381">
        <v>86721</v>
      </c>
      <c r="B381" t="s">
        <v>12</v>
      </c>
      <c r="C381" t="s">
        <v>28</v>
      </c>
      <c r="D381">
        <v>4</v>
      </c>
      <c r="E381">
        <v>50</v>
      </c>
      <c r="F381">
        <v>317.31</v>
      </c>
      <c r="G381" t="s">
        <v>32</v>
      </c>
      <c r="H381" s="1">
        <v>45539</v>
      </c>
      <c r="I381" s="1">
        <v>45576</v>
      </c>
      <c r="J381" t="s">
        <v>39</v>
      </c>
      <c r="K381" t="b">
        <f>Table1[[#This Row],[CurrentStock]]&lt;Table1[[#This Row],[ReorderLevel]]</f>
        <v>1</v>
      </c>
      <c r="L381" s="9">
        <f>Table1[[#This Row],[CurrentStock]]*Table1[[#This Row],[UnitPrice]]</f>
        <v>1269.24</v>
      </c>
      <c r="M381">
        <f>IF(Table1[[#This Row],[ReorderLevel]]-Table1[[#This Row],[CurrentStock]]&gt;0,Table1[[#This Row],[ReorderLevel]]-Table1[[#This Row],[CurrentStock]],"")</f>
        <v>46</v>
      </c>
      <c r="N381" t="str">
        <f>IF(Table1[[#This Row],[CurrentStock]]&gt;Table1[[#This Row],[ReorderLevel]]*3,"Over Stock","Okay")</f>
        <v>Okay</v>
      </c>
      <c r="O381" t="str">
        <f>IF(Table1[[#This Row],[CurrentStock]]&lt;Table1[[#This Row],[ReorderLevel]],"Reorder","Okay")</f>
        <v>Reorder</v>
      </c>
    </row>
    <row r="382" spans="1:15" x14ac:dyDescent="0.3">
      <c r="A382">
        <v>98509</v>
      </c>
      <c r="B382" t="s">
        <v>23</v>
      </c>
      <c r="C382" t="s">
        <v>30</v>
      </c>
      <c r="D382">
        <v>276</v>
      </c>
      <c r="E382">
        <v>100</v>
      </c>
      <c r="F382">
        <v>42.74</v>
      </c>
      <c r="G382" t="s">
        <v>33</v>
      </c>
      <c r="H382" s="1">
        <v>45585</v>
      </c>
      <c r="I382" s="1">
        <v>45611</v>
      </c>
      <c r="J382" t="s">
        <v>39</v>
      </c>
      <c r="K382" t="b">
        <f>Table1[[#This Row],[CurrentStock]]&lt;Table1[[#This Row],[ReorderLevel]]</f>
        <v>0</v>
      </c>
      <c r="L382" s="9">
        <f>Table1[[#This Row],[CurrentStock]]*Table1[[#This Row],[UnitPrice]]</f>
        <v>11796.24</v>
      </c>
      <c r="M382" t="str">
        <f>IF(Table1[[#This Row],[ReorderLevel]]-Table1[[#This Row],[CurrentStock]]&gt;0,Table1[[#This Row],[ReorderLevel]]-Table1[[#This Row],[CurrentStock]],"")</f>
        <v/>
      </c>
      <c r="N382" t="str">
        <f>IF(Table1[[#This Row],[CurrentStock]]&gt;Table1[[#This Row],[ReorderLevel]]*3,"Over Stock","Okay")</f>
        <v>Okay</v>
      </c>
      <c r="O382" t="str">
        <f>IF(Table1[[#This Row],[CurrentStock]]&lt;Table1[[#This Row],[ReorderLevel]],"Reorder","Okay")</f>
        <v>Okay</v>
      </c>
    </row>
    <row r="383" spans="1:15" x14ac:dyDescent="0.3">
      <c r="A383">
        <v>53527</v>
      </c>
      <c r="B383" t="s">
        <v>21</v>
      </c>
      <c r="C383" t="s">
        <v>31</v>
      </c>
      <c r="D383">
        <v>396</v>
      </c>
      <c r="E383">
        <v>150</v>
      </c>
      <c r="F383">
        <v>26.73</v>
      </c>
      <c r="G383" t="s">
        <v>34</v>
      </c>
      <c r="H383" s="1">
        <v>45297</v>
      </c>
      <c r="I383" s="1">
        <v>45330</v>
      </c>
      <c r="J383" t="s">
        <v>37</v>
      </c>
      <c r="K383" t="b">
        <f>Table1[[#This Row],[CurrentStock]]&lt;Table1[[#This Row],[ReorderLevel]]</f>
        <v>0</v>
      </c>
      <c r="L383" s="9">
        <f>Table1[[#This Row],[CurrentStock]]*Table1[[#This Row],[UnitPrice]]</f>
        <v>10585.08</v>
      </c>
      <c r="M383" t="str">
        <f>IF(Table1[[#This Row],[ReorderLevel]]-Table1[[#This Row],[CurrentStock]]&gt;0,Table1[[#This Row],[ReorderLevel]]-Table1[[#This Row],[CurrentStock]],"")</f>
        <v/>
      </c>
      <c r="N383" t="str">
        <f>IF(Table1[[#This Row],[CurrentStock]]&gt;Table1[[#This Row],[ReorderLevel]]*3,"Over Stock","Okay")</f>
        <v>Okay</v>
      </c>
      <c r="O383" t="str">
        <f>IF(Table1[[#This Row],[CurrentStock]]&lt;Table1[[#This Row],[ReorderLevel]],"Reorder","Okay")</f>
        <v>Okay</v>
      </c>
    </row>
    <row r="384" spans="1:15" x14ac:dyDescent="0.3">
      <c r="A384">
        <v>23979</v>
      </c>
      <c r="B384" t="s">
        <v>20</v>
      </c>
      <c r="C384" t="s">
        <v>29</v>
      </c>
      <c r="D384">
        <v>208</v>
      </c>
      <c r="E384">
        <v>40</v>
      </c>
      <c r="F384">
        <v>397.61</v>
      </c>
      <c r="G384" t="s">
        <v>34</v>
      </c>
      <c r="H384" s="1">
        <v>45302</v>
      </c>
      <c r="I384" s="1">
        <v>45337</v>
      </c>
      <c r="J384" t="s">
        <v>39</v>
      </c>
      <c r="K384" t="b">
        <f>Table1[[#This Row],[CurrentStock]]&lt;Table1[[#This Row],[ReorderLevel]]</f>
        <v>0</v>
      </c>
      <c r="L384" s="9">
        <f>Table1[[#This Row],[CurrentStock]]*Table1[[#This Row],[UnitPrice]]</f>
        <v>82702.880000000005</v>
      </c>
      <c r="M384" t="str">
        <f>IF(Table1[[#This Row],[ReorderLevel]]-Table1[[#This Row],[CurrentStock]]&gt;0,Table1[[#This Row],[ReorderLevel]]-Table1[[#This Row],[CurrentStock]],"")</f>
        <v/>
      </c>
      <c r="N384" t="str">
        <f>IF(Table1[[#This Row],[CurrentStock]]&gt;Table1[[#This Row],[ReorderLevel]]*3,"Over Stock","Okay")</f>
        <v>Over Stock</v>
      </c>
      <c r="O384" t="str">
        <f>IF(Table1[[#This Row],[CurrentStock]]&lt;Table1[[#This Row],[ReorderLevel]],"Reorder","Okay")</f>
        <v>Okay</v>
      </c>
    </row>
    <row r="385" spans="1:15" x14ac:dyDescent="0.3">
      <c r="A385">
        <v>51316</v>
      </c>
      <c r="B385" t="s">
        <v>19</v>
      </c>
      <c r="C385" t="s">
        <v>28</v>
      </c>
      <c r="D385">
        <v>251</v>
      </c>
      <c r="E385">
        <v>40</v>
      </c>
      <c r="F385">
        <v>490.67</v>
      </c>
      <c r="G385" t="s">
        <v>35</v>
      </c>
      <c r="H385" s="1">
        <v>45623</v>
      </c>
      <c r="I385" s="1">
        <v>45638</v>
      </c>
      <c r="J385" t="s">
        <v>39</v>
      </c>
      <c r="K385" t="b">
        <f>Table1[[#This Row],[CurrentStock]]&lt;Table1[[#This Row],[ReorderLevel]]</f>
        <v>0</v>
      </c>
      <c r="L385" s="9">
        <f>Table1[[#This Row],[CurrentStock]]*Table1[[#This Row],[UnitPrice]]</f>
        <v>123158.17</v>
      </c>
      <c r="M385" t="str">
        <f>IF(Table1[[#This Row],[ReorderLevel]]-Table1[[#This Row],[CurrentStock]]&gt;0,Table1[[#This Row],[ReorderLevel]]-Table1[[#This Row],[CurrentStock]],"")</f>
        <v/>
      </c>
      <c r="N385" t="str">
        <f>IF(Table1[[#This Row],[CurrentStock]]&gt;Table1[[#This Row],[ReorderLevel]]*3,"Over Stock","Okay")</f>
        <v>Over Stock</v>
      </c>
      <c r="O385" t="str">
        <f>IF(Table1[[#This Row],[CurrentStock]]&lt;Table1[[#This Row],[ReorderLevel]],"Reorder","Okay")</f>
        <v>Okay</v>
      </c>
    </row>
    <row r="386" spans="1:15" x14ac:dyDescent="0.3">
      <c r="A386">
        <v>68627</v>
      </c>
      <c r="B386" t="s">
        <v>13</v>
      </c>
      <c r="C386" t="s">
        <v>29</v>
      </c>
      <c r="D386">
        <v>310</v>
      </c>
      <c r="E386">
        <v>100</v>
      </c>
      <c r="F386">
        <v>313.06</v>
      </c>
      <c r="G386" t="s">
        <v>34</v>
      </c>
      <c r="H386" s="1">
        <v>45445</v>
      </c>
      <c r="I386" s="1">
        <v>45455</v>
      </c>
      <c r="J386" t="s">
        <v>38</v>
      </c>
      <c r="K386" t="b">
        <f>Table1[[#This Row],[CurrentStock]]&lt;Table1[[#This Row],[ReorderLevel]]</f>
        <v>0</v>
      </c>
      <c r="L386" s="9">
        <f>Table1[[#This Row],[CurrentStock]]*Table1[[#This Row],[UnitPrice]]</f>
        <v>97048.6</v>
      </c>
      <c r="M386" t="str">
        <f>IF(Table1[[#This Row],[ReorderLevel]]-Table1[[#This Row],[CurrentStock]]&gt;0,Table1[[#This Row],[ReorderLevel]]-Table1[[#This Row],[CurrentStock]],"")</f>
        <v/>
      </c>
      <c r="N386" t="str">
        <f>IF(Table1[[#This Row],[CurrentStock]]&gt;Table1[[#This Row],[ReorderLevel]]*3,"Over Stock","Okay")</f>
        <v>Over Stock</v>
      </c>
      <c r="O386" t="str">
        <f>IF(Table1[[#This Row],[CurrentStock]]&lt;Table1[[#This Row],[ReorderLevel]],"Reorder","Okay")</f>
        <v>Okay</v>
      </c>
    </row>
    <row r="387" spans="1:15" x14ac:dyDescent="0.3">
      <c r="A387">
        <v>65745</v>
      </c>
      <c r="B387" t="s">
        <v>16</v>
      </c>
      <c r="C387" t="s">
        <v>30</v>
      </c>
      <c r="D387">
        <v>124</v>
      </c>
      <c r="E387">
        <v>30</v>
      </c>
      <c r="F387">
        <v>350.66</v>
      </c>
      <c r="G387" t="s">
        <v>33</v>
      </c>
      <c r="H387" s="1">
        <v>45590</v>
      </c>
      <c r="I387" s="1">
        <v>45610</v>
      </c>
      <c r="J387" t="s">
        <v>38</v>
      </c>
      <c r="K387" t="b">
        <f>Table1[[#This Row],[CurrentStock]]&lt;Table1[[#This Row],[ReorderLevel]]</f>
        <v>0</v>
      </c>
      <c r="L387" s="9">
        <f>Table1[[#This Row],[CurrentStock]]*Table1[[#This Row],[UnitPrice]]</f>
        <v>43481.840000000004</v>
      </c>
      <c r="M387" t="str">
        <f>IF(Table1[[#This Row],[ReorderLevel]]-Table1[[#This Row],[CurrentStock]]&gt;0,Table1[[#This Row],[ReorderLevel]]-Table1[[#This Row],[CurrentStock]],"")</f>
        <v/>
      </c>
      <c r="N387" t="str">
        <f>IF(Table1[[#This Row],[CurrentStock]]&gt;Table1[[#This Row],[ReorderLevel]]*3,"Over Stock","Okay")</f>
        <v>Over Stock</v>
      </c>
      <c r="O387" t="str">
        <f>IF(Table1[[#This Row],[CurrentStock]]&lt;Table1[[#This Row],[ReorderLevel]],"Reorder","Okay")</f>
        <v>Okay</v>
      </c>
    </row>
    <row r="388" spans="1:15" x14ac:dyDescent="0.3">
      <c r="A388">
        <v>66746</v>
      </c>
      <c r="B388" t="s">
        <v>23</v>
      </c>
      <c r="C388" t="s">
        <v>30</v>
      </c>
      <c r="D388">
        <v>7</v>
      </c>
      <c r="E388">
        <v>100</v>
      </c>
      <c r="F388">
        <v>360.57</v>
      </c>
      <c r="G388" t="s">
        <v>35</v>
      </c>
      <c r="H388" s="1">
        <v>45385</v>
      </c>
      <c r="I388" s="1">
        <v>45390</v>
      </c>
      <c r="J388" t="s">
        <v>38</v>
      </c>
      <c r="K388" t="b">
        <f>Table1[[#This Row],[CurrentStock]]&lt;Table1[[#This Row],[ReorderLevel]]</f>
        <v>1</v>
      </c>
      <c r="L388" s="9">
        <f>Table1[[#This Row],[CurrentStock]]*Table1[[#This Row],[UnitPrice]]</f>
        <v>2523.9899999999998</v>
      </c>
      <c r="M388">
        <f>IF(Table1[[#This Row],[ReorderLevel]]-Table1[[#This Row],[CurrentStock]]&gt;0,Table1[[#This Row],[ReorderLevel]]-Table1[[#This Row],[CurrentStock]],"")</f>
        <v>93</v>
      </c>
      <c r="N388" t="str">
        <f>IF(Table1[[#This Row],[CurrentStock]]&gt;Table1[[#This Row],[ReorderLevel]]*3,"Over Stock","Okay")</f>
        <v>Okay</v>
      </c>
      <c r="O388" t="str">
        <f>IF(Table1[[#This Row],[CurrentStock]]&lt;Table1[[#This Row],[ReorderLevel]],"Reorder","Okay")</f>
        <v>Reorder</v>
      </c>
    </row>
    <row r="389" spans="1:15" x14ac:dyDescent="0.3">
      <c r="A389">
        <v>94388</v>
      </c>
      <c r="B389" t="s">
        <v>11</v>
      </c>
      <c r="C389" t="s">
        <v>27</v>
      </c>
      <c r="D389">
        <v>241</v>
      </c>
      <c r="E389">
        <v>100</v>
      </c>
      <c r="F389">
        <v>428.33</v>
      </c>
      <c r="G389" t="s">
        <v>33</v>
      </c>
      <c r="H389" s="1">
        <v>45335</v>
      </c>
      <c r="I389" s="1">
        <v>45348</v>
      </c>
      <c r="J389" t="s">
        <v>37</v>
      </c>
      <c r="K389" t="b">
        <f>Table1[[#This Row],[CurrentStock]]&lt;Table1[[#This Row],[ReorderLevel]]</f>
        <v>0</v>
      </c>
      <c r="L389" s="9">
        <f>Table1[[#This Row],[CurrentStock]]*Table1[[#This Row],[UnitPrice]]</f>
        <v>103227.53</v>
      </c>
      <c r="M389" t="str">
        <f>IF(Table1[[#This Row],[ReorderLevel]]-Table1[[#This Row],[CurrentStock]]&gt;0,Table1[[#This Row],[ReorderLevel]]-Table1[[#This Row],[CurrentStock]],"")</f>
        <v/>
      </c>
      <c r="N389" t="str">
        <f>IF(Table1[[#This Row],[CurrentStock]]&gt;Table1[[#This Row],[ReorderLevel]]*3,"Over Stock","Okay")</f>
        <v>Okay</v>
      </c>
      <c r="O389" t="str">
        <f>IF(Table1[[#This Row],[CurrentStock]]&lt;Table1[[#This Row],[ReorderLevel]],"Reorder","Okay")</f>
        <v>Okay</v>
      </c>
    </row>
    <row r="390" spans="1:15" x14ac:dyDescent="0.3">
      <c r="A390">
        <v>30022</v>
      </c>
      <c r="B390" t="s">
        <v>11</v>
      </c>
      <c r="C390" t="s">
        <v>27</v>
      </c>
      <c r="D390">
        <v>155</v>
      </c>
      <c r="E390">
        <v>30</v>
      </c>
      <c r="F390">
        <v>403.35</v>
      </c>
      <c r="G390" t="s">
        <v>32</v>
      </c>
      <c r="H390" s="1">
        <v>45507</v>
      </c>
      <c r="I390" s="1">
        <v>45513</v>
      </c>
      <c r="J390" t="s">
        <v>39</v>
      </c>
      <c r="K390" t="b">
        <f>Table1[[#This Row],[CurrentStock]]&lt;Table1[[#This Row],[ReorderLevel]]</f>
        <v>0</v>
      </c>
      <c r="L390" s="9">
        <f>Table1[[#This Row],[CurrentStock]]*Table1[[#This Row],[UnitPrice]]</f>
        <v>62519.25</v>
      </c>
      <c r="M390" t="str">
        <f>IF(Table1[[#This Row],[ReorderLevel]]-Table1[[#This Row],[CurrentStock]]&gt;0,Table1[[#This Row],[ReorderLevel]]-Table1[[#This Row],[CurrentStock]],"")</f>
        <v/>
      </c>
      <c r="N390" t="str">
        <f>IF(Table1[[#This Row],[CurrentStock]]&gt;Table1[[#This Row],[ReorderLevel]]*3,"Over Stock","Okay")</f>
        <v>Over Stock</v>
      </c>
      <c r="O390" t="str">
        <f>IF(Table1[[#This Row],[CurrentStock]]&lt;Table1[[#This Row],[ReorderLevel]],"Reorder","Okay")</f>
        <v>Okay</v>
      </c>
    </row>
    <row r="391" spans="1:15" x14ac:dyDescent="0.3">
      <c r="A391">
        <v>78323</v>
      </c>
      <c r="B391" t="s">
        <v>16</v>
      </c>
      <c r="C391" t="s">
        <v>30</v>
      </c>
      <c r="D391">
        <v>376</v>
      </c>
      <c r="E391">
        <v>80</v>
      </c>
      <c r="F391">
        <v>243.04</v>
      </c>
      <c r="G391" t="s">
        <v>35</v>
      </c>
      <c r="H391" s="1">
        <v>45432</v>
      </c>
      <c r="I391" s="1">
        <v>45446</v>
      </c>
      <c r="J391" t="s">
        <v>39</v>
      </c>
      <c r="K391" t="b">
        <f>Table1[[#This Row],[CurrentStock]]&lt;Table1[[#This Row],[ReorderLevel]]</f>
        <v>0</v>
      </c>
      <c r="L391" s="9">
        <f>Table1[[#This Row],[CurrentStock]]*Table1[[#This Row],[UnitPrice]]</f>
        <v>91383.039999999994</v>
      </c>
      <c r="M391" t="str">
        <f>IF(Table1[[#This Row],[ReorderLevel]]-Table1[[#This Row],[CurrentStock]]&gt;0,Table1[[#This Row],[ReorderLevel]]-Table1[[#This Row],[CurrentStock]],"")</f>
        <v/>
      </c>
      <c r="N391" t="str">
        <f>IF(Table1[[#This Row],[CurrentStock]]&gt;Table1[[#This Row],[ReorderLevel]]*3,"Over Stock","Okay")</f>
        <v>Over Stock</v>
      </c>
      <c r="O391" t="str">
        <f>IF(Table1[[#This Row],[CurrentStock]]&lt;Table1[[#This Row],[ReorderLevel]],"Reorder","Okay")</f>
        <v>Okay</v>
      </c>
    </row>
    <row r="392" spans="1:15" x14ac:dyDescent="0.3">
      <c r="A392">
        <v>95744</v>
      </c>
      <c r="B392" t="s">
        <v>15</v>
      </c>
      <c r="C392" t="s">
        <v>29</v>
      </c>
      <c r="D392">
        <v>498</v>
      </c>
      <c r="E392">
        <v>20</v>
      </c>
      <c r="F392">
        <v>27.23</v>
      </c>
      <c r="G392" t="s">
        <v>32</v>
      </c>
      <c r="H392" s="1">
        <v>45384</v>
      </c>
      <c r="I392" s="1">
        <v>45395</v>
      </c>
      <c r="J392" t="s">
        <v>37</v>
      </c>
      <c r="K392" t="b">
        <f>Table1[[#This Row],[CurrentStock]]&lt;Table1[[#This Row],[ReorderLevel]]</f>
        <v>0</v>
      </c>
      <c r="L392" s="9">
        <f>Table1[[#This Row],[CurrentStock]]*Table1[[#This Row],[UnitPrice]]</f>
        <v>13560.54</v>
      </c>
      <c r="M392" t="str">
        <f>IF(Table1[[#This Row],[ReorderLevel]]-Table1[[#This Row],[CurrentStock]]&gt;0,Table1[[#This Row],[ReorderLevel]]-Table1[[#This Row],[CurrentStock]],"")</f>
        <v/>
      </c>
      <c r="N392" t="str">
        <f>IF(Table1[[#This Row],[CurrentStock]]&gt;Table1[[#This Row],[ReorderLevel]]*3,"Over Stock","Okay")</f>
        <v>Over Stock</v>
      </c>
      <c r="O392" t="str">
        <f>IF(Table1[[#This Row],[CurrentStock]]&lt;Table1[[#This Row],[ReorderLevel]],"Reorder","Okay")</f>
        <v>Okay</v>
      </c>
    </row>
    <row r="393" spans="1:15" x14ac:dyDescent="0.3">
      <c r="A393">
        <v>63521</v>
      </c>
      <c r="B393" t="s">
        <v>13</v>
      </c>
      <c r="C393" t="s">
        <v>29</v>
      </c>
      <c r="D393">
        <v>112</v>
      </c>
      <c r="E393">
        <v>150</v>
      </c>
      <c r="F393">
        <v>290.68</v>
      </c>
      <c r="G393" t="s">
        <v>36</v>
      </c>
      <c r="H393" s="1">
        <v>45497</v>
      </c>
      <c r="I393" s="1">
        <v>45518</v>
      </c>
      <c r="J393" t="s">
        <v>37</v>
      </c>
      <c r="K393" t="b">
        <f>Table1[[#This Row],[CurrentStock]]&lt;Table1[[#This Row],[ReorderLevel]]</f>
        <v>1</v>
      </c>
      <c r="L393" s="9">
        <f>Table1[[#This Row],[CurrentStock]]*Table1[[#This Row],[UnitPrice]]</f>
        <v>32556.16</v>
      </c>
      <c r="M393">
        <f>IF(Table1[[#This Row],[ReorderLevel]]-Table1[[#This Row],[CurrentStock]]&gt;0,Table1[[#This Row],[ReorderLevel]]-Table1[[#This Row],[CurrentStock]],"")</f>
        <v>38</v>
      </c>
      <c r="N393" t="str">
        <f>IF(Table1[[#This Row],[CurrentStock]]&gt;Table1[[#This Row],[ReorderLevel]]*3,"Over Stock","Okay")</f>
        <v>Okay</v>
      </c>
      <c r="O393" t="str">
        <f>IF(Table1[[#This Row],[CurrentStock]]&lt;Table1[[#This Row],[ReorderLevel]],"Reorder","Okay")</f>
        <v>Reorder</v>
      </c>
    </row>
    <row r="394" spans="1:15" x14ac:dyDescent="0.3">
      <c r="A394">
        <v>25417</v>
      </c>
      <c r="B394" t="s">
        <v>10</v>
      </c>
      <c r="C394" t="s">
        <v>27</v>
      </c>
      <c r="D394">
        <v>90</v>
      </c>
      <c r="E394">
        <v>30</v>
      </c>
      <c r="F394">
        <v>330.03</v>
      </c>
      <c r="G394" t="s">
        <v>33</v>
      </c>
      <c r="H394" s="1">
        <v>45405</v>
      </c>
      <c r="I394" s="1">
        <v>45410</v>
      </c>
      <c r="J394" t="s">
        <v>37</v>
      </c>
      <c r="K394" t="b">
        <f>Table1[[#This Row],[CurrentStock]]&lt;Table1[[#This Row],[ReorderLevel]]</f>
        <v>0</v>
      </c>
      <c r="L394" s="9">
        <f>Table1[[#This Row],[CurrentStock]]*Table1[[#This Row],[UnitPrice]]</f>
        <v>29702.699999999997</v>
      </c>
      <c r="M394" t="str">
        <f>IF(Table1[[#This Row],[ReorderLevel]]-Table1[[#This Row],[CurrentStock]]&gt;0,Table1[[#This Row],[ReorderLevel]]-Table1[[#This Row],[CurrentStock]],"")</f>
        <v/>
      </c>
      <c r="N394" t="str">
        <f>IF(Table1[[#This Row],[CurrentStock]]&gt;Table1[[#This Row],[ReorderLevel]]*3,"Over Stock","Okay")</f>
        <v>Okay</v>
      </c>
      <c r="O394" t="str">
        <f>IF(Table1[[#This Row],[CurrentStock]]&lt;Table1[[#This Row],[ReorderLevel]],"Reorder","Okay")</f>
        <v>Okay</v>
      </c>
    </row>
    <row r="395" spans="1:15" x14ac:dyDescent="0.3">
      <c r="A395">
        <v>44681</v>
      </c>
      <c r="B395" t="s">
        <v>11</v>
      </c>
      <c r="C395" t="s">
        <v>27</v>
      </c>
      <c r="D395">
        <v>342</v>
      </c>
      <c r="E395">
        <v>30</v>
      </c>
      <c r="F395">
        <v>420.71</v>
      </c>
      <c r="G395" t="s">
        <v>35</v>
      </c>
      <c r="H395" s="1">
        <v>45332</v>
      </c>
      <c r="I395" s="1">
        <v>45341</v>
      </c>
      <c r="J395" t="s">
        <v>37</v>
      </c>
      <c r="K395" t="b">
        <f>Table1[[#This Row],[CurrentStock]]&lt;Table1[[#This Row],[ReorderLevel]]</f>
        <v>0</v>
      </c>
      <c r="L395" s="9">
        <f>Table1[[#This Row],[CurrentStock]]*Table1[[#This Row],[UnitPrice]]</f>
        <v>143882.82</v>
      </c>
      <c r="M395" t="str">
        <f>IF(Table1[[#This Row],[ReorderLevel]]-Table1[[#This Row],[CurrentStock]]&gt;0,Table1[[#This Row],[ReorderLevel]]-Table1[[#This Row],[CurrentStock]],"")</f>
        <v/>
      </c>
      <c r="N395" t="str">
        <f>IF(Table1[[#This Row],[CurrentStock]]&gt;Table1[[#This Row],[ReorderLevel]]*3,"Over Stock","Okay")</f>
        <v>Over Stock</v>
      </c>
      <c r="O395" t="str">
        <f>IF(Table1[[#This Row],[CurrentStock]]&lt;Table1[[#This Row],[ReorderLevel]],"Reorder","Okay")</f>
        <v>Okay</v>
      </c>
    </row>
    <row r="396" spans="1:15" x14ac:dyDescent="0.3">
      <c r="A396">
        <v>12871</v>
      </c>
      <c r="B396" t="s">
        <v>24</v>
      </c>
      <c r="C396" t="s">
        <v>31</v>
      </c>
      <c r="D396">
        <v>424</v>
      </c>
      <c r="E396">
        <v>80</v>
      </c>
      <c r="F396">
        <v>218.53</v>
      </c>
      <c r="G396" t="s">
        <v>32</v>
      </c>
      <c r="H396" s="1">
        <v>45547</v>
      </c>
      <c r="I396" s="1">
        <v>45562</v>
      </c>
      <c r="J396" t="s">
        <v>37</v>
      </c>
      <c r="K396" t="b">
        <f>Table1[[#This Row],[CurrentStock]]&lt;Table1[[#This Row],[ReorderLevel]]</f>
        <v>0</v>
      </c>
      <c r="L396" s="9">
        <f>Table1[[#This Row],[CurrentStock]]*Table1[[#This Row],[UnitPrice]]</f>
        <v>92656.72</v>
      </c>
      <c r="M396" t="str">
        <f>IF(Table1[[#This Row],[ReorderLevel]]-Table1[[#This Row],[CurrentStock]]&gt;0,Table1[[#This Row],[ReorderLevel]]-Table1[[#This Row],[CurrentStock]],"")</f>
        <v/>
      </c>
      <c r="N396" t="str">
        <f>IF(Table1[[#This Row],[CurrentStock]]&gt;Table1[[#This Row],[ReorderLevel]]*3,"Over Stock","Okay")</f>
        <v>Over Stock</v>
      </c>
      <c r="O396" t="str">
        <f>IF(Table1[[#This Row],[CurrentStock]]&lt;Table1[[#This Row],[ReorderLevel]],"Reorder","Okay")</f>
        <v>Okay</v>
      </c>
    </row>
    <row r="397" spans="1:15" x14ac:dyDescent="0.3">
      <c r="A397">
        <v>55607</v>
      </c>
      <c r="B397" t="s">
        <v>15</v>
      </c>
      <c r="C397" t="s">
        <v>29</v>
      </c>
      <c r="D397">
        <v>370</v>
      </c>
      <c r="E397">
        <v>40</v>
      </c>
      <c r="F397">
        <v>76.19</v>
      </c>
      <c r="G397" t="s">
        <v>36</v>
      </c>
      <c r="H397" s="1">
        <v>45490</v>
      </c>
      <c r="I397" s="1">
        <v>45501</v>
      </c>
      <c r="J397" t="s">
        <v>37</v>
      </c>
      <c r="K397" t="b">
        <f>Table1[[#This Row],[CurrentStock]]&lt;Table1[[#This Row],[ReorderLevel]]</f>
        <v>0</v>
      </c>
      <c r="L397" s="9">
        <f>Table1[[#This Row],[CurrentStock]]*Table1[[#This Row],[UnitPrice]]</f>
        <v>28190.3</v>
      </c>
      <c r="M397" t="str">
        <f>IF(Table1[[#This Row],[ReorderLevel]]-Table1[[#This Row],[CurrentStock]]&gt;0,Table1[[#This Row],[ReorderLevel]]-Table1[[#This Row],[CurrentStock]],"")</f>
        <v/>
      </c>
      <c r="N397" t="str">
        <f>IF(Table1[[#This Row],[CurrentStock]]&gt;Table1[[#This Row],[ReorderLevel]]*3,"Over Stock","Okay")</f>
        <v>Over Stock</v>
      </c>
      <c r="O397" t="str">
        <f>IF(Table1[[#This Row],[CurrentStock]]&lt;Table1[[#This Row],[ReorderLevel]],"Reorder","Okay")</f>
        <v>Okay</v>
      </c>
    </row>
    <row r="398" spans="1:15" x14ac:dyDescent="0.3">
      <c r="A398">
        <v>49464</v>
      </c>
      <c r="B398" t="s">
        <v>22</v>
      </c>
      <c r="C398" t="s">
        <v>27</v>
      </c>
      <c r="D398">
        <v>361</v>
      </c>
      <c r="E398">
        <v>50</v>
      </c>
      <c r="F398">
        <v>251.28</v>
      </c>
      <c r="G398" t="s">
        <v>32</v>
      </c>
      <c r="H398" s="1">
        <v>45407</v>
      </c>
      <c r="I398" s="1">
        <v>45440</v>
      </c>
      <c r="J398" t="s">
        <v>38</v>
      </c>
      <c r="K398" t="b">
        <f>Table1[[#This Row],[CurrentStock]]&lt;Table1[[#This Row],[ReorderLevel]]</f>
        <v>0</v>
      </c>
      <c r="L398" s="9">
        <f>Table1[[#This Row],[CurrentStock]]*Table1[[#This Row],[UnitPrice]]</f>
        <v>90712.08</v>
      </c>
      <c r="M398" t="str">
        <f>IF(Table1[[#This Row],[ReorderLevel]]-Table1[[#This Row],[CurrentStock]]&gt;0,Table1[[#This Row],[ReorderLevel]]-Table1[[#This Row],[CurrentStock]],"")</f>
        <v/>
      </c>
      <c r="N398" t="str">
        <f>IF(Table1[[#This Row],[CurrentStock]]&gt;Table1[[#This Row],[ReorderLevel]]*3,"Over Stock","Okay")</f>
        <v>Over Stock</v>
      </c>
      <c r="O398" t="str">
        <f>IF(Table1[[#This Row],[CurrentStock]]&lt;Table1[[#This Row],[ReorderLevel]],"Reorder","Okay")</f>
        <v>Okay</v>
      </c>
    </row>
    <row r="399" spans="1:15" x14ac:dyDescent="0.3">
      <c r="A399">
        <v>55095</v>
      </c>
      <c r="B399" t="s">
        <v>14</v>
      </c>
      <c r="C399" t="s">
        <v>27</v>
      </c>
      <c r="D399">
        <v>474</v>
      </c>
      <c r="E399">
        <v>50</v>
      </c>
      <c r="F399">
        <v>151.13999999999999</v>
      </c>
      <c r="G399" t="s">
        <v>36</v>
      </c>
      <c r="H399" s="1">
        <v>45486</v>
      </c>
      <c r="I399" s="1">
        <v>45514</v>
      </c>
      <c r="J399" t="s">
        <v>39</v>
      </c>
      <c r="K399" t="b">
        <f>Table1[[#This Row],[CurrentStock]]&lt;Table1[[#This Row],[ReorderLevel]]</f>
        <v>0</v>
      </c>
      <c r="L399" s="9">
        <f>Table1[[#This Row],[CurrentStock]]*Table1[[#This Row],[UnitPrice]]</f>
        <v>71640.36</v>
      </c>
      <c r="M399" t="str">
        <f>IF(Table1[[#This Row],[ReorderLevel]]-Table1[[#This Row],[CurrentStock]]&gt;0,Table1[[#This Row],[ReorderLevel]]-Table1[[#This Row],[CurrentStock]],"")</f>
        <v/>
      </c>
      <c r="N399" t="str">
        <f>IF(Table1[[#This Row],[CurrentStock]]&gt;Table1[[#This Row],[ReorderLevel]]*3,"Over Stock","Okay")</f>
        <v>Over Stock</v>
      </c>
      <c r="O399" t="str">
        <f>IF(Table1[[#This Row],[CurrentStock]]&lt;Table1[[#This Row],[ReorderLevel]],"Reorder","Okay")</f>
        <v>Okay</v>
      </c>
    </row>
    <row r="400" spans="1:15" x14ac:dyDescent="0.3">
      <c r="A400">
        <v>17415</v>
      </c>
      <c r="B400" t="s">
        <v>17</v>
      </c>
      <c r="C400" t="s">
        <v>30</v>
      </c>
      <c r="D400">
        <v>23</v>
      </c>
      <c r="E400">
        <v>30</v>
      </c>
      <c r="F400">
        <v>413.27</v>
      </c>
      <c r="G400" t="s">
        <v>34</v>
      </c>
      <c r="H400" s="1">
        <v>45581</v>
      </c>
      <c r="I400" s="1">
        <v>45608</v>
      </c>
      <c r="J400" t="s">
        <v>38</v>
      </c>
      <c r="K400" t="b">
        <f>Table1[[#This Row],[CurrentStock]]&lt;Table1[[#This Row],[ReorderLevel]]</f>
        <v>1</v>
      </c>
      <c r="L400" s="9">
        <f>Table1[[#This Row],[CurrentStock]]*Table1[[#This Row],[UnitPrice]]</f>
        <v>9505.2099999999991</v>
      </c>
      <c r="M400">
        <f>IF(Table1[[#This Row],[ReorderLevel]]-Table1[[#This Row],[CurrentStock]]&gt;0,Table1[[#This Row],[ReorderLevel]]-Table1[[#This Row],[CurrentStock]],"")</f>
        <v>7</v>
      </c>
      <c r="N400" t="str">
        <f>IF(Table1[[#This Row],[CurrentStock]]&gt;Table1[[#This Row],[ReorderLevel]]*3,"Over Stock","Okay")</f>
        <v>Okay</v>
      </c>
      <c r="O400" t="str">
        <f>IF(Table1[[#This Row],[CurrentStock]]&lt;Table1[[#This Row],[ReorderLevel]],"Reorder","Okay")</f>
        <v>Reorder</v>
      </c>
    </row>
    <row r="401" spans="1:15" x14ac:dyDescent="0.3">
      <c r="A401">
        <v>44148</v>
      </c>
      <c r="B401" t="s">
        <v>26</v>
      </c>
      <c r="C401" t="s">
        <v>30</v>
      </c>
      <c r="D401">
        <v>350</v>
      </c>
      <c r="E401">
        <v>100</v>
      </c>
      <c r="F401">
        <v>275.62</v>
      </c>
      <c r="G401" t="s">
        <v>35</v>
      </c>
      <c r="H401" s="1">
        <v>45460</v>
      </c>
      <c r="I401" s="1">
        <v>45470</v>
      </c>
      <c r="J401" t="s">
        <v>39</v>
      </c>
      <c r="K401" t="b">
        <f>Table1[[#This Row],[CurrentStock]]&lt;Table1[[#This Row],[ReorderLevel]]</f>
        <v>0</v>
      </c>
      <c r="L401" s="9">
        <f>Table1[[#This Row],[CurrentStock]]*Table1[[#This Row],[UnitPrice]]</f>
        <v>96467</v>
      </c>
      <c r="M401" t="str">
        <f>IF(Table1[[#This Row],[ReorderLevel]]-Table1[[#This Row],[CurrentStock]]&gt;0,Table1[[#This Row],[ReorderLevel]]-Table1[[#This Row],[CurrentStock]],"")</f>
        <v/>
      </c>
      <c r="N401" t="str">
        <f>IF(Table1[[#This Row],[CurrentStock]]&gt;Table1[[#This Row],[ReorderLevel]]*3,"Over Stock","Okay")</f>
        <v>Over Stock</v>
      </c>
      <c r="O401" t="str">
        <f>IF(Table1[[#This Row],[CurrentStock]]&lt;Table1[[#This Row],[ReorderLevel]],"Reorder","Okay")</f>
        <v>Okay</v>
      </c>
    </row>
    <row r="402" spans="1:15" x14ac:dyDescent="0.3">
      <c r="A402">
        <v>87787</v>
      </c>
      <c r="B402" t="s">
        <v>26</v>
      </c>
      <c r="C402" t="s">
        <v>30</v>
      </c>
      <c r="D402">
        <v>211</v>
      </c>
      <c r="E402">
        <v>40</v>
      </c>
      <c r="F402">
        <v>441.95</v>
      </c>
      <c r="G402" t="s">
        <v>34</v>
      </c>
      <c r="H402" s="1">
        <v>45633</v>
      </c>
      <c r="I402" s="1">
        <v>45641</v>
      </c>
      <c r="J402" t="s">
        <v>39</v>
      </c>
      <c r="K402" t="b">
        <f>Table1[[#This Row],[CurrentStock]]&lt;Table1[[#This Row],[ReorderLevel]]</f>
        <v>0</v>
      </c>
      <c r="L402" s="9">
        <f>Table1[[#This Row],[CurrentStock]]*Table1[[#This Row],[UnitPrice]]</f>
        <v>93251.45</v>
      </c>
      <c r="M402" t="str">
        <f>IF(Table1[[#This Row],[ReorderLevel]]-Table1[[#This Row],[CurrentStock]]&gt;0,Table1[[#This Row],[ReorderLevel]]-Table1[[#This Row],[CurrentStock]],"")</f>
        <v/>
      </c>
      <c r="N402" t="str">
        <f>IF(Table1[[#This Row],[CurrentStock]]&gt;Table1[[#This Row],[ReorderLevel]]*3,"Over Stock","Okay")</f>
        <v>Over Stock</v>
      </c>
      <c r="O402" t="str">
        <f>IF(Table1[[#This Row],[CurrentStock]]&lt;Table1[[#This Row],[ReorderLevel]],"Reorder","Okay")</f>
        <v>Okay</v>
      </c>
    </row>
    <row r="403" spans="1:15" x14ac:dyDescent="0.3">
      <c r="A403">
        <v>45517</v>
      </c>
      <c r="B403" t="s">
        <v>13</v>
      </c>
      <c r="C403" t="s">
        <v>29</v>
      </c>
      <c r="D403">
        <v>419</v>
      </c>
      <c r="E403">
        <v>150</v>
      </c>
      <c r="F403">
        <v>210.89</v>
      </c>
      <c r="G403" t="s">
        <v>36</v>
      </c>
      <c r="H403" s="1">
        <v>45634</v>
      </c>
      <c r="I403" s="1">
        <v>45668</v>
      </c>
      <c r="J403" t="s">
        <v>37</v>
      </c>
      <c r="K403" t="b">
        <f>Table1[[#This Row],[CurrentStock]]&lt;Table1[[#This Row],[ReorderLevel]]</f>
        <v>0</v>
      </c>
      <c r="L403" s="9">
        <f>Table1[[#This Row],[CurrentStock]]*Table1[[#This Row],[UnitPrice]]</f>
        <v>88362.909999999989</v>
      </c>
      <c r="M403" t="str">
        <f>IF(Table1[[#This Row],[ReorderLevel]]-Table1[[#This Row],[CurrentStock]]&gt;0,Table1[[#This Row],[ReorderLevel]]-Table1[[#This Row],[CurrentStock]],"")</f>
        <v/>
      </c>
      <c r="N403" t="str">
        <f>IF(Table1[[#This Row],[CurrentStock]]&gt;Table1[[#This Row],[ReorderLevel]]*3,"Over Stock","Okay")</f>
        <v>Okay</v>
      </c>
      <c r="O403" t="str">
        <f>IF(Table1[[#This Row],[CurrentStock]]&lt;Table1[[#This Row],[ReorderLevel]],"Reorder","Okay")</f>
        <v>Okay</v>
      </c>
    </row>
    <row r="404" spans="1:15" x14ac:dyDescent="0.3">
      <c r="A404">
        <v>37127</v>
      </c>
      <c r="B404" t="s">
        <v>13</v>
      </c>
      <c r="C404" t="s">
        <v>29</v>
      </c>
      <c r="D404">
        <v>205</v>
      </c>
      <c r="E404">
        <v>20</v>
      </c>
      <c r="F404">
        <v>188.62</v>
      </c>
      <c r="G404" t="s">
        <v>36</v>
      </c>
      <c r="H404" s="1">
        <v>45338</v>
      </c>
      <c r="I404" s="1">
        <v>45358</v>
      </c>
      <c r="J404" t="s">
        <v>39</v>
      </c>
      <c r="K404" t="b">
        <f>Table1[[#This Row],[CurrentStock]]&lt;Table1[[#This Row],[ReorderLevel]]</f>
        <v>0</v>
      </c>
      <c r="L404" s="9">
        <f>Table1[[#This Row],[CurrentStock]]*Table1[[#This Row],[UnitPrice]]</f>
        <v>38667.1</v>
      </c>
      <c r="M404" t="str">
        <f>IF(Table1[[#This Row],[ReorderLevel]]-Table1[[#This Row],[CurrentStock]]&gt;0,Table1[[#This Row],[ReorderLevel]]-Table1[[#This Row],[CurrentStock]],"")</f>
        <v/>
      </c>
      <c r="N404" t="str">
        <f>IF(Table1[[#This Row],[CurrentStock]]&gt;Table1[[#This Row],[ReorderLevel]]*3,"Over Stock","Okay")</f>
        <v>Over Stock</v>
      </c>
      <c r="O404" t="str">
        <f>IF(Table1[[#This Row],[CurrentStock]]&lt;Table1[[#This Row],[ReorderLevel]],"Reorder","Okay")</f>
        <v>Okay</v>
      </c>
    </row>
    <row r="405" spans="1:15" x14ac:dyDescent="0.3">
      <c r="A405">
        <v>40881</v>
      </c>
      <c r="B405" t="s">
        <v>17</v>
      </c>
      <c r="C405" t="s">
        <v>30</v>
      </c>
      <c r="D405">
        <v>240</v>
      </c>
      <c r="E405">
        <v>40</v>
      </c>
      <c r="F405">
        <v>210.16</v>
      </c>
      <c r="G405" t="s">
        <v>35</v>
      </c>
      <c r="H405" s="1">
        <v>45493</v>
      </c>
      <c r="I405" s="1">
        <v>45529</v>
      </c>
      <c r="J405" t="s">
        <v>37</v>
      </c>
      <c r="K405" t="b">
        <f>Table1[[#This Row],[CurrentStock]]&lt;Table1[[#This Row],[ReorderLevel]]</f>
        <v>0</v>
      </c>
      <c r="L405" s="9">
        <f>Table1[[#This Row],[CurrentStock]]*Table1[[#This Row],[UnitPrice]]</f>
        <v>50438.400000000001</v>
      </c>
      <c r="M405" t="str">
        <f>IF(Table1[[#This Row],[ReorderLevel]]-Table1[[#This Row],[CurrentStock]]&gt;0,Table1[[#This Row],[ReorderLevel]]-Table1[[#This Row],[CurrentStock]],"")</f>
        <v/>
      </c>
      <c r="N405" t="str">
        <f>IF(Table1[[#This Row],[CurrentStock]]&gt;Table1[[#This Row],[ReorderLevel]]*3,"Over Stock","Okay")</f>
        <v>Over Stock</v>
      </c>
      <c r="O405" t="str">
        <f>IF(Table1[[#This Row],[CurrentStock]]&lt;Table1[[#This Row],[ReorderLevel]],"Reorder","Okay")</f>
        <v>Okay</v>
      </c>
    </row>
    <row r="406" spans="1:15" x14ac:dyDescent="0.3">
      <c r="A406">
        <v>21156</v>
      </c>
      <c r="B406" t="s">
        <v>15</v>
      </c>
      <c r="C406" t="s">
        <v>29</v>
      </c>
      <c r="D406">
        <v>213</v>
      </c>
      <c r="E406">
        <v>20</v>
      </c>
      <c r="F406">
        <v>184.05</v>
      </c>
      <c r="G406" t="s">
        <v>36</v>
      </c>
      <c r="H406" s="1">
        <v>45339</v>
      </c>
      <c r="I406" s="1">
        <v>45368</v>
      </c>
      <c r="J406" t="s">
        <v>39</v>
      </c>
      <c r="K406" t="b">
        <f>Table1[[#This Row],[CurrentStock]]&lt;Table1[[#This Row],[ReorderLevel]]</f>
        <v>0</v>
      </c>
      <c r="L406" s="9">
        <f>Table1[[#This Row],[CurrentStock]]*Table1[[#This Row],[UnitPrice]]</f>
        <v>39202.65</v>
      </c>
      <c r="M406" t="str">
        <f>IF(Table1[[#This Row],[ReorderLevel]]-Table1[[#This Row],[CurrentStock]]&gt;0,Table1[[#This Row],[ReorderLevel]]-Table1[[#This Row],[CurrentStock]],"")</f>
        <v/>
      </c>
      <c r="N406" t="str">
        <f>IF(Table1[[#This Row],[CurrentStock]]&gt;Table1[[#This Row],[ReorderLevel]]*3,"Over Stock","Okay")</f>
        <v>Over Stock</v>
      </c>
      <c r="O406" t="str">
        <f>IF(Table1[[#This Row],[CurrentStock]]&lt;Table1[[#This Row],[ReorderLevel]],"Reorder","Okay")</f>
        <v>Okay</v>
      </c>
    </row>
    <row r="407" spans="1:15" x14ac:dyDescent="0.3">
      <c r="A407">
        <v>30583</v>
      </c>
      <c r="B407" t="s">
        <v>18</v>
      </c>
      <c r="C407" t="s">
        <v>28</v>
      </c>
      <c r="D407">
        <v>190</v>
      </c>
      <c r="E407">
        <v>20</v>
      </c>
      <c r="F407">
        <v>90.18</v>
      </c>
      <c r="G407" t="s">
        <v>32</v>
      </c>
      <c r="H407" s="1">
        <v>45372</v>
      </c>
      <c r="I407" s="1">
        <v>45400</v>
      </c>
      <c r="J407" t="s">
        <v>39</v>
      </c>
      <c r="K407" t="b">
        <f>Table1[[#This Row],[CurrentStock]]&lt;Table1[[#This Row],[ReorderLevel]]</f>
        <v>0</v>
      </c>
      <c r="L407" s="9">
        <f>Table1[[#This Row],[CurrentStock]]*Table1[[#This Row],[UnitPrice]]</f>
        <v>17134.2</v>
      </c>
      <c r="M407" t="str">
        <f>IF(Table1[[#This Row],[ReorderLevel]]-Table1[[#This Row],[CurrentStock]]&gt;0,Table1[[#This Row],[ReorderLevel]]-Table1[[#This Row],[CurrentStock]],"")</f>
        <v/>
      </c>
      <c r="N407" t="str">
        <f>IF(Table1[[#This Row],[CurrentStock]]&gt;Table1[[#This Row],[ReorderLevel]]*3,"Over Stock","Okay")</f>
        <v>Over Stock</v>
      </c>
      <c r="O407" t="str">
        <f>IF(Table1[[#This Row],[CurrentStock]]&lt;Table1[[#This Row],[ReorderLevel]],"Reorder","Okay")</f>
        <v>Okay</v>
      </c>
    </row>
    <row r="408" spans="1:15" x14ac:dyDescent="0.3">
      <c r="A408">
        <v>29873</v>
      </c>
      <c r="B408" t="s">
        <v>19</v>
      </c>
      <c r="C408" t="s">
        <v>28</v>
      </c>
      <c r="D408">
        <v>406</v>
      </c>
      <c r="E408">
        <v>30</v>
      </c>
      <c r="F408">
        <v>365.85</v>
      </c>
      <c r="G408" t="s">
        <v>32</v>
      </c>
      <c r="H408" s="1">
        <v>45417</v>
      </c>
      <c r="I408" s="1">
        <v>45438</v>
      </c>
      <c r="J408" t="s">
        <v>37</v>
      </c>
      <c r="K408" t="b">
        <f>Table1[[#This Row],[CurrentStock]]&lt;Table1[[#This Row],[ReorderLevel]]</f>
        <v>0</v>
      </c>
      <c r="L408" s="9">
        <f>Table1[[#This Row],[CurrentStock]]*Table1[[#This Row],[UnitPrice]]</f>
        <v>148535.1</v>
      </c>
      <c r="M408" t="str">
        <f>IF(Table1[[#This Row],[ReorderLevel]]-Table1[[#This Row],[CurrentStock]]&gt;0,Table1[[#This Row],[ReorderLevel]]-Table1[[#This Row],[CurrentStock]],"")</f>
        <v/>
      </c>
      <c r="N408" t="str">
        <f>IF(Table1[[#This Row],[CurrentStock]]&gt;Table1[[#This Row],[ReorderLevel]]*3,"Over Stock","Okay")</f>
        <v>Over Stock</v>
      </c>
      <c r="O408" t="str">
        <f>IF(Table1[[#This Row],[CurrentStock]]&lt;Table1[[#This Row],[ReorderLevel]],"Reorder","Okay")</f>
        <v>Okay</v>
      </c>
    </row>
    <row r="409" spans="1:15" x14ac:dyDescent="0.3">
      <c r="A409">
        <v>46176</v>
      </c>
      <c r="B409" t="s">
        <v>26</v>
      </c>
      <c r="C409" t="s">
        <v>30</v>
      </c>
      <c r="D409">
        <v>140</v>
      </c>
      <c r="E409">
        <v>100</v>
      </c>
      <c r="F409">
        <v>171.13</v>
      </c>
      <c r="G409" t="s">
        <v>35</v>
      </c>
      <c r="H409" s="1">
        <v>45599</v>
      </c>
      <c r="I409" s="1">
        <v>45606</v>
      </c>
      <c r="J409" t="s">
        <v>38</v>
      </c>
      <c r="K409" t="b">
        <f>Table1[[#This Row],[CurrentStock]]&lt;Table1[[#This Row],[ReorderLevel]]</f>
        <v>0</v>
      </c>
      <c r="L409" s="9">
        <f>Table1[[#This Row],[CurrentStock]]*Table1[[#This Row],[UnitPrice]]</f>
        <v>23958.2</v>
      </c>
      <c r="M409" t="str">
        <f>IF(Table1[[#This Row],[ReorderLevel]]-Table1[[#This Row],[CurrentStock]]&gt;0,Table1[[#This Row],[ReorderLevel]]-Table1[[#This Row],[CurrentStock]],"")</f>
        <v/>
      </c>
      <c r="N409" t="str">
        <f>IF(Table1[[#This Row],[CurrentStock]]&gt;Table1[[#This Row],[ReorderLevel]]*3,"Over Stock","Okay")</f>
        <v>Okay</v>
      </c>
      <c r="O409" t="str">
        <f>IF(Table1[[#This Row],[CurrentStock]]&lt;Table1[[#This Row],[ReorderLevel]],"Reorder","Okay")</f>
        <v>Okay</v>
      </c>
    </row>
    <row r="410" spans="1:15" x14ac:dyDescent="0.3">
      <c r="A410">
        <v>43919</v>
      </c>
      <c r="B410" t="s">
        <v>16</v>
      </c>
      <c r="C410" t="s">
        <v>30</v>
      </c>
      <c r="D410">
        <v>191</v>
      </c>
      <c r="E410">
        <v>20</v>
      </c>
      <c r="F410">
        <v>159.43</v>
      </c>
      <c r="G410" t="s">
        <v>34</v>
      </c>
      <c r="H410" s="1">
        <v>45562</v>
      </c>
      <c r="I410" s="1">
        <v>45598</v>
      </c>
      <c r="J410" t="s">
        <v>39</v>
      </c>
      <c r="K410" t="b">
        <f>Table1[[#This Row],[CurrentStock]]&lt;Table1[[#This Row],[ReorderLevel]]</f>
        <v>0</v>
      </c>
      <c r="L410" s="9">
        <f>Table1[[#This Row],[CurrentStock]]*Table1[[#This Row],[UnitPrice]]</f>
        <v>30451.13</v>
      </c>
      <c r="M410" t="str">
        <f>IF(Table1[[#This Row],[ReorderLevel]]-Table1[[#This Row],[CurrentStock]]&gt;0,Table1[[#This Row],[ReorderLevel]]-Table1[[#This Row],[CurrentStock]],"")</f>
        <v/>
      </c>
      <c r="N410" t="str">
        <f>IF(Table1[[#This Row],[CurrentStock]]&gt;Table1[[#This Row],[ReorderLevel]]*3,"Over Stock","Okay")</f>
        <v>Over Stock</v>
      </c>
      <c r="O410" t="str">
        <f>IF(Table1[[#This Row],[CurrentStock]]&lt;Table1[[#This Row],[ReorderLevel]],"Reorder","Okay")</f>
        <v>Okay</v>
      </c>
    </row>
    <row r="411" spans="1:15" x14ac:dyDescent="0.3">
      <c r="A411">
        <v>60445</v>
      </c>
      <c r="B411" t="s">
        <v>19</v>
      </c>
      <c r="C411" t="s">
        <v>28</v>
      </c>
      <c r="D411">
        <v>42</v>
      </c>
      <c r="E411">
        <v>50</v>
      </c>
      <c r="F411">
        <v>66.569999999999993</v>
      </c>
      <c r="G411" t="s">
        <v>33</v>
      </c>
      <c r="H411" s="1">
        <v>45369</v>
      </c>
      <c r="I411" s="1">
        <v>45406</v>
      </c>
      <c r="J411" t="s">
        <v>37</v>
      </c>
      <c r="K411" t="b">
        <f>Table1[[#This Row],[CurrentStock]]&lt;Table1[[#This Row],[ReorderLevel]]</f>
        <v>1</v>
      </c>
      <c r="L411" s="9">
        <f>Table1[[#This Row],[CurrentStock]]*Table1[[#This Row],[UnitPrice]]</f>
        <v>2795.9399999999996</v>
      </c>
      <c r="M411">
        <f>IF(Table1[[#This Row],[ReorderLevel]]-Table1[[#This Row],[CurrentStock]]&gt;0,Table1[[#This Row],[ReorderLevel]]-Table1[[#This Row],[CurrentStock]],"")</f>
        <v>8</v>
      </c>
      <c r="N411" t="str">
        <f>IF(Table1[[#This Row],[CurrentStock]]&gt;Table1[[#This Row],[ReorderLevel]]*3,"Over Stock","Okay")</f>
        <v>Okay</v>
      </c>
      <c r="O411" t="str">
        <f>IF(Table1[[#This Row],[CurrentStock]]&lt;Table1[[#This Row],[ReorderLevel]],"Reorder","Okay")</f>
        <v>Reorder</v>
      </c>
    </row>
    <row r="412" spans="1:15" x14ac:dyDescent="0.3">
      <c r="A412">
        <v>28624</v>
      </c>
      <c r="B412" t="s">
        <v>11</v>
      </c>
      <c r="C412" t="s">
        <v>27</v>
      </c>
      <c r="D412">
        <v>314</v>
      </c>
      <c r="E412">
        <v>80</v>
      </c>
      <c r="F412">
        <v>409.48</v>
      </c>
      <c r="G412" t="s">
        <v>36</v>
      </c>
      <c r="H412" s="1">
        <v>45459</v>
      </c>
      <c r="I412" s="1">
        <v>45482</v>
      </c>
      <c r="J412" t="s">
        <v>38</v>
      </c>
      <c r="K412" t="b">
        <f>Table1[[#This Row],[CurrentStock]]&lt;Table1[[#This Row],[ReorderLevel]]</f>
        <v>0</v>
      </c>
      <c r="L412" s="9">
        <f>Table1[[#This Row],[CurrentStock]]*Table1[[#This Row],[UnitPrice]]</f>
        <v>128576.72</v>
      </c>
      <c r="M412" t="str">
        <f>IF(Table1[[#This Row],[ReorderLevel]]-Table1[[#This Row],[CurrentStock]]&gt;0,Table1[[#This Row],[ReorderLevel]]-Table1[[#This Row],[CurrentStock]],"")</f>
        <v/>
      </c>
      <c r="N412" t="str">
        <f>IF(Table1[[#This Row],[CurrentStock]]&gt;Table1[[#This Row],[ReorderLevel]]*3,"Over Stock","Okay")</f>
        <v>Over Stock</v>
      </c>
      <c r="O412" t="str">
        <f>IF(Table1[[#This Row],[CurrentStock]]&lt;Table1[[#This Row],[ReorderLevel]],"Reorder","Okay")</f>
        <v>Okay</v>
      </c>
    </row>
    <row r="413" spans="1:15" x14ac:dyDescent="0.3">
      <c r="A413">
        <v>14986</v>
      </c>
      <c r="B413" t="s">
        <v>17</v>
      </c>
      <c r="C413" t="s">
        <v>30</v>
      </c>
      <c r="D413">
        <v>319</v>
      </c>
      <c r="E413">
        <v>100</v>
      </c>
      <c r="F413">
        <v>278.58999999999997</v>
      </c>
      <c r="G413" t="s">
        <v>32</v>
      </c>
      <c r="H413" s="1">
        <v>45495</v>
      </c>
      <c r="I413" s="1">
        <v>45515</v>
      </c>
      <c r="J413" t="s">
        <v>39</v>
      </c>
      <c r="K413" t="b">
        <f>Table1[[#This Row],[CurrentStock]]&lt;Table1[[#This Row],[ReorderLevel]]</f>
        <v>0</v>
      </c>
      <c r="L413" s="9">
        <f>Table1[[#This Row],[CurrentStock]]*Table1[[#This Row],[UnitPrice]]</f>
        <v>88870.209999999992</v>
      </c>
      <c r="M413" t="str">
        <f>IF(Table1[[#This Row],[ReorderLevel]]-Table1[[#This Row],[CurrentStock]]&gt;0,Table1[[#This Row],[ReorderLevel]]-Table1[[#This Row],[CurrentStock]],"")</f>
        <v/>
      </c>
      <c r="N413" t="str">
        <f>IF(Table1[[#This Row],[CurrentStock]]&gt;Table1[[#This Row],[ReorderLevel]]*3,"Over Stock","Okay")</f>
        <v>Over Stock</v>
      </c>
      <c r="O413" t="str">
        <f>IF(Table1[[#This Row],[CurrentStock]]&lt;Table1[[#This Row],[ReorderLevel]],"Reorder","Okay")</f>
        <v>Okay</v>
      </c>
    </row>
    <row r="414" spans="1:15" x14ac:dyDescent="0.3">
      <c r="A414">
        <v>53526</v>
      </c>
      <c r="B414" t="s">
        <v>19</v>
      </c>
      <c r="C414" t="s">
        <v>28</v>
      </c>
      <c r="D414">
        <v>451</v>
      </c>
      <c r="E414">
        <v>50</v>
      </c>
      <c r="F414">
        <v>148.57</v>
      </c>
      <c r="G414" t="s">
        <v>32</v>
      </c>
      <c r="H414" s="1">
        <v>45313</v>
      </c>
      <c r="I414" s="1">
        <v>45325</v>
      </c>
      <c r="J414" t="s">
        <v>39</v>
      </c>
      <c r="K414" t="b">
        <f>Table1[[#This Row],[CurrentStock]]&lt;Table1[[#This Row],[ReorderLevel]]</f>
        <v>0</v>
      </c>
      <c r="L414" s="9">
        <f>Table1[[#This Row],[CurrentStock]]*Table1[[#This Row],[UnitPrice]]</f>
        <v>67005.069999999992</v>
      </c>
      <c r="M414" t="str">
        <f>IF(Table1[[#This Row],[ReorderLevel]]-Table1[[#This Row],[CurrentStock]]&gt;0,Table1[[#This Row],[ReorderLevel]]-Table1[[#This Row],[CurrentStock]],"")</f>
        <v/>
      </c>
      <c r="N414" t="str">
        <f>IF(Table1[[#This Row],[CurrentStock]]&gt;Table1[[#This Row],[ReorderLevel]]*3,"Over Stock","Okay")</f>
        <v>Over Stock</v>
      </c>
      <c r="O414" t="str">
        <f>IF(Table1[[#This Row],[CurrentStock]]&lt;Table1[[#This Row],[ReorderLevel]],"Reorder","Okay")</f>
        <v>Okay</v>
      </c>
    </row>
    <row r="415" spans="1:15" x14ac:dyDescent="0.3">
      <c r="A415">
        <v>10112</v>
      </c>
      <c r="B415" t="s">
        <v>13</v>
      </c>
      <c r="C415" t="s">
        <v>29</v>
      </c>
      <c r="D415">
        <v>209</v>
      </c>
      <c r="E415">
        <v>50</v>
      </c>
      <c r="F415">
        <v>338.64</v>
      </c>
      <c r="G415" t="s">
        <v>34</v>
      </c>
      <c r="H415" s="1">
        <v>45415</v>
      </c>
      <c r="I415" s="1">
        <v>45452</v>
      </c>
      <c r="J415" t="s">
        <v>39</v>
      </c>
      <c r="K415" t="b">
        <f>Table1[[#This Row],[CurrentStock]]&lt;Table1[[#This Row],[ReorderLevel]]</f>
        <v>0</v>
      </c>
      <c r="L415" s="9">
        <f>Table1[[#This Row],[CurrentStock]]*Table1[[#This Row],[UnitPrice]]</f>
        <v>70775.759999999995</v>
      </c>
      <c r="M415" t="str">
        <f>IF(Table1[[#This Row],[ReorderLevel]]-Table1[[#This Row],[CurrentStock]]&gt;0,Table1[[#This Row],[ReorderLevel]]-Table1[[#This Row],[CurrentStock]],"")</f>
        <v/>
      </c>
      <c r="N415" t="str">
        <f>IF(Table1[[#This Row],[CurrentStock]]&gt;Table1[[#This Row],[ReorderLevel]]*3,"Over Stock","Okay")</f>
        <v>Over Stock</v>
      </c>
      <c r="O415" t="str">
        <f>IF(Table1[[#This Row],[CurrentStock]]&lt;Table1[[#This Row],[ReorderLevel]],"Reorder","Okay")</f>
        <v>Okay</v>
      </c>
    </row>
    <row r="416" spans="1:15" x14ac:dyDescent="0.3">
      <c r="A416">
        <v>20808</v>
      </c>
      <c r="B416" t="s">
        <v>16</v>
      </c>
      <c r="C416" t="s">
        <v>30</v>
      </c>
      <c r="D416">
        <v>388</v>
      </c>
      <c r="E416">
        <v>40</v>
      </c>
      <c r="F416">
        <v>208.77</v>
      </c>
      <c r="G416" t="s">
        <v>34</v>
      </c>
      <c r="H416" s="1">
        <v>45388</v>
      </c>
      <c r="I416" s="1">
        <v>45397</v>
      </c>
      <c r="J416" t="s">
        <v>39</v>
      </c>
      <c r="K416" t="b">
        <f>Table1[[#This Row],[CurrentStock]]&lt;Table1[[#This Row],[ReorderLevel]]</f>
        <v>0</v>
      </c>
      <c r="L416" s="9">
        <f>Table1[[#This Row],[CurrentStock]]*Table1[[#This Row],[UnitPrice]]</f>
        <v>81002.760000000009</v>
      </c>
      <c r="M416" t="str">
        <f>IF(Table1[[#This Row],[ReorderLevel]]-Table1[[#This Row],[CurrentStock]]&gt;0,Table1[[#This Row],[ReorderLevel]]-Table1[[#This Row],[CurrentStock]],"")</f>
        <v/>
      </c>
      <c r="N416" t="str">
        <f>IF(Table1[[#This Row],[CurrentStock]]&gt;Table1[[#This Row],[ReorderLevel]]*3,"Over Stock","Okay")</f>
        <v>Over Stock</v>
      </c>
      <c r="O416" t="str">
        <f>IF(Table1[[#This Row],[CurrentStock]]&lt;Table1[[#This Row],[ReorderLevel]],"Reorder","Okay")</f>
        <v>Okay</v>
      </c>
    </row>
    <row r="417" spans="1:15" x14ac:dyDescent="0.3">
      <c r="A417">
        <v>96741</v>
      </c>
      <c r="B417" t="s">
        <v>23</v>
      </c>
      <c r="C417" t="s">
        <v>30</v>
      </c>
      <c r="D417">
        <v>375</v>
      </c>
      <c r="E417">
        <v>40</v>
      </c>
      <c r="F417">
        <v>181.15</v>
      </c>
      <c r="G417" t="s">
        <v>36</v>
      </c>
      <c r="H417" s="1">
        <v>45341</v>
      </c>
      <c r="I417" s="1">
        <v>45364</v>
      </c>
      <c r="J417" t="s">
        <v>38</v>
      </c>
      <c r="K417" t="b">
        <f>Table1[[#This Row],[CurrentStock]]&lt;Table1[[#This Row],[ReorderLevel]]</f>
        <v>0</v>
      </c>
      <c r="L417" s="9">
        <f>Table1[[#This Row],[CurrentStock]]*Table1[[#This Row],[UnitPrice]]</f>
        <v>67931.25</v>
      </c>
      <c r="M417" t="str">
        <f>IF(Table1[[#This Row],[ReorderLevel]]-Table1[[#This Row],[CurrentStock]]&gt;0,Table1[[#This Row],[ReorderLevel]]-Table1[[#This Row],[CurrentStock]],"")</f>
        <v/>
      </c>
      <c r="N417" t="str">
        <f>IF(Table1[[#This Row],[CurrentStock]]&gt;Table1[[#This Row],[ReorderLevel]]*3,"Over Stock","Okay")</f>
        <v>Over Stock</v>
      </c>
      <c r="O417" t="str">
        <f>IF(Table1[[#This Row],[CurrentStock]]&lt;Table1[[#This Row],[ReorderLevel]],"Reorder","Okay")</f>
        <v>Okay</v>
      </c>
    </row>
    <row r="418" spans="1:15" x14ac:dyDescent="0.3">
      <c r="A418">
        <v>13765</v>
      </c>
      <c r="B418" t="s">
        <v>21</v>
      </c>
      <c r="C418" t="s">
        <v>31</v>
      </c>
      <c r="D418">
        <v>46</v>
      </c>
      <c r="E418">
        <v>150</v>
      </c>
      <c r="F418">
        <v>472.5</v>
      </c>
      <c r="G418" t="s">
        <v>32</v>
      </c>
      <c r="H418" s="1">
        <v>45432</v>
      </c>
      <c r="I418" s="1">
        <v>45456</v>
      </c>
      <c r="J418" t="s">
        <v>39</v>
      </c>
      <c r="K418" t="b">
        <f>Table1[[#This Row],[CurrentStock]]&lt;Table1[[#This Row],[ReorderLevel]]</f>
        <v>1</v>
      </c>
      <c r="L418" s="9">
        <f>Table1[[#This Row],[CurrentStock]]*Table1[[#This Row],[UnitPrice]]</f>
        <v>21735</v>
      </c>
      <c r="M418">
        <f>IF(Table1[[#This Row],[ReorderLevel]]-Table1[[#This Row],[CurrentStock]]&gt;0,Table1[[#This Row],[ReorderLevel]]-Table1[[#This Row],[CurrentStock]],"")</f>
        <v>104</v>
      </c>
      <c r="N418" t="str">
        <f>IF(Table1[[#This Row],[CurrentStock]]&gt;Table1[[#This Row],[ReorderLevel]]*3,"Over Stock","Okay")</f>
        <v>Okay</v>
      </c>
      <c r="O418" t="str">
        <f>IF(Table1[[#This Row],[CurrentStock]]&lt;Table1[[#This Row],[ReorderLevel]],"Reorder","Okay")</f>
        <v>Reorder</v>
      </c>
    </row>
    <row r="419" spans="1:15" x14ac:dyDescent="0.3">
      <c r="A419">
        <v>35991</v>
      </c>
      <c r="B419" t="s">
        <v>17</v>
      </c>
      <c r="C419" t="s">
        <v>30</v>
      </c>
      <c r="D419">
        <v>403</v>
      </c>
      <c r="E419">
        <v>80</v>
      </c>
      <c r="F419">
        <v>166</v>
      </c>
      <c r="G419" t="s">
        <v>33</v>
      </c>
      <c r="H419" s="1">
        <v>45610</v>
      </c>
      <c r="I419" s="1">
        <v>45624</v>
      </c>
      <c r="J419" t="s">
        <v>39</v>
      </c>
      <c r="K419" t="b">
        <f>Table1[[#This Row],[CurrentStock]]&lt;Table1[[#This Row],[ReorderLevel]]</f>
        <v>0</v>
      </c>
      <c r="L419" s="9">
        <f>Table1[[#This Row],[CurrentStock]]*Table1[[#This Row],[UnitPrice]]</f>
        <v>66898</v>
      </c>
      <c r="M419" t="str">
        <f>IF(Table1[[#This Row],[ReorderLevel]]-Table1[[#This Row],[CurrentStock]]&gt;0,Table1[[#This Row],[ReorderLevel]]-Table1[[#This Row],[CurrentStock]],"")</f>
        <v/>
      </c>
      <c r="N419" t="str">
        <f>IF(Table1[[#This Row],[CurrentStock]]&gt;Table1[[#This Row],[ReorderLevel]]*3,"Over Stock","Okay")</f>
        <v>Over Stock</v>
      </c>
      <c r="O419" t="str">
        <f>IF(Table1[[#This Row],[CurrentStock]]&lt;Table1[[#This Row],[ReorderLevel]],"Reorder","Okay")</f>
        <v>Okay</v>
      </c>
    </row>
    <row r="420" spans="1:15" x14ac:dyDescent="0.3">
      <c r="A420">
        <v>35917</v>
      </c>
      <c r="B420" t="s">
        <v>23</v>
      </c>
      <c r="C420" t="s">
        <v>30</v>
      </c>
      <c r="D420">
        <v>16</v>
      </c>
      <c r="E420">
        <v>30</v>
      </c>
      <c r="F420">
        <v>485.48</v>
      </c>
      <c r="G420" t="s">
        <v>35</v>
      </c>
      <c r="H420" s="1">
        <v>45616</v>
      </c>
      <c r="I420" s="1">
        <v>45648</v>
      </c>
      <c r="J420" t="s">
        <v>37</v>
      </c>
      <c r="K420" t="b">
        <f>Table1[[#This Row],[CurrentStock]]&lt;Table1[[#This Row],[ReorderLevel]]</f>
        <v>1</v>
      </c>
      <c r="L420" s="9">
        <f>Table1[[#This Row],[CurrentStock]]*Table1[[#This Row],[UnitPrice]]</f>
        <v>7767.68</v>
      </c>
      <c r="M420">
        <f>IF(Table1[[#This Row],[ReorderLevel]]-Table1[[#This Row],[CurrentStock]]&gt;0,Table1[[#This Row],[ReorderLevel]]-Table1[[#This Row],[CurrentStock]],"")</f>
        <v>14</v>
      </c>
      <c r="N420" t="str">
        <f>IF(Table1[[#This Row],[CurrentStock]]&gt;Table1[[#This Row],[ReorderLevel]]*3,"Over Stock","Okay")</f>
        <v>Okay</v>
      </c>
      <c r="O420" t="str">
        <f>IF(Table1[[#This Row],[CurrentStock]]&lt;Table1[[#This Row],[ReorderLevel]],"Reorder","Okay")</f>
        <v>Reorder</v>
      </c>
    </row>
    <row r="421" spans="1:15" x14ac:dyDescent="0.3">
      <c r="A421">
        <v>38230</v>
      </c>
      <c r="B421" t="s">
        <v>21</v>
      </c>
      <c r="C421" t="s">
        <v>31</v>
      </c>
      <c r="D421">
        <v>467</v>
      </c>
      <c r="E421">
        <v>20</v>
      </c>
      <c r="F421">
        <v>106.2</v>
      </c>
      <c r="G421" t="s">
        <v>32</v>
      </c>
      <c r="H421" s="1">
        <v>45468</v>
      </c>
      <c r="I421" s="1">
        <v>45484</v>
      </c>
      <c r="J421" t="s">
        <v>38</v>
      </c>
      <c r="K421" t="b">
        <f>Table1[[#This Row],[CurrentStock]]&lt;Table1[[#This Row],[ReorderLevel]]</f>
        <v>0</v>
      </c>
      <c r="L421" s="9">
        <f>Table1[[#This Row],[CurrentStock]]*Table1[[#This Row],[UnitPrice]]</f>
        <v>49595.4</v>
      </c>
      <c r="M421" t="str">
        <f>IF(Table1[[#This Row],[ReorderLevel]]-Table1[[#This Row],[CurrentStock]]&gt;0,Table1[[#This Row],[ReorderLevel]]-Table1[[#This Row],[CurrentStock]],"")</f>
        <v/>
      </c>
      <c r="N421" t="str">
        <f>IF(Table1[[#This Row],[CurrentStock]]&gt;Table1[[#This Row],[ReorderLevel]]*3,"Over Stock","Okay")</f>
        <v>Over Stock</v>
      </c>
      <c r="O421" t="str">
        <f>IF(Table1[[#This Row],[CurrentStock]]&lt;Table1[[#This Row],[ReorderLevel]],"Reorder","Okay")</f>
        <v>Okay</v>
      </c>
    </row>
    <row r="422" spans="1:15" x14ac:dyDescent="0.3">
      <c r="A422">
        <v>86361</v>
      </c>
      <c r="B422" t="s">
        <v>21</v>
      </c>
      <c r="C422" t="s">
        <v>31</v>
      </c>
      <c r="D422">
        <v>344</v>
      </c>
      <c r="E422">
        <v>40</v>
      </c>
      <c r="F422">
        <v>137.91999999999999</v>
      </c>
      <c r="G422" t="s">
        <v>33</v>
      </c>
      <c r="H422" s="1">
        <v>45415</v>
      </c>
      <c r="I422" s="1">
        <v>45443</v>
      </c>
      <c r="J422" t="s">
        <v>38</v>
      </c>
      <c r="K422" t="b">
        <f>Table1[[#This Row],[CurrentStock]]&lt;Table1[[#This Row],[ReorderLevel]]</f>
        <v>0</v>
      </c>
      <c r="L422" s="9">
        <f>Table1[[#This Row],[CurrentStock]]*Table1[[#This Row],[UnitPrice]]</f>
        <v>47444.479999999996</v>
      </c>
      <c r="M422" t="str">
        <f>IF(Table1[[#This Row],[ReorderLevel]]-Table1[[#This Row],[CurrentStock]]&gt;0,Table1[[#This Row],[ReorderLevel]]-Table1[[#This Row],[CurrentStock]],"")</f>
        <v/>
      </c>
      <c r="N422" t="str">
        <f>IF(Table1[[#This Row],[CurrentStock]]&gt;Table1[[#This Row],[ReorderLevel]]*3,"Over Stock","Okay")</f>
        <v>Over Stock</v>
      </c>
      <c r="O422" t="str">
        <f>IF(Table1[[#This Row],[CurrentStock]]&lt;Table1[[#This Row],[ReorderLevel]],"Reorder","Okay")</f>
        <v>Okay</v>
      </c>
    </row>
    <row r="423" spans="1:15" x14ac:dyDescent="0.3">
      <c r="A423">
        <v>74619</v>
      </c>
      <c r="B423" t="s">
        <v>20</v>
      </c>
      <c r="C423" t="s">
        <v>29</v>
      </c>
      <c r="D423">
        <v>494</v>
      </c>
      <c r="E423">
        <v>100</v>
      </c>
      <c r="F423">
        <v>38.83</v>
      </c>
      <c r="G423" t="s">
        <v>32</v>
      </c>
      <c r="H423" s="1">
        <v>45332</v>
      </c>
      <c r="I423" s="1">
        <v>45356</v>
      </c>
      <c r="J423" t="s">
        <v>38</v>
      </c>
      <c r="K423" t="b">
        <f>Table1[[#This Row],[CurrentStock]]&lt;Table1[[#This Row],[ReorderLevel]]</f>
        <v>0</v>
      </c>
      <c r="L423" s="9">
        <f>Table1[[#This Row],[CurrentStock]]*Table1[[#This Row],[UnitPrice]]</f>
        <v>19182.02</v>
      </c>
      <c r="M423" t="str">
        <f>IF(Table1[[#This Row],[ReorderLevel]]-Table1[[#This Row],[CurrentStock]]&gt;0,Table1[[#This Row],[ReorderLevel]]-Table1[[#This Row],[CurrentStock]],"")</f>
        <v/>
      </c>
      <c r="N423" t="str">
        <f>IF(Table1[[#This Row],[CurrentStock]]&gt;Table1[[#This Row],[ReorderLevel]]*3,"Over Stock","Okay")</f>
        <v>Over Stock</v>
      </c>
      <c r="O423" t="str">
        <f>IF(Table1[[#This Row],[CurrentStock]]&lt;Table1[[#This Row],[ReorderLevel]],"Reorder","Okay")</f>
        <v>Okay</v>
      </c>
    </row>
    <row r="424" spans="1:15" x14ac:dyDescent="0.3">
      <c r="A424">
        <v>11306</v>
      </c>
      <c r="B424" t="s">
        <v>21</v>
      </c>
      <c r="C424" t="s">
        <v>31</v>
      </c>
      <c r="D424">
        <v>308</v>
      </c>
      <c r="E424">
        <v>30</v>
      </c>
      <c r="F424">
        <v>353.38</v>
      </c>
      <c r="G424" t="s">
        <v>33</v>
      </c>
      <c r="H424" s="1">
        <v>45425</v>
      </c>
      <c r="I424" s="1">
        <v>45444</v>
      </c>
      <c r="J424" t="s">
        <v>37</v>
      </c>
      <c r="K424" t="b">
        <f>Table1[[#This Row],[CurrentStock]]&lt;Table1[[#This Row],[ReorderLevel]]</f>
        <v>0</v>
      </c>
      <c r="L424" s="9">
        <f>Table1[[#This Row],[CurrentStock]]*Table1[[#This Row],[UnitPrice]]</f>
        <v>108841.04</v>
      </c>
      <c r="M424" t="str">
        <f>IF(Table1[[#This Row],[ReorderLevel]]-Table1[[#This Row],[CurrentStock]]&gt;0,Table1[[#This Row],[ReorderLevel]]-Table1[[#This Row],[CurrentStock]],"")</f>
        <v/>
      </c>
      <c r="N424" t="str">
        <f>IF(Table1[[#This Row],[CurrentStock]]&gt;Table1[[#This Row],[ReorderLevel]]*3,"Over Stock","Okay")</f>
        <v>Over Stock</v>
      </c>
      <c r="O424" t="str">
        <f>IF(Table1[[#This Row],[CurrentStock]]&lt;Table1[[#This Row],[ReorderLevel]],"Reorder","Okay")</f>
        <v>Okay</v>
      </c>
    </row>
    <row r="425" spans="1:15" x14ac:dyDescent="0.3">
      <c r="A425">
        <v>50387</v>
      </c>
      <c r="B425" t="s">
        <v>12</v>
      </c>
      <c r="C425" t="s">
        <v>28</v>
      </c>
      <c r="D425">
        <v>232</v>
      </c>
      <c r="E425">
        <v>40</v>
      </c>
      <c r="F425">
        <v>139.19</v>
      </c>
      <c r="G425" t="s">
        <v>35</v>
      </c>
      <c r="H425" s="1">
        <v>45549</v>
      </c>
      <c r="I425" s="1">
        <v>45582</v>
      </c>
      <c r="J425" t="s">
        <v>38</v>
      </c>
      <c r="K425" t="b">
        <f>Table1[[#This Row],[CurrentStock]]&lt;Table1[[#This Row],[ReorderLevel]]</f>
        <v>0</v>
      </c>
      <c r="L425" s="9">
        <f>Table1[[#This Row],[CurrentStock]]*Table1[[#This Row],[UnitPrice]]</f>
        <v>32292.079999999998</v>
      </c>
      <c r="M425" t="str">
        <f>IF(Table1[[#This Row],[ReorderLevel]]-Table1[[#This Row],[CurrentStock]]&gt;0,Table1[[#This Row],[ReorderLevel]]-Table1[[#This Row],[CurrentStock]],"")</f>
        <v/>
      </c>
      <c r="N425" t="str">
        <f>IF(Table1[[#This Row],[CurrentStock]]&gt;Table1[[#This Row],[ReorderLevel]]*3,"Over Stock","Okay")</f>
        <v>Over Stock</v>
      </c>
      <c r="O425" t="str">
        <f>IF(Table1[[#This Row],[CurrentStock]]&lt;Table1[[#This Row],[ReorderLevel]],"Reorder","Okay")</f>
        <v>Okay</v>
      </c>
    </row>
    <row r="426" spans="1:15" x14ac:dyDescent="0.3">
      <c r="A426">
        <v>11813</v>
      </c>
      <c r="B426" t="s">
        <v>24</v>
      </c>
      <c r="C426" t="s">
        <v>31</v>
      </c>
      <c r="D426">
        <v>265</v>
      </c>
      <c r="E426">
        <v>80</v>
      </c>
      <c r="F426">
        <v>472.64</v>
      </c>
      <c r="G426" t="s">
        <v>34</v>
      </c>
      <c r="H426" s="1">
        <v>45441</v>
      </c>
      <c r="I426" s="1">
        <v>45466</v>
      </c>
      <c r="J426" t="s">
        <v>39</v>
      </c>
      <c r="K426" t="b">
        <f>Table1[[#This Row],[CurrentStock]]&lt;Table1[[#This Row],[ReorderLevel]]</f>
        <v>0</v>
      </c>
      <c r="L426" s="9">
        <f>Table1[[#This Row],[CurrentStock]]*Table1[[#This Row],[UnitPrice]]</f>
        <v>125249.59999999999</v>
      </c>
      <c r="M426" t="str">
        <f>IF(Table1[[#This Row],[ReorderLevel]]-Table1[[#This Row],[CurrentStock]]&gt;0,Table1[[#This Row],[ReorderLevel]]-Table1[[#This Row],[CurrentStock]],"")</f>
        <v/>
      </c>
      <c r="N426" t="str">
        <f>IF(Table1[[#This Row],[CurrentStock]]&gt;Table1[[#This Row],[ReorderLevel]]*3,"Over Stock","Okay")</f>
        <v>Over Stock</v>
      </c>
      <c r="O426" t="str">
        <f>IF(Table1[[#This Row],[CurrentStock]]&lt;Table1[[#This Row],[ReorderLevel]],"Reorder","Okay")</f>
        <v>Okay</v>
      </c>
    </row>
    <row r="427" spans="1:15" x14ac:dyDescent="0.3">
      <c r="A427">
        <v>92736</v>
      </c>
      <c r="B427" t="s">
        <v>18</v>
      </c>
      <c r="C427" t="s">
        <v>28</v>
      </c>
      <c r="D427">
        <v>283</v>
      </c>
      <c r="E427">
        <v>20</v>
      </c>
      <c r="F427">
        <v>12.62</v>
      </c>
      <c r="G427" t="s">
        <v>35</v>
      </c>
      <c r="H427" s="1">
        <v>45359</v>
      </c>
      <c r="I427" s="1">
        <v>45370</v>
      </c>
      <c r="J427" t="s">
        <v>38</v>
      </c>
      <c r="K427" t="b">
        <f>Table1[[#This Row],[CurrentStock]]&lt;Table1[[#This Row],[ReorderLevel]]</f>
        <v>0</v>
      </c>
      <c r="L427" s="9">
        <f>Table1[[#This Row],[CurrentStock]]*Table1[[#This Row],[UnitPrice]]</f>
        <v>3571.4599999999996</v>
      </c>
      <c r="M427" t="str">
        <f>IF(Table1[[#This Row],[ReorderLevel]]-Table1[[#This Row],[CurrentStock]]&gt;0,Table1[[#This Row],[ReorderLevel]]-Table1[[#This Row],[CurrentStock]],"")</f>
        <v/>
      </c>
      <c r="N427" t="str">
        <f>IF(Table1[[#This Row],[CurrentStock]]&gt;Table1[[#This Row],[ReorderLevel]]*3,"Over Stock","Okay")</f>
        <v>Over Stock</v>
      </c>
      <c r="O427" t="str">
        <f>IF(Table1[[#This Row],[CurrentStock]]&lt;Table1[[#This Row],[ReorderLevel]],"Reorder","Okay")</f>
        <v>Okay</v>
      </c>
    </row>
    <row r="428" spans="1:15" x14ac:dyDescent="0.3">
      <c r="A428">
        <v>34351</v>
      </c>
      <c r="B428" t="s">
        <v>12</v>
      </c>
      <c r="C428" t="s">
        <v>28</v>
      </c>
      <c r="D428">
        <v>419</v>
      </c>
      <c r="E428">
        <v>20</v>
      </c>
      <c r="F428">
        <v>420.7</v>
      </c>
      <c r="G428" t="s">
        <v>35</v>
      </c>
      <c r="H428" s="1">
        <v>45397</v>
      </c>
      <c r="I428" s="1">
        <v>45433</v>
      </c>
      <c r="J428" t="s">
        <v>39</v>
      </c>
      <c r="K428" t="b">
        <f>Table1[[#This Row],[CurrentStock]]&lt;Table1[[#This Row],[ReorderLevel]]</f>
        <v>0</v>
      </c>
      <c r="L428" s="9">
        <f>Table1[[#This Row],[CurrentStock]]*Table1[[#This Row],[UnitPrice]]</f>
        <v>176273.3</v>
      </c>
      <c r="M428" t="str">
        <f>IF(Table1[[#This Row],[ReorderLevel]]-Table1[[#This Row],[CurrentStock]]&gt;0,Table1[[#This Row],[ReorderLevel]]-Table1[[#This Row],[CurrentStock]],"")</f>
        <v/>
      </c>
      <c r="N428" t="str">
        <f>IF(Table1[[#This Row],[CurrentStock]]&gt;Table1[[#This Row],[ReorderLevel]]*3,"Over Stock","Okay")</f>
        <v>Over Stock</v>
      </c>
      <c r="O428" t="str">
        <f>IF(Table1[[#This Row],[CurrentStock]]&lt;Table1[[#This Row],[ReorderLevel]],"Reorder","Okay")</f>
        <v>Okay</v>
      </c>
    </row>
    <row r="429" spans="1:15" x14ac:dyDescent="0.3">
      <c r="A429">
        <v>70686</v>
      </c>
      <c r="B429" t="s">
        <v>25</v>
      </c>
      <c r="C429" t="s">
        <v>31</v>
      </c>
      <c r="D429">
        <v>53</v>
      </c>
      <c r="E429">
        <v>30</v>
      </c>
      <c r="F429">
        <v>50.85</v>
      </c>
      <c r="G429" t="s">
        <v>34</v>
      </c>
      <c r="H429" s="1">
        <v>45632</v>
      </c>
      <c r="I429" s="1">
        <v>45661</v>
      </c>
      <c r="J429" t="s">
        <v>37</v>
      </c>
      <c r="K429" t="b">
        <f>Table1[[#This Row],[CurrentStock]]&lt;Table1[[#This Row],[ReorderLevel]]</f>
        <v>0</v>
      </c>
      <c r="L429" s="9">
        <f>Table1[[#This Row],[CurrentStock]]*Table1[[#This Row],[UnitPrice]]</f>
        <v>2695.05</v>
      </c>
      <c r="M429" t="str">
        <f>IF(Table1[[#This Row],[ReorderLevel]]-Table1[[#This Row],[CurrentStock]]&gt;0,Table1[[#This Row],[ReorderLevel]]-Table1[[#This Row],[CurrentStock]],"")</f>
        <v/>
      </c>
      <c r="N429" t="str">
        <f>IF(Table1[[#This Row],[CurrentStock]]&gt;Table1[[#This Row],[ReorderLevel]]*3,"Over Stock","Okay")</f>
        <v>Okay</v>
      </c>
      <c r="O429" t="str">
        <f>IF(Table1[[#This Row],[CurrentStock]]&lt;Table1[[#This Row],[ReorderLevel]],"Reorder","Okay")</f>
        <v>Okay</v>
      </c>
    </row>
    <row r="430" spans="1:15" x14ac:dyDescent="0.3">
      <c r="A430">
        <v>14138</v>
      </c>
      <c r="B430" t="s">
        <v>20</v>
      </c>
      <c r="C430" t="s">
        <v>29</v>
      </c>
      <c r="D430">
        <v>410</v>
      </c>
      <c r="E430">
        <v>30</v>
      </c>
      <c r="F430">
        <v>498.15</v>
      </c>
      <c r="G430" t="s">
        <v>35</v>
      </c>
      <c r="H430" s="1">
        <v>45639</v>
      </c>
      <c r="I430" s="1">
        <v>45660</v>
      </c>
      <c r="J430" t="s">
        <v>37</v>
      </c>
      <c r="K430" t="b">
        <f>Table1[[#This Row],[CurrentStock]]&lt;Table1[[#This Row],[ReorderLevel]]</f>
        <v>0</v>
      </c>
      <c r="L430" s="9">
        <f>Table1[[#This Row],[CurrentStock]]*Table1[[#This Row],[UnitPrice]]</f>
        <v>204241.5</v>
      </c>
      <c r="M430" t="str">
        <f>IF(Table1[[#This Row],[ReorderLevel]]-Table1[[#This Row],[CurrentStock]]&gt;0,Table1[[#This Row],[ReorderLevel]]-Table1[[#This Row],[CurrentStock]],"")</f>
        <v/>
      </c>
      <c r="N430" t="str">
        <f>IF(Table1[[#This Row],[CurrentStock]]&gt;Table1[[#This Row],[ReorderLevel]]*3,"Over Stock","Okay")</f>
        <v>Over Stock</v>
      </c>
      <c r="O430" t="str">
        <f>IF(Table1[[#This Row],[CurrentStock]]&lt;Table1[[#This Row],[ReorderLevel]],"Reorder","Okay")</f>
        <v>Okay</v>
      </c>
    </row>
    <row r="431" spans="1:15" x14ac:dyDescent="0.3">
      <c r="A431">
        <v>11134</v>
      </c>
      <c r="B431" t="s">
        <v>21</v>
      </c>
      <c r="C431" t="s">
        <v>31</v>
      </c>
      <c r="D431">
        <v>211</v>
      </c>
      <c r="E431">
        <v>80</v>
      </c>
      <c r="F431">
        <v>50.24</v>
      </c>
      <c r="G431" t="s">
        <v>34</v>
      </c>
      <c r="H431" s="1">
        <v>45536</v>
      </c>
      <c r="I431" s="1">
        <v>45563</v>
      </c>
      <c r="J431" t="s">
        <v>38</v>
      </c>
      <c r="K431" t="b">
        <f>Table1[[#This Row],[CurrentStock]]&lt;Table1[[#This Row],[ReorderLevel]]</f>
        <v>0</v>
      </c>
      <c r="L431" s="9">
        <f>Table1[[#This Row],[CurrentStock]]*Table1[[#This Row],[UnitPrice]]</f>
        <v>10600.640000000001</v>
      </c>
      <c r="M431" t="str">
        <f>IF(Table1[[#This Row],[ReorderLevel]]-Table1[[#This Row],[CurrentStock]]&gt;0,Table1[[#This Row],[ReorderLevel]]-Table1[[#This Row],[CurrentStock]],"")</f>
        <v/>
      </c>
      <c r="N431" t="str">
        <f>IF(Table1[[#This Row],[CurrentStock]]&gt;Table1[[#This Row],[ReorderLevel]]*3,"Over Stock","Okay")</f>
        <v>Okay</v>
      </c>
      <c r="O431" t="str">
        <f>IF(Table1[[#This Row],[CurrentStock]]&lt;Table1[[#This Row],[ReorderLevel]],"Reorder","Okay")</f>
        <v>Okay</v>
      </c>
    </row>
    <row r="432" spans="1:15" x14ac:dyDescent="0.3">
      <c r="A432">
        <v>83788</v>
      </c>
      <c r="B432" t="s">
        <v>18</v>
      </c>
      <c r="C432" t="s">
        <v>28</v>
      </c>
      <c r="D432">
        <v>365</v>
      </c>
      <c r="E432">
        <v>80</v>
      </c>
      <c r="F432">
        <v>43.19</v>
      </c>
      <c r="G432" t="s">
        <v>33</v>
      </c>
      <c r="H432" s="1">
        <v>45581</v>
      </c>
      <c r="I432" s="1">
        <v>45596</v>
      </c>
      <c r="J432" t="s">
        <v>38</v>
      </c>
      <c r="K432" t="b">
        <f>Table1[[#This Row],[CurrentStock]]&lt;Table1[[#This Row],[ReorderLevel]]</f>
        <v>0</v>
      </c>
      <c r="L432" s="9">
        <f>Table1[[#This Row],[CurrentStock]]*Table1[[#This Row],[UnitPrice]]</f>
        <v>15764.349999999999</v>
      </c>
      <c r="M432" t="str">
        <f>IF(Table1[[#This Row],[ReorderLevel]]-Table1[[#This Row],[CurrentStock]]&gt;0,Table1[[#This Row],[ReorderLevel]]-Table1[[#This Row],[CurrentStock]],"")</f>
        <v/>
      </c>
      <c r="N432" t="str">
        <f>IF(Table1[[#This Row],[CurrentStock]]&gt;Table1[[#This Row],[ReorderLevel]]*3,"Over Stock","Okay")</f>
        <v>Over Stock</v>
      </c>
      <c r="O432" t="str">
        <f>IF(Table1[[#This Row],[CurrentStock]]&lt;Table1[[#This Row],[ReorderLevel]],"Reorder","Okay")</f>
        <v>Okay</v>
      </c>
    </row>
    <row r="433" spans="1:15" x14ac:dyDescent="0.3">
      <c r="A433">
        <v>36149</v>
      </c>
      <c r="B433" t="s">
        <v>24</v>
      </c>
      <c r="C433" t="s">
        <v>31</v>
      </c>
      <c r="D433">
        <v>330</v>
      </c>
      <c r="E433">
        <v>30</v>
      </c>
      <c r="F433">
        <v>189.24</v>
      </c>
      <c r="G433" t="s">
        <v>32</v>
      </c>
      <c r="H433" s="1">
        <v>45429</v>
      </c>
      <c r="I433" s="1">
        <v>45451</v>
      </c>
      <c r="J433" t="s">
        <v>38</v>
      </c>
      <c r="K433" t="b">
        <f>Table1[[#This Row],[CurrentStock]]&lt;Table1[[#This Row],[ReorderLevel]]</f>
        <v>0</v>
      </c>
      <c r="L433" s="9">
        <f>Table1[[#This Row],[CurrentStock]]*Table1[[#This Row],[UnitPrice]]</f>
        <v>62449.200000000004</v>
      </c>
      <c r="M433" t="str">
        <f>IF(Table1[[#This Row],[ReorderLevel]]-Table1[[#This Row],[CurrentStock]]&gt;0,Table1[[#This Row],[ReorderLevel]]-Table1[[#This Row],[CurrentStock]],"")</f>
        <v/>
      </c>
      <c r="N433" t="str">
        <f>IF(Table1[[#This Row],[CurrentStock]]&gt;Table1[[#This Row],[ReorderLevel]]*3,"Over Stock","Okay")</f>
        <v>Over Stock</v>
      </c>
      <c r="O433" t="str">
        <f>IF(Table1[[#This Row],[CurrentStock]]&lt;Table1[[#This Row],[ReorderLevel]],"Reorder","Okay")</f>
        <v>Okay</v>
      </c>
    </row>
    <row r="434" spans="1:15" x14ac:dyDescent="0.3">
      <c r="A434">
        <v>43458</v>
      </c>
      <c r="B434" t="s">
        <v>17</v>
      </c>
      <c r="C434" t="s">
        <v>30</v>
      </c>
      <c r="D434">
        <v>173</v>
      </c>
      <c r="E434">
        <v>40</v>
      </c>
      <c r="F434">
        <v>310.31</v>
      </c>
      <c r="G434" t="s">
        <v>33</v>
      </c>
      <c r="H434" s="1">
        <v>45612</v>
      </c>
      <c r="I434" s="1">
        <v>45643</v>
      </c>
      <c r="J434" t="s">
        <v>37</v>
      </c>
      <c r="K434" t="b">
        <f>Table1[[#This Row],[CurrentStock]]&lt;Table1[[#This Row],[ReorderLevel]]</f>
        <v>0</v>
      </c>
      <c r="L434" s="9">
        <f>Table1[[#This Row],[CurrentStock]]*Table1[[#This Row],[UnitPrice]]</f>
        <v>53683.63</v>
      </c>
      <c r="M434" t="str">
        <f>IF(Table1[[#This Row],[ReorderLevel]]-Table1[[#This Row],[CurrentStock]]&gt;0,Table1[[#This Row],[ReorderLevel]]-Table1[[#This Row],[CurrentStock]],"")</f>
        <v/>
      </c>
      <c r="N434" t="str">
        <f>IF(Table1[[#This Row],[CurrentStock]]&gt;Table1[[#This Row],[ReorderLevel]]*3,"Over Stock","Okay")</f>
        <v>Over Stock</v>
      </c>
      <c r="O434" t="str">
        <f>IF(Table1[[#This Row],[CurrentStock]]&lt;Table1[[#This Row],[ReorderLevel]],"Reorder","Okay")</f>
        <v>Okay</v>
      </c>
    </row>
    <row r="435" spans="1:15" x14ac:dyDescent="0.3">
      <c r="A435">
        <v>96664</v>
      </c>
      <c r="B435" t="s">
        <v>18</v>
      </c>
      <c r="C435" t="s">
        <v>28</v>
      </c>
      <c r="D435">
        <v>389</v>
      </c>
      <c r="E435">
        <v>40</v>
      </c>
      <c r="F435">
        <v>271.47000000000003</v>
      </c>
      <c r="G435" t="s">
        <v>33</v>
      </c>
      <c r="H435" s="1">
        <v>45575</v>
      </c>
      <c r="I435" s="1">
        <v>45612</v>
      </c>
      <c r="J435" t="s">
        <v>38</v>
      </c>
      <c r="K435" t="b">
        <f>Table1[[#This Row],[CurrentStock]]&lt;Table1[[#This Row],[ReorderLevel]]</f>
        <v>0</v>
      </c>
      <c r="L435" s="9">
        <f>Table1[[#This Row],[CurrentStock]]*Table1[[#This Row],[UnitPrice]]</f>
        <v>105601.83000000002</v>
      </c>
      <c r="M435" t="str">
        <f>IF(Table1[[#This Row],[ReorderLevel]]-Table1[[#This Row],[CurrentStock]]&gt;0,Table1[[#This Row],[ReorderLevel]]-Table1[[#This Row],[CurrentStock]],"")</f>
        <v/>
      </c>
      <c r="N435" t="str">
        <f>IF(Table1[[#This Row],[CurrentStock]]&gt;Table1[[#This Row],[ReorderLevel]]*3,"Over Stock","Okay")</f>
        <v>Over Stock</v>
      </c>
      <c r="O435" t="str">
        <f>IF(Table1[[#This Row],[CurrentStock]]&lt;Table1[[#This Row],[ReorderLevel]],"Reorder","Okay")</f>
        <v>Okay</v>
      </c>
    </row>
    <row r="436" spans="1:15" x14ac:dyDescent="0.3">
      <c r="A436">
        <v>57195</v>
      </c>
      <c r="B436" t="s">
        <v>23</v>
      </c>
      <c r="C436" t="s">
        <v>30</v>
      </c>
      <c r="D436">
        <v>444</v>
      </c>
      <c r="E436">
        <v>30</v>
      </c>
      <c r="F436">
        <v>127.95</v>
      </c>
      <c r="G436" t="s">
        <v>33</v>
      </c>
      <c r="H436" s="1">
        <v>45479</v>
      </c>
      <c r="I436" s="1">
        <v>45498</v>
      </c>
      <c r="J436" t="s">
        <v>39</v>
      </c>
      <c r="K436" t="b">
        <f>Table1[[#This Row],[CurrentStock]]&lt;Table1[[#This Row],[ReorderLevel]]</f>
        <v>0</v>
      </c>
      <c r="L436" s="9">
        <f>Table1[[#This Row],[CurrentStock]]*Table1[[#This Row],[UnitPrice]]</f>
        <v>56809.8</v>
      </c>
      <c r="M436" t="str">
        <f>IF(Table1[[#This Row],[ReorderLevel]]-Table1[[#This Row],[CurrentStock]]&gt;0,Table1[[#This Row],[ReorderLevel]]-Table1[[#This Row],[CurrentStock]],"")</f>
        <v/>
      </c>
      <c r="N436" t="str">
        <f>IF(Table1[[#This Row],[CurrentStock]]&gt;Table1[[#This Row],[ReorderLevel]]*3,"Over Stock","Okay")</f>
        <v>Over Stock</v>
      </c>
      <c r="O436" t="str">
        <f>IF(Table1[[#This Row],[CurrentStock]]&lt;Table1[[#This Row],[ReorderLevel]],"Reorder","Okay")</f>
        <v>Okay</v>
      </c>
    </row>
    <row r="437" spans="1:15" x14ac:dyDescent="0.3">
      <c r="A437">
        <v>64122</v>
      </c>
      <c r="B437" t="s">
        <v>15</v>
      </c>
      <c r="C437" t="s">
        <v>29</v>
      </c>
      <c r="D437">
        <v>184</v>
      </c>
      <c r="E437">
        <v>80</v>
      </c>
      <c r="F437">
        <v>154.02000000000001</v>
      </c>
      <c r="G437" t="s">
        <v>34</v>
      </c>
      <c r="H437" s="1">
        <v>45547</v>
      </c>
      <c r="I437" s="1">
        <v>45558</v>
      </c>
      <c r="J437" t="s">
        <v>38</v>
      </c>
      <c r="K437" t="b">
        <f>Table1[[#This Row],[CurrentStock]]&lt;Table1[[#This Row],[ReorderLevel]]</f>
        <v>0</v>
      </c>
      <c r="L437" s="9">
        <f>Table1[[#This Row],[CurrentStock]]*Table1[[#This Row],[UnitPrice]]</f>
        <v>28339.68</v>
      </c>
      <c r="M437" t="str">
        <f>IF(Table1[[#This Row],[ReorderLevel]]-Table1[[#This Row],[CurrentStock]]&gt;0,Table1[[#This Row],[ReorderLevel]]-Table1[[#This Row],[CurrentStock]],"")</f>
        <v/>
      </c>
      <c r="N437" t="str">
        <f>IF(Table1[[#This Row],[CurrentStock]]&gt;Table1[[#This Row],[ReorderLevel]]*3,"Over Stock","Okay")</f>
        <v>Okay</v>
      </c>
      <c r="O437" t="str">
        <f>IF(Table1[[#This Row],[CurrentStock]]&lt;Table1[[#This Row],[ReorderLevel]],"Reorder","Okay")</f>
        <v>Okay</v>
      </c>
    </row>
    <row r="438" spans="1:15" x14ac:dyDescent="0.3">
      <c r="A438">
        <v>77173</v>
      </c>
      <c r="B438" t="s">
        <v>19</v>
      </c>
      <c r="C438" t="s">
        <v>28</v>
      </c>
      <c r="D438">
        <v>2</v>
      </c>
      <c r="E438">
        <v>100</v>
      </c>
      <c r="F438">
        <v>10.69</v>
      </c>
      <c r="G438" t="s">
        <v>36</v>
      </c>
      <c r="H438" s="1">
        <v>45412</v>
      </c>
      <c r="I438" s="1">
        <v>45417</v>
      </c>
      <c r="J438" t="s">
        <v>37</v>
      </c>
      <c r="K438" t="b">
        <f>Table1[[#This Row],[CurrentStock]]&lt;Table1[[#This Row],[ReorderLevel]]</f>
        <v>1</v>
      </c>
      <c r="L438" s="9">
        <f>Table1[[#This Row],[CurrentStock]]*Table1[[#This Row],[UnitPrice]]</f>
        <v>21.38</v>
      </c>
      <c r="M438">
        <f>IF(Table1[[#This Row],[ReorderLevel]]-Table1[[#This Row],[CurrentStock]]&gt;0,Table1[[#This Row],[ReorderLevel]]-Table1[[#This Row],[CurrentStock]],"")</f>
        <v>98</v>
      </c>
      <c r="N438" t="str">
        <f>IF(Table1[[#This Row],[CurrentStock]]&gt;Table1[[#This Row],[ReorderLevel]]*3,"Over Stock","Okay")</f>
        <v>Okay</v>
      </c>
      <c r="O438" t="str">
        <f>IF(Table1[[#This Row],[CurrentStock]]&lt;Table1[[#This Row],[ReorderLevel]],"Reorder","Okay")</f>
        <v>Reorder</v>
      </c>
    </row>
    <row r="439" spans="1:15" x14ac:dyDescent="0.3">
      <c r="A439">
        <v>25954</v>
      </c>
      <c r="B439" t="s">
        <v>26</v>
      </c>
      <c r="C439" t="s">
        <v>30</v>
      </c>
      <c r="D439">
        <v>201</v>
      </c>
      <c r="E439">
        <v>50</v>
      </c>
      <c r="F439">
        <v>333.79</v>
      </c>
      <c r="G439" t="s">
        <v>32</v>
      </c>
      <c r="H439" s="1">
        <v>45400</v>
      </c>
      <c r="I439" s="1">
        <v>45424</v>
      </c>
      <c r="J439" t="s">
        <v>37</v>
      </c>
      <c r="K439" t="b">
        <f>Table1[[#This Row],[CurrentStock]]&lt;Table1[[#This Row],[ReorderLevel]]</f>
        <v>0</v>
      </c>
      <c r="L439" s="9">
        <f>Table1[[#This Row],[CurrentStock]]*Table1[[#This Row],[UnitPrice]]</f>
        <v>67091.790000000008</v>
      </c>
      <c r="M439" t="str">
        <f>IF(Table1[[#This Row],[ReorderLevel]]-Table1[[#This Row],[CurrentStock]]&gt;0,Table1[[#This Row],[ReorderLevel]]-Table1[[#This Row],[CurrentStock]],"")</f>
        <v/>
      </c>
      <c r="N439" t="str">
        <f>IF(Table1[[#This Row],[CurrentStock]]&gt;Table1[[#This Row],[ReorderLevel]]*3,"Over Stock","Okay")</f>
        <v>Over Stock</v>
      </c>
      <c r="O439" t="str">
        <f>IF(Table1[[#This Row],[CurrentStock]]&lt;Table1[[#This Row],[ReorderLevel]],"Reorder","Okay")</f>
        <v>Okay</v>
      </c>
    </row>
    <row r="440" spans="1:15" x14ac:dyDescent="0.3">
      <c r="A440">
        <v>81832</v>
      </c>
      <c r="B440" t="s">
        <v>19</v>
      </c>
      <c r="C440" t="s">
        <v>28</v>
      </c>
      <c r="D440">
        <v>311</v>
      </c>
      <c r="E440">
        <v>30</v>
      </c>
      <c r="F440">
        <v>270.10000000000002</v>
      </c>
      <c r="G440" t="s">
        <v>36</v>
      </c>
      <c r="H440" s="1">
        <v>45568</v>
      </c>
      <c r="I440" s="1">
        <v>45596</v>
      </c>
      <c r="J440" t="s">
        <v>38</v>
      </c>
      <c r="K440" t="b">
        <f>Table1[[#This Row],[CurrentStock]]&lt;Table1[[#This Row],[ReorderLevel]]</f>
        <v>0</v>
      </c>
      <c r="L440" s="9">
        <f>Table1[[#This Row],[CurrentStock]]*Table1[[#This Row],[UnitPrice]]</f>
        <v>84001.1</v>
      </c>
      <c r="M440" t="str">
        <f>IF(Table1[[#This Row],[ReorderLevel]]-Table1[[#This Row],[CurrentStock]]&gt;0,Table1[[#This Row],[ReorderLevel]]-Table1[[#This Row],[CurrentStock]],"")</f>
        <v/>
      </c>
      <c r="N440" t="str">
        <f>IF(Table1[[#This Row],[CurrentStock]]&gt;Table1[[#This Row],[ReorderLevel]]*3,"Over Stock","Okay")</f>
        <v>Over Stock</v>
      </c>
      <c r="O440" t="str">
        <f>IF(Table1[[#This Row],[CurrentStock]]&lt;Table1[[#This Row],[ReorderLevel]],"Reorder","Okay")</f>
        <v>Okay</v>
      </c>
    </row>
    <row r="441" spans="1:15" x14ac:dyDescent="0.3">
      <c r="A441">
        <v>40816</v>
      </c>
      <c r="B441" t="s">
        <v>17</v>
      </c>
      <c r="C441" t="s">
        <v>30</v>
      </c>
      <c r="D441">
        <v>109</v>
      </c>
      <c r="E441">
        <v>30</v>
      </c>
      <c r="F441">
        <v>189.89</v>
      </c>
      <c r="G441" t="s">
        <v>35</v>
      </c>
      <c r="H441" s="1">
        <v>45605</v>
      </c>
      <c r="I441" s="1">
        <v>45625</v>
      </c>
      <c r="J441" t="s">
        <v>37</v>
      </c>
      <c r="K441" t="b">
        <f>Table1[[#This Row],[CurrentStock]]&lt;Table1[[#This Row],[ReorderLevel]]</f>
        <v>0</v>
      </c>
      <c r="L441" s="9">
        <f>Table1[[#This Row],[CurrentStock]]*Table1[[#This Row],[UnitPrice]]</f>
        <v>20698.009999999998</v>
      </c>
      <c r="M441" t="str">
        <f>IF(Table1[[#This Row],[ReorderLevel]]-Table1[[#This Row],[CurrentStock]]&gt;0,Table1[[#This Row],[ReorderLevel]]-Table1[[#This Row],[CurrentStock]],"")</f>
        <v/>
      </c>
      <c r="N441" t="str">
        <f>IF(Table1[[#This Row],[CurrentStock]]&gt;Table1[[#This Row],[ReorderLevel]]*3,"Over Stock","Okay")</f>
        <v>Over Stock</v>
      </c>
      <c r="O441" t="str">
        <f>IF(Table1[[#This Row],[CurrentStock]]&lt;Table1[[#This Row],[ReorderLevel]],"Reorder","Okay")</f>
        <v>Okay</v>
      </c>
    </row>
    <row r="442" spans="1:15" x14ac:dyDescent="0.3">
      <c r="A442">
        <v>42854</v>
      </c>
      <c r="B442" t="s">
        <v>26</v>
      </c>
      <c r="C442" t="s">
        <v>30</v>
      </c>
      <c r="D442">
        <v>5</v>
      </c>
      <c r="E442">
        <v>40</v>
      </c>
      <c r="F442">
        <v>415.29</v>
      </c>
      <c r="G442" t="s">
        <v>35</v>
      </c>
      <c r="H442" s="1">
        <v>45330</v>
      </c>
      <c r="I442" s="1">
        <v>45356</v>
      </c>
      <c r="J442" t="s">
        <v>38</v>
      </c>
      <c r="K442" t="b">
        <f>Table1[[#This Row],[CurrentStock]]&lt;Table1[[#This Row],[ReorderLevel]]</f>
        <v>1</v>
      </c>
      <c r="L442" s="9">
        <f>Table1[[#This Row],[CurrentStock]]*Table1[[#This Row],[UnitPrice]]</f>
        <v>2076.4500000000003</v>
      </c>
      <c r="M442">
        <f>IF(Table1[[#This Row],[ReorderLevel]]-Table1[[#This Row],[CurrentStock]]&gt;0,Table1[[#This Row],[ReorderLevel]]-Table1[[#This Row],[CurrentStock]],"")</f>
        <v>35</v>
      </c>
      <c r="N442" t="str">
        <f>IF(Table1[[#This Row],[CurrentStock]]&gt;Table1[[#This Row],[ReorderLevel]]*3,"Over Stock","Okay")</f>
        <v>Okay</v>
      </c>
      <c r="O442" t="str">
        <f>IF(Table1[[#This Row],[CurrentStock]]&lt;Table1[[#This Row],[ReorderLevel]],"Reorder","Okay")</f>
        <v>Reorder</v>
      </c>
    </row>
    <row r="443" spans="1:15" x14ac:dyDescent="0.3">
      <c r="A443">
        <v>33199</v>
      </c>
      <c r="B443" t="s">
        <v>15</v>
      </c>
      <c r="C443" t="s">
        <v>29</v>
      </c>
      <c r="D443">
        <v>312</v>
      </c>
      <c r="E443">
        <v>150</v>
      </c>
      <c r="F443">
        <v>307.22000000000003</v>
      </c>
      <c r="G443" t="s">
        <v>34</v>
      </c>
      <c r="H443" s="1">
        <v>45576</v>
      </c>
      <c r="I443" s="1">
        <v>45603</v>
      </c>
      <c r="J443" t="s">
        <v>38</v>
      </c>
      <c r="K443" t="b">
        <f>Table1[[#This Row],[CurrentStock]]&lt;Table1[[#This Row],[ReorderLevel]]</f>
        <v>0</v>
      </c>
      <c r="L443" s="9">
        <f>Table1[[#This Row],[CurrentStock]]*Table1[[#This Row],[UnitPrice]]</f>
        <v>95852.640000000014</v>
      </c>
      <c r="M443" t="str">
        <f>IF(Table1[[#This Row],[ReorderLevel]]-Table1[[#This Row],[CurrentStock]]&gt;0,Table1[[#This Row],[ReorderLevel]]-Table1[[#This Row],[CurrentStock]],"")</f>
        <v/>
      </c>
      <c r="N443" t="str">
        <f>IF(Table1[[#This Row],[CurrentStock]]&gt;Table1[[#This Row],[ReorderLevel]]*3,"Over Stock","Okay")</f>
        <v>Okay</v>
      </c>
      <c r="O443" t="str">
        <f>IF(Table1[[#This Row],[CurrentStock]]&lt;Table1[[#This Row],[ReorderLevel]],"Reorder","Okay")</f>
        <v>Okay</v>
      </c>
    </row>
    <row r="444" spans="1:15" x14ac:dyDescent="0.3">
      <c r="A444">
        <v>23917</v>
      </c>
      <c r="B444" t="s">
        <v>26</v>
      </c>
      <c r="C444" t="s">
        <v>30</v>
      </c>
      <c r="D444">
        <v>246</v>
      </c>
      <c r="E444">
        <v>80</v>
      </c>
      <c r="F444">
        <v>360.78</v>
      </c>
      <c r="G444" t="s">
        <v>35</v>
      </c>
      <c r="H444" s="1">
        <v>45425</v>
      </c>
      <c r="I444" s="1">
        <v>45447</v>
      </c>
      <c r="J444" t="s">
        <v>39</v>
      </c>
      <c r="K444" t="b">
        <f>Table1[[#This Row],[CurrentStock]]&lt;Table1[[#This Row],[ReorderLevel]]</f>
        <v>0</v>
      </c>
      <c r="L444" s="9">
        <f>Table1[[#This Row],[CurrentStock]]*Table1[[#This Row],[UnitPrice]]</f>
        <v>88751.87999999999</v>
      </c>
      <c r="M444" t="str">
        <f>IF(Table1[[#This Row],[ReorderLevel]]-Table1[[#This Row],[CurrentStock]]&gt;0,Table1[[#This Row],[ReorderLevel]]-Table1[[#This Row],[CurrentStock]],"")</f>
        <v/>
      </c>
      <c r="N444" t="str">
        <f>IF(Table1[[#This Row],[CurrentStock]]&gt;Table1[[#This Row],[ReorderLevel]]*3,"Over Stock","Okay")</f>
        <v>Over Stock</v>
      </c>
      <c r="O444" t="str">
        <f>IF(Table1[[#This Row],[CurrentStock]]&lt;Table1[[#This Row],[ReorderLevel]],"Reorder","Okay")</f>
        <v>Okay</v>
      </c>
    </row>
    <row r="445" spans="1:15" x14ac:dyDescent="0.3">
      <c r="A445">
        <v>53939</v>
      </c>
      <c r="B445" t="s">
        <v>12</v>
      </c>
      <c r="C445" t="s">
        <v>28</v>
      </c>
      <c r="D445">
        <v>234</v>
      </c>
      <c r="E445">
        <v>30</v>
      </c>
      <c r="F445">
        <v>441.42</v>
      </c>
      <c r="G445" t="s">
        <v>33</v>
      </c>
      <c r="H445" s="1">
        <v>45413</v>
      </c>
      <c r="I445" s="1">
        <v>45427</v>
      </c>
      <c r="J445" t="s">
        <v>37</v>
      </c>
      <c r="K445" t="b">
        <f>Table1[[#This Row],[CurrentStock]]&lt;Table1[[#This Row],[ReorderLevel]]</f>
        <v>0</v>
      </c>
      <c r="L445" s="9">
        <f>Table1[[#This Row],[CurrentStock]]*Table1[[#This Row],[UnitPrice]]</f>
        <v>103292.28</v>
      </c>
      <c r="M445" t="str">
        <f>IF(Table1[[#This Row],[ReorderLevel]]-Table1[[#This Row],[CurrentStock]]&gt;0,Table1[[#This Row],[ReorderLevel]]-Table1[[#This Row],[CurrentStock]],"")</f>
        <v/>
      </c>
      <c r="N445" t="str">
        <f>IF(Table1[[#This Row],[CurrentStock]]&gt;Table1[[#This Row],[ReorderLevel]]*3,"Over Stock","Okay")</f>
        <v>Over Stock</v>
      </c>
      <c r="O445" t="str">
        <f>IF(Table1[[#This Row],[CurrentStock]]&lt;Table1[[#This Row],[ReorderLevel]],"Reorder","Okay")</f>
        <v>Okay</v>
      </c>
    </row>
    <row r="446" spans="1:15" x14ac:dyDescent="0.3">
      <c r="A446">
        <v>57221</v>
      </c>
      <c r="B446" t="s">
        <v>25</v>
      </c>
      <c r="C446" t="s">
        <v>31</v>
      </c>
      <c r="D446">
        <v>205</v>
      </c>
      <c r="E446">
        <v>150</v>
      </c>
      <c r="F446">
        <v>33.58</v>
      </c>
      <c r="G446" t="s">
        <v>34</v>
      </c>
      <c r="H446" s="1">
        <v>45537</v>
      </c>
      <c r="I446" s="1">
        <v>45560</v>
      </c>
      <c r="J446" t="s">
        <v>38</v>
      </c>
      <c r="K446" t="b">
        <f>Table1[[#This Row],[CurrentStock]]&lt;Table1[[#This Row],[ReorderLevel]]</f>
        <v>0</v>
      </c>
      <c r="L446" s="9">
        <f>Table1[[#This Row],[CurrentStock]]*Table1[[#This Row],[UnitPrice]]</f>
        <v>6883.9</v>
      </c>
      <c r="M446" t="str">
        <f>IF(Table1[[#This Row],[ReorderLevel]]-Table1[[#This Row],[CurrentStock]]&gt;0,Table1[[#This Row],[ReorderLevel]]-Table1[[#This Row],[CurrentStock]],"")</f>
        <v/>
      </c>
      <c r="N446" t="str">
        <f>IF(Table1[[#This Row],[CurrentStock]]&gt;Table1[[#This Row],[ReorderLevel]]*3,"Over Stock","Okay")</f>
        <v>Okay</v>
      </c>
      <c r="O446" t="str">
        <f>IF(Table1[[#This Row],[CurrentStock]]&lt;Table1[[#This Row],[ReorderLevel]],"Reorder","Okay")</f>
        <v>Okay</v>
      </c>
    </row>
    <row r="447" spans="1:15" x14ac:dyDescent="0.3">
      <c r="A447">
        <v>90201</v>
      </c>
      <c r="B447" t="s">
        <v>26</v>
      </c>
      <c r="C447" t="s">
        <v>30</v>
      </c>
      <c r="D447">
        <v>174</v>
      </c>
      <c r="E447">
        <v>20</v>
      </c>
      <c r="F447">
        <v>217.33</v>
      </c>
      <c r="G447" t="s">
        <v>33</v>
      </c>
      <c r="H447" s="1">
        <v>45310</v>
      </c>
      <c r="I447" s="1">
        <v>45317</v>
      </c>
      <c r="J447" t="s">
        <v>37</v>
      </c>
      <c r="K447" t="b">
        <f>Table1[[#This Row],[CurrentStock]]&lt;Table1[[#This Row],[ReorderLevel]]</f>
        <v>0</v>
      </c>
      <c r="L447" s="9">
        <f>Table1[[#This Row],[CurrentStock]]*Table1[[#This Row],[UnitPrice]]</f>
        <v>37815.420000000006</v>
      </c>
      <c r="M447" t="str">
        <f>IF(Table1[[#This Row],[ReorderLevel]]-Table1[[#This Row],[CurrentStock]]&gt;0,Table1[[#This Row],[ReorderLevel]]-Table1[[#This Row],[CurrentStock]],"")</f>
        <v/>
      </c>
      <c r="N447" t="str">
        <f>IF(Table1[[#This Row],[CurrentStock]]&gt;Table1[[#This Row],[ReorderLevel]]*3,"Over Stock","Okay")</f>
        <v>Over Stock</v>
      </c>
      <c r="O447" t="str">
        <f>IF(Table1[[#This Row],[CurrentStock]]&lt;Table1[[#This Row],[ReorderLevel]],"Reorder","Okay")</f>
        <v>Okay</v>
      </c>
    </row>
    <row r="448" spans="1:15" x14ac:dyDescent="0.3">
      <c r="A448">
        <v>20799</v>
      </c>
      <c r="B448" t="s">
        <v>23</v>
      </c>
      <c r="C448" t="s">
        <v>30</v>
      </c>
      <c r="D448">
        <v>353</v>
      </c>
      <c r="E448">
        <v>40</v>
      </c>
      <c r="F448">
        <v>275.61</v>
      </c>
      <c r="G448" t="s">
        <v>35</v>
      </c>
      <c r="H448" s="1">
        <v>45384</v>
      </c>
      <c r="I448" s="1">
        <v>45401</v>
      </c>
      <c r="J448" t="s">
        <v>37</v>
      </c>
      <c r="K448" t="b">
        <f>Table1[[#This Row],[CurrentStock]]&lt;Table1[[#This Row],[ReorderLevel]]</f>
        <v>0</v>
      </c>
      <c r="L448" s="9">
        <f>Table1[[#This Row],[CurrentStock]]*Table1[[#This Row],[UnitPrice]]</f>
        <v>97290.33</v>
      </c>
      <c r="M448" t="str">
        <f>IF(Table1[[#This Row],[ReorderLevel]]-Table1[[#This Row],[CurrentStock]]&gt;0,Table1[[#This Row],[ReorderLevel]]-Table1[[#This Row],[CurrentStock]],"")</f>
        <v/>
      </c>
      <c r="N448" t="str">
        <f>IF(Table1[[#This Row],[CurrentStock]]&gt;Table1[[#This Row],[ReorderLevel]]*3,"Over Stock","Okay")</f>
        <v>Over Stock</v>
      </c>
      <c r="O448" t="str">
        <f>IF(Table1[[#This Row],[CurrentStock]]&lt;Table1[[#This Row],[ReorderLevel]],"Reorder","Okay")</f>
        <v>Okay</v>
      </c>
    </row>
    <row r="449" spans="1:15" x14ac:dyDescent="0.3">
      <c r="A449">
        <v>71744</v>
      </c>
      <c r="B449" t="s">
        <v>26</v>
      </c>
      <c r="C449" t="s">
        <v>30</v>
      </c>
      <c r="D449">
        <v>294</v>
      </c>
      <c r="E449">
        <v>30</v>
      </c>
      <c r="F449">
        <v>258.58</v>
      </c>
      <c r="G449" t="s">
        <v>32</v>
      </c>
      <c r="H449" s="1">
        <v>45560</v>
      </c>
      <c r="I449" s="1">
        <v>45569</v>
      </c>
      <c r="J449" t="s">
        <v>38</v>
      </c>
      <c r="K449" t="b">
        <f>Table1[[#This Row],[CurrentStock]]&lt;Table1[[#This Row],[ReorderLevel]]</f>
        <v>0</v>
      </c>
      <c r="L449" s="9">
        <f>Table1[[#This Row],[CurrentStock]]*Table1[[#This Row],[UnitPrice]]</f>
        <v>76022.51999999999</v>
      </c>
      <c r="M449" t="str">
        <f>IF(Table1[[#This Row],[ReorderLevel]]-Table1[[#This Row],[CurrentStock]]&gt;0,Table1[[#This Row],[ReorderLevel]]-Table1[[#This Row],[CurrentStock]],"")</f>
        <v/>
      </c>
      <c r="N449" t="str">
        <f>IF(Table1[[#This Row],[CurrentStock]]&gt;Table1[[#This Row],[ReorderLevel]]*3,"Over Stock","Okay")</f>
        <v>Over Stock</v>
      </c>
      <c r="O449" t="str">
        <f>IF(Table1[[#This Row],[CurrentStock]]&lt;Table1[[#This Row],[ReorderLevel]],"Reorder","Okay")</f>
        <v>Okay</v>
      </c>
    </row>
    <row r="450" spans="1:15" x14ac:dyDescent="0.3">
      <c r="A450">
        <v>49082</v>
      </c>
      <c r="B450" t="s">
        <v>24</v>
      </c>
      <c r="C450" t="s">
        <v>31</v>
      </c>
      <c r="D450">
        <v>102</v>
      </c>
      <c r="E450">
        <v>80</v>
      </c>
      <c r="F450">
        <v>389.36</v>
      </c>
      <c r="G450" t="s">
        <v>35</v>
      </c>
      <c r="H450" s="1">
        <v>45353</v>
      </c>
      <c r="I450" s="1">
        <v>45374</v>
      </c>
      <c r="J450" t="s">
        <v>38</v>
      </c>
      <c r="K450" t="b">
        <f>Table1[[#This Row],[CurrentStock]]&lt;Table1[[#This Row],[ReorderLevel]]</f>
        <v>0</v>
      </c>
      <c r="L450" s="9">
        <f>Table1[[#This Row],[CurrentStock]]*Table1[[#This Row],[UnitPrice]]</f>
        <v>39714.720000000001</v>
      </c>
      <c r="M450" t="str">
        <f>IF(Table1[[#This Row],[ReorderLevel]]-Table1[[#This Row],[CurrentStock]]&gt;0,Table1[[#This Row],[ReorderLevel]]-Table1[[#This Row],[CurrentStock]],"")</f>
        <v/>
      </c>
      <c r="N450" t="str">
        <f>IF(Table1[[#This Row],[CurrentStock]]&gt;Table1[[#This Row],[ReorderLevel]]*3,"Over Stock","Okay")</f>
        <v>Okay</v>
      </c>
      <c r="O450" t="str">
        <f>IF(Table1[[#This Row],[CurrentStock]]&lt;Table1[[#This Row],[ReorderLevel]],"Reorder","Okay")</f>
        <v>Okay</v>
      </c>
    </row>
    <row r="451" spans="1:15" x14ac:dyDescent="0.3">
      <c r="A451">
        <v>52056</v>
      </c>
      <c r="B451" t="s">
        <v>16</v>
      </c>
      <c r="C451" t="s">
        <v>30</v>
      </c>
      <c r="D451">
        <v>206</v>
      </c>
      <c r="E451">
        <v>80</v>
      </c>
      <c r="F451">
        <v>316.07</v>
      </c>
      <c r="G451" t="s">
        <v>35</v>
      </c>
      <c r="H451" s="1">
        <v>45573</v>
      </c>
      <c r="I451" s="1">
        <v>45593</v>
      </c>
      <c r="J451" t="s">
        <v>37</v>
      </c>
      <c r="K451" t="b">
        <f>Table1[[#This Row],[CurrentStock]]&lt;Table1[[#This Row],[ReorderLevel]]</f>
        <v>0</v>
      </c>
      <c r="L451" s="9">
        <f>Table1[[#This Row],[CurrentStock]]*Table1[[#This Row],[UnitPrice]]</f>
        <v>65110.42</v>
      </c>
      <c r="M451" t="str">
        <f>IF(Table1[[#This Row],[ReorderLevel]]-Table1[[#This Row],[CurrentStock]]&gt;0,Table1[[#This Row],[ReorderLevel]]-Table1[[#This Row],[CurrentStock]],"")</f>
        <v/>
      </c>
      <c r="N451" t="str">
        <f>IF(Table1[[#This Row],[CurrentStock]]&gt;Table1[[#This Row],[ReorderLevel]]*3,"Over Stock","Okay")</f>
        <v>Okay</v>
      </c>
      <c r="O451" t="str">
        <f>IF(Table1[[#This Row],[CurrentStock]]&lt;Table1[[#This Row],[ReorderLevel]],"Reorder","Okay")</f>
        <v>Okay</v>
      </c>
    </row>
    <row r="452" spans="1:15" x14ac:dyDescent="0.3">
      <c r="A452">
        <v>10717</v>
      </c>
      <c r="B452" t="s">
        <v>12</v>
      </c>
      <c r="C452" t="s">
        <v>28</v>
      </c>
      <c r="D452">
        <v>335</v>
      </c>
      <c r="E452">
        <v>20</v>
      </c>
      <c r="F452">
        <v>245.12</v>
      </c>
      <c r="G452" t="s">
        <v>36</v>
      </c>
      <c r="H452" s="1">
        <v>45409</v>
      </c>
      <c r="I452" s="1">
        <v>45420</v>
      </c>
      <c r="J452" t="s">
        <v>38</v>
      </c>
      <c r="K452" t="b">
        <f>Table1[[#This Row],[CurrentStock]]&lt;Table1[[#This Row],[ReorderLevel]]</f>
        <v>0</v>
      </c>
      <c r="L452" s="9">
        <f>Table1[[#This Row],[CurrentStock]]*Table1[[#This Row],[UnitPrice]]</f>
        <v>82115.199999999997</v>
      </c>
      <c r="M452" t="str">
        <f>IF(Table1[[#This Row],[ReorderLevel]]-Table1[[#This Row],[CurrentStock]]&gt;0,Table1[[#This Row],[ReorderLevel]]-Table1[[#This Row],[CurrentStock]],"")</f>
        <v/>
      </c>
      <c r="N452" t="str">
        <f>IF(Table1[[#This Row],[CurrentStock]]&gt;Table1[[#This Row],[ReorderLevel]]*3,"Over Stock","Okay")</f>
        <v>Over Stock</v>
      </c>
      <c r="O452" t="str">
        <f>IF(Table1[[#This Row],[CurrentStock]]&lt;Table1[[#This Row],[ReorderLevel]],"Reorder","Okay")</f>
        <v>Okay</v>
      </c>
    </row>
    <row r="453" spans="1:15" x14ac:dyDescent="0.3">
      <c r="A453">
        <v>44872</v>
      </c>
      <c r="B453" t="s">
        <v>15</v>
      </c>
      <c r="C453" t="s">
        <v>29</v>
      </c>
      <c r="D453">
        <v>424</v>
      </c>
      <c r="E453">
        <v>80</v>
      </c>
      <c r="F453">
        <v>244.75</v>
      </c>
      <c r="G453" t="s">
        <v>33</v>
      </c>
      <c r="H453" s="1">
        <v>45430</v>
      </c>
      <c r="I453" s="1">
        <v>45464</v>
      </c>
      <c r="J453" t="s">
        <v>38</v>
      </c>
      <c r="K453" t="b">
        <f>Table1[[#This Row],[CurrentStock]]&lt;Table1[[#This Row],[ReorderLevel]]</f>
        <v>0</v>
      </c>
      <c r="L453" s="9">
        <f>Table1[[#This Row],[CurrentStock]]*Table1[[#This Row],[UnitPrice]]</f>
        <v>103774</v>
      </c>
      <c r="M453" t="str">
        <f>IF(Table1[[#This Row],[ReorderLevel]]-Table1[[#This Row],[CurrentStock]]&gt;0,Table1[[#This Row],[ReorderLevel]]-Table1[[#This Row],[CurrentStock]],"")</f>
        <v/>
      </c>
      <c r="N453" t="str">
        <f>IF(Table1[[#This Row],[CurrentStock]]&gt;Table1[[#This Row],[ReorderLevel]]*3,"Over Stock","Okay")</f>
        <v>Over Stock</v>
      </c>
      <c r="O453" t="str">
        <f>IF(Table1[[#This Row],[CurrentStock]]&lt;Table1[[#This Row],[ReorderLevel]],"Reorder","Okay")</f>
        <v>Okay</v>
      </c>
    </row>
    <row r="454" spans="1:15" x14ac:dyDescent="0.3">
      <c r="A454">
        <v>35307</v>
      </c>
      <c r="B454" t="s">
        <v>21</v>
      </c>
      <c r="C454" t="s">
        <v>31</v>
      </c>
      <c r="D454">
        <v>5</v>
      </c>
      <c r="E454">
        <v>50</v>
      </c>
      <c r="F454">
        <v>94.95</v>
      </c>
      <c r="G454" t="s">
        <v>34</v>
      </c>
      <c r="H454" s="1">
        <v>45651</v>
      </c>
      <c r="I454" s="1">
        <v>45670</v>
      </c>
      <c r="J454" t="s">
        <v>37</v>
      </c>
      <c r="K454" t="b">
        <f>Table1[[#This Row],[CurrentStock]]&lt;Table1[[#This Row],[ReorderLevel]]</f>
        <v>1</v>
      </c>
      <c r="L454" s="9">
        <f>Table1[[#This Row],[CurrentStock]]*Table1[[#This Row],[UnitPrice]]</f>
        <v>474.75</v>
      </c>
      <c r="M454">
        <f>IF(Table1[[#This Row],[ReorderLevel]]-Table1[[#This Row],[CurrentStock]]&gt;0,Table1[[#This Row],[ReorderLevel]]-Table1[[#This Row],[CurrentStock]],"")</f>
        <v>45</v>
      </c>
      <c r="N454" t="str">
        <f>IF(Table1[[#This Row],[CurrentStock]]&gt;Table1[[#This Row],[ReorderLevel]]*3,"Over Stock","Okay")</f>
        <v>Okay</v>
      </c>
      <c r="O454" t="str">
        <f>IF(Table1[[#This Row],[CurrentStock]]&lt;Table1[[#This Row],[ReorderLevel]],"Reorder","Okay")</f>
        <v>Reorder</v>
      </c>
    </row>
    <row r="455" spans="1:15" x14ac:dyDescent="0.3">
      <c r="A455">
        <v>97999</v>
      </c>
      <c r="B455" t="s">
        <v>18</v>
      </c>
      <c r="C455" t="s">
        <v>28</v>
      </c>
      <c r="D455">
        <v>81</v>
      </c>
      <c r="E455">
        <v>30</v>
      </c>
      <c r="F455">
        <v>259.12</v>
      </c>
      <c r="G455" t="s">
        <v>36</v>
      </c>
      <c r="H455" s="1">
        <v>45626</v>
      </c>
      <c r="I455" s="1">
        <v>45650</v>
      </c>
      <c r="J455" t="s">
        <v>38</v>
      </c>
      <c r="K455" t="b">
        <f>Table1[[#This Row],[CurrentStock]]&lt;Table1[[#This Row],[ReorderLevel]]</f>
        <v>0</v>
      </c>
      <c r="L455" s="9">
        <f>Table1[[#This Row],[CurrentStock]]*Table1[[#This Row],[UnitPrice]]</f>
        <v>20988.720000000001</v>
      </c>
      <c r="M455" t="str">
        <f>IF(Table1[[#This Row],[ReorderLevel]]-Table1[[#This Row],[CurrentStock]]&gt;0,Table1[[#This Row],[ReorderLevel]]-Table1[[#This Row],[CurrentStock]],"")</f>
        <v/>
      </c>
      <c r="N455" t="str">
        <f>IF(Table1[[#This Row],[CurrentStock]]&gt;Table1[[#This Row],[ReorderLevel]]*3,"Over Stock","Okay")</f>
        <v>Okay</v>
      </c>
      <c r="O455" t="str">
        <f>IF(Table1[[#This Row],[CurrentStock]]&lt;Table1[[#This Row],[ReorderLevel]],"Reorder","Okay")</f>
        <v>Okay</v>
      </c>
    </row>
    <row r="456" spans="1:15" x14ac:dyDescent="0.3">
      <c r="A456">
        <v>32010</v>
      </c>
      <c r="B456" t="s">
        <v>24</v>
      </c>
      <c r="C456" t="s">
        <v>31</v>
      </c>
      <c r="D456">
        <v>322</v>
      </c>
      <c r="E456">
        <v>40</v>
      </c>
      <c r="F456">
        <v>39.65</v>
      </c>
      <c r="G456" t="s">
        <v>34</v>
      </c>
      <c r="H456" s="1">
        <v>45497</v>
      </c>
      <c r="I456" s="1">
        <v>45505</v>
      </c>
      <c r="J456" t="s">
        <v>38</v>
      </c>
      <c r="K456" t="b">
        <f>Table1[[#This Row],[CurrentStock]]&lt;Table1[[#This Row],[ReorderLevel]]</f>
        <v>0</v>
      </c>
      <c r="L456" s="9">
        <f>Table1[[#This Row],[CurrentStock]]*Table1[[#This Row],[UnitPrice]]</f>
        <v>12767.3</v>
      </c>
      <c r="M456" t="str">
        <f>IF(Table1[[#This Row],[ReorderLevel]]-Table1[[#This Row],[CurrentStock]]&gt;0,Table1[[#This Row],[ReorderLevel]]-Table1[[#This Row],[CurrentStock]],"")</f>
        <v/>
      </c>
      <c r="N456" t="str">
        <f>IF(Table1[[#This Row],[CurrentStock]]&gt;Table1[[#This Row],[ReorderLevel]]*3,"Over Stock","Okay")</f>
        <v>Over Stock</v>
      </c>
      <c r="O456" t="str">
        <f>IF(Table1[[#This Row],[CurrentStock]]&lt;Table1[[#This Row],[ReorderLevel]],"Reorder","Okay")</f>
        <v>Okay</v>
      </c>
    </row>
    <row r="457" spans="1:15" x14ac:dyDescent="0.3">
      <c r="A457">
        <v>24683</v>
      </c>
      <c r="B457" t="s">
        <v>25</v>
      </c>
      <c r="C457" t="s">
        <v>31</v>
      </c>
      <c r="D457">
        <v>106</v>
      </c>
      <c r="E457">
        <v>40</v>
      </c>
      <c r="F457">
        <v>192.72</v>
      </c>
      <c r="G457" t="s">
        <v>34</v>
      </c>
      <c r="H457" s="1">
        <v>45353</v>
      </c>
      <c r="I457" s="1">
        <v>45366</v>
      </c>
      <c r="J457" t="s">
        <v>39</v>
      </c>
      <c r="K457" t="b">
        <f>Table1[[#This Row],[CurrentStock]]&lt;Table1[[#This Row],[ReorderLevel]]</f>
        <v>0</v>
      </c>
      <c r="L457" s="9">
        <f>Table1[[#This Row],[CurrentStock]]*Table1[[#This Row],[UnitPrice]]</f>
        <v>20428.32</v>
      </c>
      <c r="M457" t="str">
        <f>IF(Table1[[#This Row],[ReorderLevel]]-Table1[[#This Row],[CurrentStock]]&gt;0,Table1[[#This Row],[ReorderLevel]]-Table1[[#This Row],[CurrentStock]],"")</f>
        <v/>
      </c>
      <c r="N457" t="str">
        <f>IF(Table1[[#This Row],[CurrentStock]]&gt;Table1[[#This Row],[ReorderLevel]]*3,"Over Stock","Okay")</f>
        <v>Okay</v>
      </c>
      <c r="O457" t="str">
        <f>IF(Table1[[#This Row],[CurrentStock]]&lt;Table1[[#This Row],[ReorderLevel]],"Reorder","Okay")</f>
        <v>Okay</v>
      </c>
    </row>
    <row r="458" spans="1:15" x14ac:dyDescent="0.3">
      <c r="A458">
        <v>21577</v>
      </c>
      <c r="B458" t="s">
        <v>17</v>
      </c>
      <c r="C458" t="s">
        <v>30</v>
      </c>
      <c r="D458">
        <v>206</v>
      </c>
      <c r="E458">
        <v>20</v>
      </c>
      <c r="F458">
        <v>292.60000000000002</v>
      </c>
      <c r="G458" t="s">
        <v>34</v>
      </c>
      <c r="H458" s="1">
        <v>45492</v>
      </c>
      <c r="I458" s="1">
        <v>45528</v>
      </c>
      <c r="J458" t="s">
        <v>37</v>
      </c>
      <c r="K458" t="b">
        <f>Table1[[#This Row],[CurrentStock]]&lt;Table1[[#This Row],[ReorderLevel]]</f>
        <v>0</v>
      </c>
      <c r="L458" s="9">
        <f>Table1[[#This Row],[CurrentStock]]*Table1[[#This Row],[UnitPrice]]</f>
        <v>60275.600000000006</v>
      </c>
      <c r="M458" t="str">
        <f>IF(Table1[[#This Row],[ReorderLevel]]-Table1[[#This Row],[CurrentStock]]&gt;0,Table1[[#This Row],[ReorderLevel]]-Table1[[#This Row],[CurrentStock]],"")</f>
        <v/>
      </c>
      <c r="N458" t="str">
        <f>IF(Table1[[#This Row],[CurrentStock]]&gt;Table1[[#This Row],[ReorderLevel]]*3,"Over Stock","Okay")</f>
        <v>Over Stock</v>
      </c>
      <c r="O458" t="str">
        <f>IF(Table1[[#This Row],[CurrentStock]]&lt;Table1[[#This Row],[ReorderLevel]],"Reorder","Okay")</f>
        <v>Okay</v>
      </c>
    </row>
    <row r="459" spans="1:15" x14ac:dyDescent="0.3">
      <c r="A459">
        <v>45710</v>
      </c>
      <c r="B459" t="s">
        <v>20</v>
      </c>
      <c r="C459" t="s">
        <v>29</v>
      </c>
      <c r="D459">
        <v>210</v>
      </c>
      <c r="E459">
        <v>50</v>
      </c>
      <c r="F459">
        <v>372.42</v>
      </c>
      <c r="G459" t="s">
        <v>34</v>
      </c>
      <c r="H459" s="1">
        <v>45362</v>
      </c>
      <c r="I459" s="1">
        <v>45394</v>
      </c>
      <c r="J459" t="s">
        <v>39</v>
      </c>
      <c r="K459" t="b">
        <f>Table1[[#This Row],[CurrentStock]]&lt;Table1[[#This Row],[ReorderLevel]]</f>
        <v>0</v>
      </c>
      <c r="L459" s="9">
        <f>Table1[[#This Row],[CurrentStock]]*Table1[[#This Row],[UnitPrice]]</f>
        <v>78208.2</v>
      </c>
      <c r="M459" t="str">
        <f>IF(Table1[[#This Row],[ReorderLevel]]-Table1[[#This Row],[CurrentStock]]&gt;0,Table1[[#This Row],[ReorderLevel]]-Table1[[#This Row],[CurrentStock]],"")</f>
        <v/>
      </c>
      <c r="N459" t="str">
        <f>IF(Table1[[#This Row],[CurrentStock]]&gt;Table1[[#This Row],[ReorderLevel]]*3,"Over Stock","Okay")</f>
        <v>Over Stock</v>
      </c>
      <c r="O459" t="str">
        <f>IF(Table1[[#This Row],[CurrentStock]]&lt;Table1[[#This Row],[ReorderLevel]],"Reorder","Okay")</f>
        <v>Okay</v>
      </c>
    </row>
    <row r="460" spans="1:15" x14ac:dyDescent="0.3">
      <c r="A460">
        <v>76025</v>
      </c>
      <c r="B460" t="s">
        <v>23</v>
      </c>
      <c r="C460" t="s">
        <v>30</v>
      </c>
      <c r="D460">
        <v>400</v>
      </c>
      <c r="E460">
        <v>150</v>
      </c>
      <c r="F460">
        <v>304.68</v>
      </c>
      <c r="G460" t="s">
        <v>36</v>
      </c>
      <c r="H460" s="1">
        <v>45568</v>
      </c>
      <c r="I460" s="1">
        <v>45598</v>
      </c>
      <c r="J460" t="s">
        <v>37</v>
      </c>
      <c r="K460" t="b">
        <f>Table1[[#This Row],[CurrentStock]]&lt;Table1[[#This Row],[ReorderLevel]]</f>
        <v>0</v>
      </c>
      <c r="L460" s="9">
        <f>Table1[[#This Row],[CurrentStock]]*Table1[[#This Row],[UnitPrice]]</f>
        <v>121872</v>
      </c>
      <c r="M460" t="str">
        <f>IF(Table1[[#This Row],[ReorderLevel]]-Table1[[#This Row],[CurrentStock]]&gt;0,Table1[[#This Row],[ReorderLevel]]-Table1[[#This Row],[CurrentStock]],"")</f>
        <v/>
      </c>
      <c r="N460" t="str">
        <f>IF(Table1[[#This Row],[CurrentStock]]&gt;Table1[[#This Row],[ReorderLevel]]*3,"Over Stock","Okay")</f>
        <v>Okay</v>
      </c>
      <c r="O460" t="str">
        <f>IF(Table1[[#This Row],[CurrentStock]]&lt;Table1[[#This Row],[ReorderLevel]],"Reorder","Okay")</f>
        <v>Okay</v>
      </c>
    </row>
    <row r="461" spans="1:15" x14ac:dyDescent="0.3">
      <c r="A461">
        <v>26999</v>
      </c>
      <c r="B461" t="s">
        <v>21</v>
      </c>
      <c r="C461" t="s">
        <v>31</v>
      </c>
      <c r="D461">
        <v>444</v>
      </c>
      <c r="E461">
        <v>80</v>
      </c>
      <c r="F461">
        <v>357.82</v>
      </c>
      <c r="G461" t="s">
        <v>32</v>
      </c>
      <c r="H461" s="1">
        <v>45307</v>
      </c>
      <c r="I461" s="1">
        <v>45319</v>
      </c>
      <c r="J461" t="s">
        <v>37</v>
      </c>
      <c r="K461" t="b">
        <f>Table1[[#This Row],[CurrentStock]]&lt;Table1[[#This Row],[ReorderLevel]]</f>
        <v>0</v>
      </c>
      <c r="L461" s="9">
        <f>Table1[[#This Row],[CurrentStock]]*Table1[[#This Row],[UnitPrice]]</f>
        <v>158872.07999999999</v>
      </c>
      <c r="M461" t="str">
        <f>IF(Table1[[#This Row],[ReorderLevel]]-Table1[[#This Row],[CurrentStock]]&gt;0,Table1[[#This Row],[ReorderLevel]]-Table1[[#This Row],[CurrentStock]],"")</f>
        <v/>
      </c>
      <c r="N461" t="str">
        <f>IF(Table1[[#This Row],[CurrentStock]]&gt;Table1[[#This Row],[ReorderLevel]]*3,"Over Stock","Okay")</f>
        <v>Over Stock</v>
      </c>
      <c r="O461" t="str">
        <f>IF(Table1[[#This Row],[CurrentStock]]&lt;Table1[[#This Row],[ReorderLevel]],"Reorder","Okay")</f>
        <v>Okay</v>
      </c>
    </row>
    <row r="462" spans="1:15" x14ac:dyDescent="0.3">
      <c r="A462">
        <v>31839</v>
      </c>
      <c r="B462" t="s">
        <v>16</v>
      </c>
      <c r="C462" t="s">
        <v>30</v>
      </c>
      <c r="D462">
        <v>385</v>
      </c>
      <c r="E462">
        <v>100</v>
      </c>
      <c r="F462">
        <v>434.98</v>
      </c>
      <c r="G462" t="s">
        <v>35</v>
      </c>
      <c r="H462" s="1">
        <v>45429</v>
      </c>
      <c r="I462" s="1">
        <v>45444</v>
      </c>
      <c r="J462" t="s">
        <v>39</v>
      </c>
      <c r="K462" t="b">
        <f>Table1[[#This Row],[CurrentStock]]&lt;Table1[[#This Row],[ReorderLevel]]</f>
        <v>0</v>
      </c>
      <c r="L462" s="9">
        <f>Table1[[#This Row],[CurrentStock]]*Table1[[#This Row],[UnitPrice]]</f>
        <v>167467.30000000002</v>
      </c>
      <c r="M462" t="str">
        <f>IF(Table1[[#This Row],[ReorderLevel]]-Table1[[#This Row],[CurrentStock]]&gt;0,Table1[[#This Row],[ReorderLevel]]-Table1[[#This Row],[CurrentStock]],"")</f>
        <v/>
      </c>
      <c r="N462" t="str">
        <f>IF(Table1[[#This Row],[CurrentStock]]&gt;Table1[[#This Row],[ReorderLevel]]*3,"Over Stock","Okay")</f>
        <v>Over Stock</v>
      </c>
      <c r="O462" t="str">
        <f>IF(Table1[[#This Row],[CurrentStock]]&lt;Table1[[#This Row],[ReorderLevel]],"Reorder","Okay")</f>
        <v>Okay</v>
      </c>
    </row>
    <row r="463" spans="1:15" x14ac:dyDescent="0.3">
      <c r="A463">
        <v>26767</v>
      </c>
      <c r="B463" t="s">
        <v>21</v>
      </c>
      <c r="C463" t="s">
        <v>31</v>
      </c>
      <c r="D463">
        <v>395</v>
      </c>
      <c r="E463">
        <v>40</v>
      </c>
      <c r="F463">
        <v>411.81</v>
      </c>
      <c r="G463" t="s">
        <v>35</v>
      </c>
      <c r="H463" s="1">
        <v>45437</v>
      </c>
      <c r="I463" s="1">
        <v>45473</v>
      </c>
      <c r="J463" t="s">
        <v>38</v>
      </c>
      <c r="K463" t="b">
        <f>Table1[[#This Row],[CurrentStock]]&lt;Table1[[#This Row],[ReorderLevel]]</f>
        <v>0</v>
      </c>
      <c r="L463" s="9">
        <f>Table1[[#This Row],[CurrentStock]]*Table1[[#This Row],[UnitPrice]]</f>
        <v>162664.95000000001</v>
      </c>
      <c r="M463" t="str">
        <f>IF(Table1[[#This Row],[ReorderLevel]]-Table1[[#This Row],[CurrentStock]]&gt;0,Table1[[#This Row],[ReorderLevel]]-Table1[[#This Row],[CurrentStock]],"")</f>
        <v/>
      </c>
      <c r="N463" t="str">
        <f>IF(Table1[[#This Row],[CurrentStock]]&gt;Table1[[#This Row],[ReorderLevel]]*3,"Over Stock","Okay")</f>
        <v>Over Stock</v>
      </c>
      <c r="O463" t="str">
        <f>IF(Table1[[#This Row],[CurrentStock]]&lt;Table1[[#This Row],[ReorderLevel]],"Reorder","Okay")</f>
        <v>Okay</v>
      </c>
    </row>
    <row r="464" spans="1:15" x14ac:dyDescent="0.3">
      <c r="A464">
        <v>47019</v>
      </c>
      <c r="B464" t="s">
        <v>15</v>
      </c>
      <c r="C464" t="s">
        <v>29</v>
      </c>
      <c r="D464">
        <v>450</v>
      </c>
      <c r="E464">
        <v>100</v>
      </c>
      <c r="F464">
        <v>116.4</v>
      </c>
      <c r="G464" t="s">
        <v>36</v>
      </c>
      <c r="H464" s="1">
        <v>45464</v>
      </c>
      <c r="I464" s="1">
        <v>45500</v>
      </c>
      <c r="J464" t="s">
        <v>39</v>
      </c>
      <c r="K464" t="b">
        <f>Table1[[#This Row],[CurrentStock]]&lt;Table1[[#This Row],[ReorderLevel]]</f>
        <v>0</v>
      </c>
      <c r="L464" s="9">
        <f>Table1[[#This Row],[CurrentStock]]*Table1[[#This Row],[UnitPrice]]</f>
        <v>52380</v>
      </c>
      <c r="M464" t="str">
        <f>IF(Table1[[#This Row],[ReorderLevel]]-Table1[[#This Row],[CurrentStock]]&gt;0,Table1[[#This Row],[ReorderLevel]]-Table1[[#This Row],[CurrentStock]],"")</f>
        <v/>
      </c>
      <c r="N464" t="str">
        <f>IF(Table1[[#This Row],[CurrentStock]]&gt;Table1[[#This Row],[ReorderLevel]]*3,"Over Stock","Okay")</f>
        <v>Over Stock</v>
      </c>
      <c r="O464" t="str">
        <f>IF(Table1[[#This Row],[CurrentStock]]&lt;Table1[[#This Row],[ReorderLevel]],"Reorder","Okay")</f>
        <v>Okay</v>
      </c>
    </row>
    <row r="465" spans="1:15" x14ac:dyDescent="0.3">
      <c r="A465">
        <v>34031</v>
      </c>
      <c r="B465" t="s">
        <v>16</v>
      </c>
      <c r="C465" t="s">
        <v>30</v>
      </c>
      <c r="D465">
        <v>355</v>
      </c>
      <c r="E465">
        <v>150</v>
      </c>
      <c r="F465">
        <v>135.99</v>
      </c>
      <c r="G465" t="s">
        <v>34</v>
      </c>
      <c r="H465" s="1">
        <v>45498</v>
      </c>
      <c r="I465" s="1">
        <v>45506</v>
      </c>
      <c r="J465" t="s">
        <v>39</v>
      </c>
      <c r="K465" t="b">
        <f>Table1[[#This Row],[CurrentStock]]&lt;Table1[[#This Row],[ReorderLevel]]</f>
        <v>0</v>
      </c>
      <c r="L465" s="9">
        <f>Table1[[#This Row],[CurrentStock]]*Table1[[#This Row],[UnitPrice]]</f>
        <v>48276.450000000004</v>
      </c>
      <c r="M465" t="str">
        <f>IF(Table1[[#This Row],[ReorderLevel]]-Table1[[#This Row],[CurrentStock]]&gt;0,Table1[[#This Row],[ReorderLevel]]-Table1[[#This Row],[CurrentStock]],"")</f>
        <v/>
      </c>
      <c r="N465" t="str">
        <f>IF(Table1[[#This Row],[CurrentStock]]&gt;Table1[[#This Row],[ReorderLevel]]*3,"Over Stock","Okay")</f>
        <v>Okay</v>
      </c>
      <c r="O465" t="str">
        <f>IF(Table1[[#This Row],[CurrentStock]]&lt;Table1[[#This Row],[ReorderLevel]],"Reorder","Okay")</f>
        <v>Okay</v>
      </c>
    </row>
    <row r="466" spans="1:15" x14ac:dyDescent="0.3">
      <c r="A466">
        <v>76629</v>
      </c>
      <c r="B466" t="s">
        <v>17</v>
      </c>
      <c r="C466" t="s">
        <v>30</v>
      </c>
      <c r="D466">
        <v>203</v>
      </c>
      <c r="E466">
        <v>20</v>
      </c>
      <c r="F466">
        <v>219.01</v>
      </c>
      <c r="G466" t="s">
        <v>36</v>
      </c>
      <c r="H466" s="1">
        <v>45548</v>
      </c>
      <c r="I466" s="1">
        <v>45574</v>
      </c>
      <c r="J466" t="s">
        <v>37</v>
      </c>
      <c r="K466" t="b">
        <f>Table1[[#This Row],[CurrentStock]]&lt;Table1[[#This Row],[ReorderLevel]]</f>
        <v>0</v>
      </c>
      <c r="L466" s="9">
        <f>Table1[[#This Row],[CurrentStock]]*Table1[[#This Row],[UnitPrice]]</f>
        <v>44459.03</v>
      </c>
      <c r="M466" t="str">
        <f>IF(Table1[[#This Row],[ReorderLevel]]-Table1[[#This Row],[CurrentStock]]&gt;0,Table1[[#This Row],[ReorderLevel]]-Table1[[#This Row],[CurrentStock]],"")</f>
        <v/>
      </c>
      <c r="N466" t="str">
        <f>IF(Table1[[#This Row],[CurrentStock]]&gt;Table1[[#This Row],[ReorderLevel]]*3,"Over Stock","Okay")</f>
        <v>Over Stock</v>
      </c>
      <c r="O466" t="str">
        <f>IF(Table1[[#This Row],[CurrentStock]]&lt;Table1[[#This Row],[ReorderLevel]],"Reorder","Okay")</f>
        <v>Okay</v>
      </c>
    </row>
    <row r="467" spans="1:15" x14ac:dyDescent="0.3">
      <c r="A467">
        <v>12103</v>
      </c>
      <c r="B467" t="s">
        <v>13</v>
      </c>
      <c r="C467" t="s">
        <v>29</v>
      </c>
      <c r="D467">
        <v>4</v>
      </c>
      <c r="E467">
        <v>50</v>
      </c>
      <c r="F467">
        <v>24.29</v>
      </c>
      <c r="G467" t="s">
        <v>32</v>
      </c>
      <c r="H467" s="1">
        <v>45469</v>
      </c>
      <c r="I467" s="1">
        <v>45479</v>
      </c>
      <c r="J467" t="s">
        <v>38</v>
      </c>
      <c r="K467" t="b">
        <f>Table1[[#This Row],[CurrentStock]]&lt;Table1[[#This Row],[ReorderLevel]]</f>
        <v>1</v>
      </c>
      <c r="L467" s="9">
        <f>Table1[[#This Row],[CurrentStock]]*Table1[[#This Row],[UnitPrice]]</f>
        <v>97.16</v>
      </c>
      <c r="M467">
        <f>IF(Table1[[#This Row],[ReorderLevel]]-Table1[[#This Row],[CurrentStock]]&gt;0,Table1[[#This Row],[ReorderLevel]]-Table1[[#This Row],[CurrentStock]],"")</f>
        <v>46</v>
      </c>
      <c r="N467" t="str">
        <f>IF(Table1[[#This Row],[CurrentStock]]&gt;Table1[[#This Row],[ReorderLevel]]*3,"Over Stock","Okay")</f>
        <v>Okay</v>
      </c>
      <c r="O467" t="str">
        <f>IF(Table1[[#This Row],[CurrentStock]]&lt;Table1[[#This Row],[ReorderLevel]],"Reorder","Okay")</f>
        <v>Reorder</v>
      </c>
    </row>
    <row r="468" spans="1:15" x14ac:dyDescent="0.3">
      <c r="A468">
        <v>77914</v>
      </c>
      <c r="B468" t="s">
        <v>16</v>
      </c>
      <c r="C468" t="s">
        <v>30</v>
      </c>
      <c r="D468">
        <v>103</v>
      </c>
      <c r="E468">
        <v>80</v>
      </c>
      <c r="F468">
        <v>413.58</v>
      </c>
      <c r="G468" t="s">
        <v>35</v>
      </c>
      <c r="H468" s="1">
        <v>45549</v>
      </c>
      <c r="I468" s="1">
        <v>45561</v>
      </c>
      <c r="J468" t="s">
        <v>39</v>
      </c>
      <c r="K468" t="b">
        <f>Table1[[#This Row],[CurrentStock]]&lt;Table1[[#This Row],[ReorderLevel]]</f>
        <v>0</v>
      </c>
      <c r="L468" s="9">
        <f>Table1[[#This Row],[CurrentStock]]*Table1[[#This Row],[UnitPrice]]</f>
        <v>42598.74</v>
      </c>
      <c r="M468" t="str">
        <f>IF(Table1[[#This Row],[ReorderLevel]]-Table1[[#This Row],[CurrentStock]]&gt;0,Table1[[#This Row],[ReorderLevel]]-Table1[[#This Row],[CurrentStock]],"")</f>
        <v/>
      </c>
      <c r="N468" t="str">
        <f>IF(Table1[[#This Row],[CurrentStock]]&gt;Table1[[#This Row],[ReorderLevel]]*3,"Over Stock","Okay")</f>
        <v>Okay</v>
      </c>
      <c r="O468" t="str">
        <f>IF(Table1[[#This Row],[CurrentStock]]&lt;Table1[[#This Row],[ReorderLevel]],"Reorder","Okay")</f>
        <v>Okay</v>
      </c>
    </row>
    <row r="469" spans="1:15" x14ac:dyDescent="0.3">
      <c r="A469">
        <v>84842</v>
      </c>
      <c r="B469" t="s">
        <v>17</v>
      </c>
      <c r="C469" t="s">
        <v>30</v>
      </c>
      <c r="D469">
        <v>37</v>
      </c>
      <c r="E469">
        <v>40</v>
      </c>
      <c r="F469">
        <v>499.45</v>
      </c>
      <c r="G469" t="s">
        <v>36</v>
      </c>
      <c r="H469" s="1">
        <v>45590</v>
      </c>
      <c r="I469" s="1">
        <v>45625</v>
      </c>
      <c r="J469" t="s">
        <v>39</v>
      </c>
      <c r="K469" t="b">
        <f>Table1[[#This Row],[CurrentStock]]&lt;Table1[[#This Row],[ReorderLevel]]</f>
        <v>1</v>
      </c>
      <c r="L469" s="9">
        <f>Table1[[#This Row],[CurrentStock]]*Table1[[#This Row],[UnitPrice]]</f>
        <v>18479.649999999998</v>
      </c>
      <c r="M469">
        <f>IF(Table1[[#This Row],[ReorderLevel]]-Table1[[#This Row],[CurrentStock]]&gt;0,Table1[[#This Row],[ReorderLevel]]-Table1[[#This Row],[CurrentStock]],"")</f>
        <v>3</v>
      </c>
      <c r="N469" t="str">
        <f>IF(Table1[[#This Row],[CurrentStock]]&gt;Table1[[#This Row],[ReorderLevel]]*3,"Over Stock","Okay")</f>
        <v>Okay</v>
      </c>
      <c r="O469" t="str">
        <f>IF(Table1[[#This Row],[CurrentStock]]&lt;Table1[[#This Row],[ReorderLevel]],"Reorder","Okay")</f>
        <v>Reorder</v>
      </c>
    </row>
    <row r="470" spans="1:15" x14ac:dyDescent="0.3">
      <c r="A470">
        <v>73344</v>
      </c>
      <c r="B470" t="s">
        <v>20</v>
      </c>
      <c r="C470" t="s">
        <v>29</v>
      </c>
      <c r="D470">
        <v>346</v>
      </c>
      <c r="E470">
        <v>40</v>
      </c>
      <c r="F470">
        <v>287.73</v>
      </c>
      <c r="G470" t="s">
        <v>32</v>
      </c>
      <c r="H470" s="1">
        <v>45544</v>
      </c>
      <c r="I470" s="1">
        <v>45561</v>
      </c>
      <c r="J470" t="s">
        <v>38</v>
      </c>
      <c r="K470" t="b">
        <f>Table1[[#This Row],[CurrentStock]]&lt;Table1[[#This Row],[ReorderLevel]]</f>
        <v>0</v>
      </c>
      <c r="L470" s="9">
        <f>Table1[[#This Row],[CurrentStock]]*Table1[[#This Row],[UnitPrice]]</f>
        <v>99554.58</v>
      </c>
      <c r="M470" t="str">
        <f>IF(Table1[[#This Row],[ReorderLevel]]-Table1[[#This Row],[CurrentStock]]&gt;0,Table1[[#This Row],[ReorderLevel]]-Table1[[#This Row],[CurrentStock]],"")</f>
        <v/>
      </c>
      <c r="N470" t="str">
        <f>IF(Table1[[#This Row],[CurrentStock]]&gt;Table1[[#This Row],[ReorderLevel]]*3,"Over Stock","Okay")</f>
        <v>Over Stock</v>
      </c>
      <c r="O470" t="str">
        <f>IF(Table1[[#This Row],[CurrentStock]]&lt;Table1[[#This Row],[ReorderLevel]],"Reorder","Okay")</f>
        <v>Okay</v>
      </c>
    </row>
    <row r="471" spans="1:15" x14ac:dyDescent="0.3">
      <c r="A471">
        <v>42933</v>
      </c>
      <c r="B471" t="s">
        <v>20</v>
      </c>
      <c r="C471" t="s">
        <v>29</v>
      </c>
      <c r="D471">
        <v>498</v>
      </c>
      <c r="E471">
        <v>100</v>
      </c>
      <c r="F471">
        <v>285.26</v>
      </c>
      <c r="G471" t="s">
        <v>33</v>
      </c>
      <c r="H471" s="1">
        <v>45595</v>
      </c>
      <c r="I471" s="1">
        <v>45634</v>
      </c>
      <c r="J471" t="s">
        <v>37</v>
      </c>
      <c r="K471" t="b">
        <f>Table1[[#This Row],[CurrentStock]]&lt;Table1[[#This Row],[ReorderLevel]]</f>
        <v>0</v>
      </c>
      <c r="L471" s="9">
        <f>Table1[[#This Row],[CurrentStock]]*Table1[[#This Row],[UnitPrice]]</f>
        <v>142059.47999999998</v>
      </c>
      <c r="M471" t="str">
        <f>IF(Table1[[#This Row],[ReorderLevel]]-Table1[[#This Row],[CurrentStock]]&gt;0,Table1[[#This Row],[ReorderLevel]]-Table1[[#This Row],[CurrentStock]],"")</f>
        <v/>
      </c>
      <c r="N471" t="str">
        <f>IF(Table1[[#This Row],[CurrentStock]]&gt;Table1[[#This Row],[ReorderLevel]]*3,"Over Stock","Okay")</f>
        <v>Over Stock</v>
      </c>
      <c r="O471" t="str">
        <f>IF(Table1[[#This Row],[CurrentStock]]&lt;Table1[[#This Row],[ReorderLevel]],"Reorder","Okay")</f>
        <v>Okay</v>
      </c>
    </row>
    <row r="472" spans="1:15" x14ac:dyDescent="0.3">
      <c r="A472">
        <v>56287</v>
      </c>
      <c r="B472" t="s">
        <v>11</v>
      </c>
      <c r="C472" t="s">
        <v>27</v>
      </c>
      <c r="D472">
        <v>182</v>
      </c>
      <c r="E472">
        <v>150</v>
      </c>
      <c r="F472">
        <v>258.26</v>
      </c>
      <c r="G472" t="s">
        <v>36</v>
      </c>
      <c r="H472" s="1">
        <v>45646</v>
      </c>
      <c r="I472" s="1">
        <v>45653</v>
      </c>
      <c r="J472" t="s">
        <v>37</v>
      </c>
      <c r="K472" t="b">
        <f>Table1[[#This Row],[CurrentStock]]&lt;Table1[[#This Row],[ReorderLevel]]</f>
        <v>0</v>
      </c>
      <c r="L472" s="9">
        <f>Table1[[#This Row],[CurrentStock]]*Table1[[#This Row],[UnitPrice]]</f>
        <v>47003.32</v>
      </c>
      <c r="M472" t="str">
        <f>IF(Table1[[#This Row],[ReorderLevel]]-Table1[[#This Row],[CurrentStock]]&gt;0,Table1[[#This Row],[ReorderLevel]]-Table1[[#This Row],[CurrentStock]],"")</f>
        <v/>
      </c>
      <c r="N472" t="str">
        <f>IF(Table1[[#This Row],[CurrentStock]]&gt;Table1[[#This Row],[ReorderLevel]]*3,"Over Stock","Okay")</f>
        <v>Okay</v>
      </c>
      <c r="O472" t="str">
        <f>IF(Table1[[#This Row],[CurrentStock]]&lt;Table1[[#This Row],[ReorderLevel]],"Reorder","Okay")</f>
        <v>Okay</v>
      </c>
    </row>
    <row r="473" spans="1:15" x14ac:dyDescent="0.3">
      <c r="A473">
        <v>20922</v>
      </c>
      <c r="B473" t="s">
        <v>23</v>
      </c>
      <c r="C473" t="s">
        <v>30</v>
      </c>
      <c r="D473">
        <v>338</v>
      </c>
      <c r="E473">
        <v>20</v>
      </c>
      <c r="F473">
        <v>39.32</v>
      </c>
      <c r="G473" t="s">
        <v>33</v>
      </c>
      <c r="H473" s="1">
        <v>45320</v>
      </c>
      <c r="I473" s="1">
        <v>45343</v>
      </c>
      <c r="J473" t="s">
        <v>39</v>
      </c>
      <c r="K473" t="b">
        <f>Table1[[#This Row],[CurrentStock]]&lt;Table1[[#This Row],[ReorderLevel]]</f>
        <v>0</v>
      </c>
      <c r="L473" s="9">
        <f>Table1[[#This Row],[CurrentStock]]*Table1[[#This Row],[UnitPrice]]</f>
        <v>13290.16</v>
      </c>
      <c r="M473" t="str">
        <f>IF(Table1[[#This Row],[ReorderLevel]]-Table1[[#This Row],[CurrentStock]]&gt;0,Table1[[#This Row],[ReorderLevel]]-Table1[[#This Row],[CurrentStock]],"")</f>
        <v/>
      </c>
      <c r="N473" t="str">
        <f>IF(Table1[[#This Row],[CurrentStock]]&gt;Table1[[#This Row],[ReorderLevel]]*3,"Over Stock","Okay")</f>
        <v>Over Stock</v>
      </c>
      <c r="O473" t="str">
        <f>IF(Table1[[#This Row],[CurrentStock]]&lt;Table1[[#This Row],[ReorderLevel]],"Reorder","Okay")</f>
        <v>Okay</v>
      </c>
    </row>
    <row r="474" spans="1:15" x14ac:dyDescent="0.3">
      <c r="A474">
        <v>43418</v>
      </c>
      <c r="B474" t="s">
        <v>16</v>
      </c>
      <c r="C474" t="s">
        <v>30</v>
      </c>
      <c r="D474">
        <v>152</v>
      </c>
      <c r="E474">
        <v>50</v>
      </c>
      <c r="F474">
        <v>286.89</v>
      </c>
      <c r="G474" t="s">
        <v>33</v>
      </c>
      <c r="H474" s="1">
        <v>45634</v>
      </c>
      <c r="I474" s="1">
        <v>45662</v>
      </c>
      <c r="J474" t="s">
        <v>38</v>
      </c>
      <c r="K474" t="b">
        <f>Table1[[#This Row],[CurrentStock]]&lt;Table1[[#This Row],[ReorderLevel]]</f>
        <v>0</v>
      </c>
      <c r="L474" s="9">
        <f>Table1[[#This Row],[CurrentStock]]*Table1[[#This Row],[UnitPrice]]</f>
        <v>43607.28</v>
      </c>
      <c r="M474" t="str">
        <f>IF(Table1[[#This Row],[ReorderLevel]]-Table1[[#This Row],[CurrentStock]]&gt;0,Table1[[#This Row],[ReorderLevel]]-Table1[[#This Row],[CurrentStock]],"")</f>
        <v/>
      </c>
      <c r="N474" t="str">
        <f>IF(Table1[[#This Row],[CurrentStock]]&gt;Table1[[#This Row],[ReorderLevel]]*3,"Over Stock","Okay")</f>
        <v>Over Stock</v>
      </c>
      <c r="O474" t="str">
        <f>IF(Table1[[#This Row],[CurrentStock]]&lt;Table1[[#This Row],[ReorderLevel]],"Reorder","Okay")</f>
        <v>Okay</v>
      </c>
    </row>
    <row r="475" spans="1:15" x14ac:dyDescent="0.3">
      <c r="A475">
        <v>40257</v>
      </c>
      <c r="B475" t="s">
        <v>10</v>
      </c>
      <c r="C475" t="s">
        <v>27</v>
      </c>
      <c r="D475">
        <v>190</v>
      </c>
      <c r="E475">
        <v>40</v>
      </c>
      <c r="F475">
        <v>237.3</v>
      </c>
      <c r="G475" t="s">
        <v>34</v>
      </c>
      <c r="H475" s="1">
        <v>45440</v>
      </c>
      <c r="I475" s="1">
        <v>45456</v>
      </c>
      <c r="J475" t="s">
        <v>39</v>
      </c>
      <c r="K475" t="b">
        <f>Table1[[#This Row],[CurrentStock]]&lt;Table1[[#This Row],[ReorderLevel]]</f>
        <v>0</v>
      </c>
      <c r="L475" s="9">
        <f>Table1[[#This Row],[CurrentStock]]*Table1[[#This Row],[UnitPrice]]</f>
        <v>45087</v>
      </c>
      <c r="M475" t="str">
        <f>IF(Table1[[#This Row],[ReorderLevel]]-Table1[[#This Row],[CurrentStock]]&gt;0,Table1[[#This Row],[ReorderLevel]]-Table1[[#This Row],[CurrentStock]],"")</f>
        <v/>
      </c>
      <c r="N475" t="str">
        <f>IF(Table1[[#This Row],[CurrentStock]]&gt;Table1[[#This Row],[ReorderLevel]]*3,"Over Stock","Okay")</f>
        <v>Over Stock</v>
      </c>
      <c r="O475" t="str">
        <f>IF(Table1[[#This Row],[CurrentStock]]&lt;Table1[[#This Row],[ReorderLevel]],"Reorder","Okay")</f>
        <v>Okay</v>
      </c>
    </row>
    <row r="476" spans="1:15" x14ac:dyDescent="0.3">
      <c r="A476">
        <v>40908</v>
      </c>
      <c r="B476" t="s">
        <v>12</v>
      </c>
      <c r="C476" t="s">
        <v>28</v>
      </c>
      <c r="D476">
        <v>467</v>
      </c>
      <c r="E476">
        <v>100</v>
      </c>
      <c r="F476">
        <v>298.61</v>
      </c>
      <c r="G476" t="s">
        <v>33</v>
      </c>
      <c r="H476" s="1">
        <v>45494</v>
      </c>
      <c r="I476" s="1">
        <v>45530</v>
      </c>
      <c r="J476" t="s">
        <v>38</v>
      </c>
      <c r="K476" t="b">
        <f>Table1[[#This Row],[CurrentStock]]&lt;Table1[[#This Row],[ReorderLevel]]</f>
        <v>0</v>
      </c>
      <c r="L476" s="9">
        <f>Table1[[#This Row],[CurrentStock]]*Table1[[#This Row],[UnitPrice]]</f>
        <v>139450.87</v>
      </c>
      <c r="M476" t="str">
        <f>IF(Table1[[#This Row],[ReorderLevel]]-Table1[[#This Row],[CurrentStock]]&gt;0,Table1[[#This Row],[ReorderLevel]]-Table1[[#This Row],[CurrentStock]],"")</f>
        <v/>
      </c>
      <c r="N476" t="str">
        <f>IF(Table1[[#This Row],[CurrentStock]]&gt;Table1[[#This Row],[ReorderLevel]]*3,"Over Stock","Okay")</f>
        <v>Over Stock</v>
      </c>
      <c r="O476" t="str">
        <f>IF(Table1[[#This Row],[CurrentStock]]&lt;Table1[[#This Row],[ReorderLevel]],"Reorder","Okay")</f>
        <v>Okay</v>
      </c>
    </row>
    <row r="477" spans="1:15" x14ac:dyDescent="0.3">
      <c r="A477">
        <v>88824</v>
      </c>
      <c r="B477" t="s">
        <v>25</v>
      </c>
      <c r="C477" t="s">
        <v>31</v>
      </c>
      <c r="D477">
        <v>74</v>
      </c>
      <c r="E477">
        <v>80</v>
      </c>
      <c r="F477">
        <v>317.66000000000003</v>
      </c>
      <c r="G477" t="s">
        <v>33</v>
      </c>
      <c r="H477" s="1">
        <v>45634</v>
      </c>
      <c r="I477" s="1">
        <v>45663</v>
      </c>
      <c r="J477" t="s">
        <v>39</v>
      </c>
      <c r="K477" t="b">
        <f>Table1[[#This Row],[CurrentStock]]&lt;Table1[[#This Row],[ReorderLevel]]</f>
        <v>1</v>
      </c>
      <c r="L477" s="9">
        <f>Table1[[#This Row],[CurrentStock]]*Table1[[#This Row],[UnitPrice]]</f>
        <v>23506.84</v>
      </c>
      <c r="M477">
        <f>IF(Table1[[#This Row],[ReorderLevel]]-Table1[[#This Row],[CurrentStock]]&gt;0,Table1[[#This Row],[ReorderLevel]]-Table1[[#This Row],[CurrentStock]],"")</f>
        <v>6</v>
      </c>
      <c r="N477" t="str">
        <f>IF(Table1[[#This Row],[CurrentStock]]&gt;Table1[[#This Row],[ReorderLevel]]*3,"Over Stock","Okay")</f>
        <v>Okay</v>
      </c>
      <c r="O477" t="str">
        <f>IF(Table1[[#This Row],[CurrentStock]]&lt;Table1[[#This Row],[ReorderLevel]],"Reorder","Okay")</f>
        <v>Reorder</v>
      </c>
    </row>
    <row r="478" spans="1:15" x14ac:dyDescent="0.3">
      <c r="A478">
        <v>71845</v>
      </c>
      <c r="B478" t="s">
        <v>20</v>
      </c>
      <c r="C478" t="s">
        <v>29</v>
      </c>
      <c r="D478">
        <v>63</v>
      </c>
      <c r="E478">
        <v>150</v>
      </c>
      <c r="F478">
        <v>301.64999999999998</v>
      </c>
      <c r="G478" t="s">
        <v>33</v>
      </c>
      <c r="H478" s="1">
        <v>45434</v>
      </c>
      <c r="I478" s="1">
        <v>45450</v>
      </c>
      <c r="J478" t="s">
        <v>38</v>
      </c>
      <c r="K478" t="b">
        <f>Table1[[#This Row],[CurrentStock]]&lt;Table1[[#This Row],[ReorderLevel]]</f>
        <v>1</v>
      </c>
      <c r="L478" s="9">
        <f>Table1[[#This Row],[CurrentStock]]*Table1[[#This Row],[UnitPrice]]</f>
        <v>19003.949999999997</v>
      </c>
      <c r="M478">
        <f>IF(Table1[[#This Row],[ReorderLevel]]-Table1[[#This Row],[CurrentStock]]&gt;0,Table1[[#This Row],[ReorderLevel]]-Table1[[#This Row],[CurrentStock]],"")</f>
        <v>87</v>
      </c>
      <c r="N478" t="str">
        <f>IF(Table1[[#This Row],[CurrentStock]]&gt;Table1[[#This Row],[ReorderLevel]]*3,"Over Stock","Okay")</f>
        <v>Okay</v>
      </c>
      <c r="O478" t="str">
        <f>IF(Table1[[#This Row],[CurrentStock]]&lt;Table1[[#This Row],[ReorderLevel]],"Reorder","Okay")</f>
        <v>Reorder</v>
      </c>
    </row>
    <row r="479" spans="1:15" x14ac:dyDescent="0.3">
      <c r="A479">
        <v>84102</v>
      </c>
      <c r="B479" t="s">
        <v>18</v>
      </c>
      <c r="C479" t="s">
        <v>28</v>
      </c>
      <c r="D479">
        <v>429</v>
      </c>
      <c r="E479">
        <v>100</v>
      </c>
      <c r="F479">
        <v>35</v>
      </c>
      <c r="G479" t="s">
        <v>32</v>
      </c>
      <c r="H479" s="1">
        <v>45403</v>
      </c>
      <c r="I479" s="1">
        <v>45440</v>
      </c>
      <c r="J479" t="s">
        <v>38</v>
      </c>
      <c r="K479" t="b">
        <f>Table1[[#This Row],[CurrentStock]]&lt;Table1[[#This Row],[ReorderLevel]]</f>
        <v>0</v>
      </c>
      <c r="L479" s="9">
        <f>Table1[[#This Row],[CurrentStock]]*Table1[[#This Row],[UnitPrice]]</f>
        <v>15015</v>
      </c>
      <c r="M479" t="str">
        <f>IF(Table1[[#This Row],[ReorderLevel]]-Table1[[#This Row],[CurrentStock]]&gt;0,Table1[[#This Row],[ReorderLevel]]-Table1[[#This Row],[CurrentStock]],"")</f>
        <v/>
      </c>
      <c r="N479" t="str">
        <f>IF(Table1[[#This Row],[CurrentStock]]&gt;Table1[[#This Row],[ReorderLevel]]*3,"Over Stock","Okay")</f>
        <v>Over Stock</v>
      </c>
      <c r="O479" t="str">
        <f>IF(Table1[[#This Row],[CurrentStock]]&lt;Table1[[#This Row],[ReorderLevel]],"Reorder","Okay")</f>
        <v>Okay</v>
      </c>
    </row>
    <row r="480" spans="1:15" x14ac:dyDescent="0.3">
      <c r="A480">
        <v>13255</v>
      </c>
      <c r="B480" t="s">
        <v>11</v>
      </c>
      <c r="C480" t="s">
        <v>27</v>
      </c>
      <c r="D480">
        <v>117</v>
      </c>
      <c r="E480">
        <v>50</v>
      </c>
      <c r="F480">
        <v>480.66</v>
      </c>
      <c r="G480" t="s">
        <v>33</v>
      </c>
      <c r="H480" s="1">
        <v>45422</v>
      </c>
      <c r="I480" s="1">
        <v>45454</v>
      </c>
      <c r="J480" t="s">
        <v>39</v>
      </c>
      <c r="K480" t="b">
        <f>Table1[[#This Row],[CurrentStock]]&lt;Table1[[#This Row],[ReorderLevel]]</f>
        <v>0</v>
      </c>
      <c r="L480" s="9">
        <f>Table1[[#This Row],[CurrentStock]]*Table1[[#This Row],[UnitPrice]]</f>
        <v>56237.22</v>
      </c>
      <c r="M480" t="str">
        <f>IF(Table1[[#This Row],[ReorderLevel]]-Table1[[#This Row],[CurrentStock]]&gt;0,Table1[[#This Row],[ReorderLevel]]-Table1[[#This Row],[CurrentStock]],"")</f>
        <v/>
      </c>
      <c r="N480" t="str">
        <f>IF(Table1[[#This Row],[CurrentStock]]&gt;Table1[[#This Row],[ReorderLevel]]*3,"Over Stock","Okay")</f>
        <v>Okay</v>
      </c>
      <c r="O480" t="str">
        <f>IF(Table1[[#This Row],[CurrentStock]]&lt;Table1[[#This Row],[ReorderLevel]],"Reorder","Okay")</f>
        <v>Okay</v>
      </c>
    </row>
    <row r="481" spans="1:15" x14ac:dyDescent="0.3">
      <c r="A481">
        <v>34519</v>
      </c>
      <c r="B481" t="s">
        <v>26</v>
      </c>
      <c r="C481" t="s">
        <v>30</v>
      </c>
      <c r="D481">
        <v>321</v>
      </c>
      <c r="E481">
        <v>80</v>
      </c>
      <c r="F481">
        <v>417.73</v>
      </c>
      <c r="G481" t="s">
        <v>34</v>
      </c>
      <c r="H481" s="1">
        <v>45613</v>
      </c>
      <c r="I481" s="1">
        <v>45643</v>
      </c>
      <c r="J481" t="s">
        <v>38</v>
      </c>
      <c r="K481" t="b">
        <f>Table1[[#This Row],[CurrentStock]]&lt;Table1[[#This Row],[ReorderLevel]]</f>
        <v>0</v>
      </c>
      <c r="L481" s="9">
        <f>Table1[[#This Row],[CurrentStock]]*Table1[[#This Row],[UnitPrice]]</f>
        <v>134091.33000000002</v>
      </c>
      <c r="M481" t="str">
        <f>IF(Table1[[#This Row],[ReorderLevel]]-Table1[[#This Row],[CurrentStock]]&gt;0,Table1[[#This Row],[ReorderLevel]]-Table1[[#This Row],[CurrentStock]],"")</f>
        <v/>
      </c>
      <c r="N481" t="str">
        <f>IF(Table1[[#This Row],[CurrentStock]]&gt;Table1[[#This Row],[ReorderLevel]]*3,"Over Stock","Okay")</f>
        <v>Over Stock</v>
      </c>
      <c r="O481" t="str">
        <f>IF(Table1[[#This Row],[CurrentStock]]&lt;Table1[[#This Row],[ReorderLevel]],"Reorder","Okay")</f>
        <v>Okay</v>
      </c>
    </row>
    <row r="482" spans="1:15" x14ac:dyDescent="0.3">
      <c r="A482">
        <v>49350</v>
      </c>
      <c r="B482" t="s">
        <v>11</v>
      </c>
      <c r="C482" t="s">
        <v>27</v>
      </c>
      <c r="D482">
        <v>28</v>
      </c>
      <c r="E482">
        <v>30</v>
      </c>
      <c r="F482">
        <v>46.86</v>
      </c>
      <c r="G482" t="s">
        <v>32</v>
      </c>
      <c r="H482" s="1">
        <v>45419</v>
      </c>
      <c r="I482" s="1">
        <v>45443</v>
      </c>
      <c r="J482" t="s">
        <v>38</v>
      </c>
      <c r="K482" t="b">
        <f>Table1[[#This Row],[CurrentStock]]&lt;Table1[[#This Row],[ReorderLevel]]</f>
        <v>1</v>
      </c>
      <c r="L482" s="9">
        <f>Table1[[#This Row],[CurrentStock]]*Table1[[#This Row],[UnitPrice]]</f>
        <v>1312.08</v>
      </c>
      <c r="M482">
        <f>IF(Table1[[#This Row],[ReorderLevel]]-Table1[[#This Row],[CurrentStock]]&gt;0,Table1[[#This Row],[ReorderLevel]]-Table1[[#This Row],[CurrentStock]],"")</f>
        <v>2</v>
      </c>
      <c r="N482" t="str">
        <f>IF(Table1[[#This Row],[CurrentStock]]&gt;Table1[[#This Row],[ReorderLevel]]*3,"Over Stock","Okay")</f>
        <v>Okay</v>
      </c>
      <c r="O482" t="str">
        <f>IF(Table1[[#This Row],[CurrentStock]]&lt;Table1[[#This Row],[ReorderLevel]],"Reorder","Okay")</f>
        <v>Reorder</v>
      </c>
    </row>
    <row r="483" spans="1:15" x14ac:dyDescent="0.3">
      <c r="A483">
        <v>74418</v>
      </c>
      <c r="B483" t="s">
        <v>16</v>
      </c>
      <c r="C483" t="s">
        <v>30</v>
      </c>
      <c r="D483">
        <v>238</v>
      </c>
      <c r="E483">
        <v>40</v>
      </c>
      <c r="F483">
        <v>370.03</v>
      </c>
      <c r="G483" t="s">
        <v>32</v>
      </c>
      <c r="H483" s="1">
        <v>45379</v>
      </c>
      <c r="I483" s="1">
        <v>45392</v>
      </c>
      <c r="J483" t="s">
        <v>37</v>
      </c>
      <c r="K483" t="b">
        <f>Table1[[#This Row],[CurrentStock]]&lt;Table1[[#This Row],[ReorderLevel]]</f>
        <v>0</v>
      </c>
      <c r="L483" s="9">
        <f>Table1[[#This Row],[CurrentStock]]*Table1[[#This Row],[UnitPrice]]</f>
        <v>88067.14</v>
      </c>
      <c r="M483" t="str">
        <f>IF(Table1[[#This Row],[ReorderLevel]]-Table1[[#This Row],[CurrentStock]]&gt;0,Table1[[#This Row],[ReorderLevel]]-Table1[[#This Row],[CurrentStock]],"")</f>
        <v/>
      </c>
      <c r="N483" t="str">
        <f>IF(Table1[[#This Row],[CurrentStock]]&gt;Table1[[#This Row],[ReorderLevel]]*3,"Over Stock","Okay")</f>
        <v>Over Stock</v>
      </c>
      <c r="O483" t="str">
        <f>IF(Table1[[#This Row],[CurrentStock]]&lt;Table1[[#This Row],[ReorderLevel]],"Reorder","Okay")</f>
        <v>Okay</v>
      </c>
    </row>
    <row r="484" spans="1:15" x14ac:dyDescent="0.3">
      <c r="A484">
        <v>37230</v>
      </c>
      <c r="B484" t="s">
        <v>24</v>
      </c>
      <c r="C484" t="s">
        <v>31</v>
      </c>
      <c r="D484">
        <v>238</v>
      </c>
      <c r="E484">
        <v>150</v>
      </c>
      <c r="F484">
        <v>486.82</v>
      </c>
      <c r="G484" t="s">
        <v>36</v>
      </c>
      <c r="H484" s="1">
        <v>45555</v>
      </c>
      <c r="I484" s="1">
        <v>45574</v>
      </c>
      <c r="J484" t="s">
        <v>39</v>
      </c>
      <c r="K484" t="b">
        <f>Table1[[#This Row],[CurrentStock]]&lt;Table1[[#This Row],[ReorderLevel]]</f>
        <v>0</v>
      </c>
      <c r="L484" s="9">
        <f>Table1[[#This Row],[CurrentStock]]*Table1[[#This Row],[UnitPrice]]</f>
        <v>115863.16</v>
      </c>
      <c r="M484" t="str">
        <f>IF(Table1[[#This Row],[ReorderLevel]]-Table1[[#This Row],[CurrentStock]]&gt;0,Table1[[#This Row],[ReorderLevel]]-Table1[[#This Row],[CurrentStock]],"")</f>
        <v/>
      </c>
      <c r="N484" t="str">
        <f>IF(Table1[[#This Row],[CurrentStock]]&gt;Table1[[#This Row],[ReorderLevel]]*3,"Over Stock","Okay")</f>
        <v>Okay</v>
      </c>
      <c r="O484" t="str">
        <f>IF(Table1[[#This Row],[CurrentStock]]&lt;Table1[[#This Row],[ReorderLevel]],"Reorder","Okay")</f>
        <v>Okay</v>
      </c>
    </row>
    <row r="485" spans="1:15" x14ac:dyDescent="0.3">
      <c r="A485">
        <v>97954</v>
      </c>
      <c r="B485" t="s">
        <v>11</v>
      </c>
      <c r="C485" t="s">
        <v>27</v>
      </c>
      <c r="D485">
        <v>230</v>
      </c>
      <c r="E485">
        <v>80</v>
      </c>
      <c r="F485">
        <v>487.79</v>
      </c>
      <c r="G485" t="s">
        <v>32</v>
      </c>
      <c r="H485" s="1">
        <v>45564</v>
      </c>
      <c r="I485" s="1">
        <v>45598</v>
      </c>
      <c r="J485" t="s">
        <v>39</v>
      </c>
      <c r="K485" t="b">
        <f>Table1[[#This Row],[CurrentStock]]&lt;Table1[[#This Row],[ReorderLevel]]</f>
        <v>0</v>
      </c>
      <c r="L485" s="9">
        <f>Table1[[#This Row],[CurrentStock]]*Table1[[#This Row],[UnitPrice]]</f>
        <v>112191.70000000001</v>
      </c>
      <c r="M485" t="str">
        <f>IF(Table1[[#This Row],[ReorderLevel]]-Table1[[#This Row],[CurrentStock]]&gt;0,Table1[[#This Row],[ReorderLevel]]-Table1[[#This Row],[CurrentStock]],"")</f>
        <v/>
      </c>
      <c r="N485" t="str">
        <f>IF(Table1[[#This Row],[CurrentStock]]&gt;Table1[[#This Row],[ReorderLevel]]*3,"Over Stock","Okay")</f>
        <v>Okay</v>
      </c>
      <c r="O485" t="str">
        <f>IF(Table1[[#This Row],[CurrentStock]]&lt;Table1[[#This Row],[ReorderLevel]],"Reorder","Okay")</f>
        <v>Okay</v>
      </c>
    </row>
    <row r="486" spans="1:15" x14ac:dyDescent="0.3">
      <c r="A486">
        <v>55619</v>
      </c>
      <c r="B486" t="s">
        <v>25</v>
      </c>
      <c r="C486" t="s">
        <v>31</v>
      </c>
      <c r="D486">
        <v>363</v>
      </c>
      <c r="E486">
        <v>30</v>
      </c>
      <c r="F486">
        <v>118.54</v>
      </c>
      <c r="G486" t="s">
        <v>36</v>
      </c>
      <c r="H486" s="1">
        <v>45567</v>
      </c>
      <c r="I486" s="1">
        <v>45595</v>
      </c>
      <c r="J486" t="s">
        <v>38</v>
      </c>
      <c r="K486" t="b">
        <f>Table1[[#This Row],[CurrentStock]]&lt;Table1[[#This Row],[ReorderLevel]]</f>
        <v>0</v>
      </c>
      <c r="L486" s="9">
        <f>Table1[[#This Row],[CurrentStock]]*Table1[[#This Row],[UnitPrice]]</f>
        <v>43030.020000000004</v>
      </c>
      <c r="M486" t="str">
        <f>IF(Table1[[#This Row],[ReorderLevel]]-Table1[[#This Row],[CurrentStock]]&gt;0,Table1[[#This Row],[ReorderLevel]]-Table1[[#This Row],[CurrentStock]],"")</f>
        <v/>
      </c>
      <c r="N486" t="str">
        <f>IF(Table1[[#This Row],[CurrentStock]]&gt;Table1[[#This Row],[ReorderLevel]]*3,"Over Stock","Okay")</f>
        <v>Over Stock</v>
      </c>
      <c r="O486" t="str">
        <f>IF(Table1[[#This Row],[CurrentStock]]&lt;Table1[[#This Row],[ReorderLevel]],"Reorder","Okay")</f>
        <v>Okay</v>
      </c>
    </row>
    <row r="487" spans="1:15" x14ac:dyDescent="0.3">
      <c r="A487">
        <v>35479</v>
      </c>
      <c r="B487" t="s">
        <v>23</v>
      </c>
      <c r="C487" t="s">
        <v>30</v>
      </c>
      <c r="D487">
        <v>295</v>
      </c>
      <c r="E487">
        <v>50</v>
      </c>
      <c r="F487">
        <v>142.79</v>
      </c>
      <c r="G487" t="s">
        <v>36</v>
      </c>
      <c r="H487" s="1">
        <v>45651</v>
      </c>
      <c r="I487" s="1">
        <v>45666</v>
      </c>
      <c r="J487" t="s">
        <v>39</v>
      </c>
      <c r="K487" t="b">
        <f>Table1[[#This Row],[CurrentStock]]&lt;Table1[[#This Row],[ReorderLevel]]</f>
        <v>0</v>
      </c>
      <c r="L487" s="9">
        <f>Table1[[#This Row],[CurrentStock]]*Table1[[#This Row],[UnitPrice]]</f>
        <v>42123.049999999996</v>
      </c>
      <c r="M487" t="str">
        <f>IF(Table1[[#This Row],[ReorderLevel]]-Table1[[#This Row],[CurrentStock]]&gt;0,Table1[[#This Row],[ReorderLevel]]-Table1[[#This Row],[CurrentStock]],"")</f>
        <v/>
      </c>
      <c r="N487" t="str">
        <f>IF(Table1[[#This Row],[CurrentStock]]&gt;Table1[[#This Row],[ReorderLevel]]*3,"Over Stock","Okay")</f>
        <v>Over Stock</v>
      </c>
      <c r="O487" t="str">
        <f>IF(Table1[[#This Row],[CurrentStock]]&lt;Table1[[#This Row],[ReorderLevel]],"Reorder","Okay")</f>
        <v>Okay</v>
      </c>
    </row>
    <row r="488" spans="1:15" x14ac:dyDescent="0.3">
      <c r="A488">
        <v>26351</v>
      </c>
      <c r="B488" t="s">
        <v>14</v>
      </c>
      <c r="C488" t="s">
        <v>27</v>
      </c>
      <c r="D488">
        <v>38</v>
      </c>
      <c r="E488">
        <v>50</v>
      </c>
      <c r="F488">
        <v>180.88</v>
      </c>
      <c r="G488" t="s">
        <v>34</v>
      </c>
      <c r="H488" s="1">
        <v>45416</v>
      </c>
      <c r="I488" s="1">
        <v>45433</v>
      </c>
      <c r="J488" t="s">
        <v>37</v>
      </c>
      <c r="K488" t="b">
        <f>Table1[[#This Row],[CurrentStock]]&lt;Table1[[#This Row],[ReorderLevel]]</f>
        <v>1</v>
      </c>
      <c r="L488" s="9">
        <f>Table1[[#This Row],[CurrentStock]]*Table1[[#This Row],[UnitPrice]]</f>
        <v>6873.44</v>
      </c>
      <c r="M488">
        <f>IF(Table1[[#This Row],[ReorderLevel]]-Table1[[#This Row],[CurrentStock]]&gt;0,Table1[[#This Row],[ReorderLevel]]-Table1[[#This Row],[CurrentStock]],"")</f>
        <v>12</v>
      </c>
      <c r="N488" t="str">
        <f>IF(Table1[[#This Row],[CurrentStock]]&gt;Table1[[#This Row],[ReorderLevel]]*3,"Over Stock","Okay")</f>
        <v>Okay</v>
      </c>
      <c r="O488" t="str">
        <f>IF(Table1[[#This Row],[CurrentStock]]&lt;Table1[[#This Row],[ReorderLevel]],"Reorder","Okay")</f>
        <v>Reorder</v>
      </c>
    </row>
    <row r="489" spans="1:15" x14ac:dyDescent="0.3">
      <c r="A489">
        <v>87694</v>
      </c>
      <c r="B489" t="s">
        <v>21</v>
      </c>
      <c r="C489" t="s">
        <v>31</v>
      </c>
      <c r="D489">
        <v>3</v>
      </c>
      <c r="E489">
        <v>150</v>
      </c>
      <c r="F489">
        <v>389.52</v>
      </c>
      <c r="G489" t="s">
        <v>33</v>
      </c>
      <c r="H489" s="1">
        <v>45457</v>
      </c>
      <c r="I489" s="1">
        <v>45485</v>
      </c>
      <c r="J489" t="s">
        <v>38</v>
      </c>
      <c r="K489" t="b">
        <f>Table1[[#This Row],[CurrentStock]]&lt;Table1[[#This Row],[ReorderLevel]]</f>
        <v>1</v>
      </c>
      <c r="L489" s="9">
        <f>Table1[[#This Row],[CurrentStock]]*Table1[[#This Row],[UnitPrice]]</f>
        <v>1168.56</v>
      </c>
      <c r="M489">
        <f>IF(Table1[[#This Row],[ReorderLevel]]-Table1[[#This Row],[CurrentStock]]&gt;0,Table1[[#This Row],[ReorderLevel]]-Table1[[#This Row],[CurrentStock]],"")</f>
        <v>147</v>
      </c>
      <c r="N489" t="str">
        <f>IF(Table1[[#This Row],[CurrentStock]]&gt;Table1[[#This Row],[ReorderLevel]]*3,"Over Stock","Okay")</f>
        <v>Okay</v>
      </c>
      <c r="O489" t="str">
        <f>IF(Table1[[#This Row],[CurrentStock]]&lt;Table1[[#This Row],[ReorderLevel]],"Reorder","Okay")</f>
        <v>Reorder</v>
      </c>
    </row>
    <row r="490" spans="1:15" x14ac:dyDescent="0.3">
      <c r="A490">
        <v>33906</v>
      </c>
      <c r="B490" t="s">
        <v>15</v>
      </c>
      <c r="C490" t="s">
        <v>29</v>
      </c>
      <c r="D490">
        <v>95</v>
      </c>
      <c r="E490">
        <v>100</v>
      </c>
      <c r="F490">
        <v>72.89</v>
      </c>
      <c r="G490" t="s">
        <v>34</v>
      </c>
      <c r="H490" s="1">
        <v>45557</v>
      </c>
      <c r="I490" s="1">
        <v>45585</v>
      </c>
      <c r="J490" t="s">
        <v>39</v>
      </c>
      <c r="K490" t="b">
        <f>Table1[[#This Row],[CurrentStock]]&lt;Table1[[#This Row],[ReorderLevel]]</f>
        <v>1</v>
      </c>
      <c r="L490" s="9">
        <f>Table1[[#This Row],[CurrentStock]]*Table1[[#This Row],[UnitPrice]]</f>
        <v>6924.55</v>
      </c>
      <c r="M490">
        <f>IF(Table1[[#This Row],[ReorderLevel]]-Table1[[#This Row],[CurrentStock]]&gt;0,Table1[[#This Row],[ReorderLevel]]-Table1[[#This Row],[CurrentStock]],"")</f>
        <v>5</v>
      </c>
      <c r="N490" t="str">
        <f>IF(Table1[[#This Row],[CurrentStock]]&gt;Table1[[#This Row],[ReorderLevel]]*3,"Over Stock","Okay")</f>
        <v>Okay</v>
      </c>
      <c r="O490" t="str">
        <f>IF(Table1[[#This Row],[CurrentStock]]&lt;Table1[[#This Row],[ReorderLevel]],"Reorder","Okay")</f>
        <v>Reorder</v>
      </c>
    </row>
    <row r="491" spans="1:15" x14ac:dyDescent="0.3">
      <c r="A491">
        <v>80744</v>
      </c>
      <c r="B491" t="s">
        <v>18</v>
      </c>
      <c r="C491" t="s">
        <v>28</v>
      </c>
      <c r="D491">
        <v>246</v>
      </c>
      <c r="E491">
        <v>150</v>
      </c>
      <c r="F491">
        <v>156.69999999999999</v>
      </c>
      <c r="G491" t="s">
        <v>33</v>
      </c>
      <c r="H491" s="1">
        <v>45604</v>
      </c>
      <c r="I491" s="1">
        <v>45642</v>
      </c>
      <c r="J491" t="s">
        <v>38</v>
      </c>
      <c r="K491" t="b">
        <f>Table1[[#This Row],[CurrentStock]]&lt;Table1[[#This Row],[ReorderLevel]]</f>
        <v>0</v>
      </c>
      <c r="L491" s="9">
        <f>Table1[[#This Row],[CurrentStock]]*Table1[[#This Row],[UnitPrice]]</f>
        <v>38548.199999999997</v>
      </c>
      <c r="M491" t="str">
        <f>IF(Table1[[#This Row],[ReorderLevel]]-Table1[[#This Row],[CurrentStock]]&gt;0,Table1[[#This Row],[ReorderLevel]]-Table1[[#This Row],[CurrentStock]],"")</f>
        <v/>
      </c>
      <c r="N491" t="str">
        <f>IF(Table1[[#This Row],[CurrentStock]]&gt;Table1[[#This Row],[ReorderLevel]]*3,"Over Stock","Okay")</f>
        <v>Okay</v>
      </c>
      <c r="O491" t="str">
        <f>IF(Table1[[#This Row],[CurrentStock]]&lt;Table1[[#This Row],[ReorderLevel]],"Reorder","Okay")</f>
        <v>Okay</v>
      </c>
    </row>
    <row r="492" spans="1:15" x14ac:dyDescent="0.3">
      <c r="A492">
        <v>53856</v>
      </c>
      <c r="B492" t="s">
        <v>11</v>
      </c>
      <c r="C492" t="s">
        <v>27</v>
      </c>
      <c r="D492">
        <v>400</v>
      </c>
      <c r="E492">
        <v>150</v>
      </c>
      <c r="F492">
        <v>103.63</v>
      </c>
      <c r="G492" t="s">
        <v>35</v>
      </c>
      <c r="H492" s="1">
        <v>45610</v>
      </c>
      <c r="I492" s="1">
        <v>45627</v>
      </c>
      <c r="J492" t="s">
        <v>39</v>
      </c>
      <c r="K492" t="b">
        <f>Table1[[#This Row],[CurrentStock]]&lt;Table1[[#This Row],[ReorderLevel]]</f>
        <v>0</v>
      </c>
      <c r="L492" s="9">
        <f>Table1[[#This Row],[CurrentStock]]*Table1[[#This Row],[UnitPrice]]</f>
        <v>41452</v>
      </c>
      <c r="M492" t="str">
        <f>IF(Table1[[#This Row],[ReorderLevel]]-Table1[[#This Row],[CurrentStock]]&gt;0,Table1[[#This Row],[ReorderLevel]]-Table1[[#This Row],[CurrentStock]],"")</f>
        <v/>
      </c>
      <c r="N492" t="str">
        <f>IF(Table1[[#This Row],[CurrentStock]]&gt;Table1[[#This Row],[ReorderLevel]]*3,"Over Stock","Okay")</f>
        <v>Okay</v>
      </c>
      <c r="O492" t="str">
        <f>IF(Table1[[#This Row],[CurrentStock]]&lt;Table1[[#This Row],[ReorderLevel]],"Reorder","Okay")</f>
        <v>Okay</v>
      </c>
    </row>
    <row r="493" spans="1:15" x14ac:dyDescent="0.3">
      <c r="A493">
        <v>16587</v>
      </c>
      <c r="B493" t="s">
        <v>20</v>
      </c>
      <c r="C493" t="s">
        <v>29</v>
      </c>
      <c r="D493">
        <v>81</v>
      </c>
      <c r="E493">
        <v>80</v>
      </c>
      <c r="F493">
        <v>372.11</v>
      </c>
      <c r="G493" t="s">
        <v>35</v>
      </c>
      <c r="H493" s="1">
        <v>45623</v>
      </c>
      <c r="I493" s="1">
        <v>45646</v>
      </c>
      <c r="J493" t="s">
        <v>38</v>
      </c>
      <c r="K493" t="b">
        <f>Table1[[#This Row],[CurrentStock]]&lt;Table1[[#This Row],[ReorderLevel]]</f>
        <v>0</v>
      </c>
      <c r="L493" s="9">
        <f>Table1[[#This Row],[CurrentStock]]*Table1[[#This Row],[UnitPrice]]</f>
        <v>30140.91</v>
      </c>
      <c r="M493" t="str">
        <f>IF(Table1[[#This Row],[ReorderLevel]]-Table1[[#This Row],[CurrentStock]]&gt;0,Table1[[#This Row],[ReorderLevel]]-Table1[[#This Row],[CurrentStock]],"")</f>
        <v/>
      </c>
      <c r="N493" t="str">
        <f>IF(Table1[[#This Row],[CurrentStock]]&gt;Table1[[#This Row],[ReorderLevel]]*3,"Over Stock","Okay")</f>
        <v>Okay</v>
      </c>
      <c r="O493" t="str">
        <f>IF(Table1[[#This Row],[CurrentStock]]&lt;Table1[[#This Row],[ReorderLevel]],"Reorder","Okay")</f>
        <v>Okay</v>
      </c>
    </row>
    <row r="494" spans="1:15" x14ac:dyDescent="0.3">
      <c r="A494">
        <v>77568</v>
      </c>
      <c r="B494" t="s">
        <v>25</v>
      </c>
      <c r="C494" t="s">
        <v>31</v>
      </c>
      <c r="D494">
        <v>294</v>
      </c>
      <c r="E494">
        <v>50</v>
      </c>
      <c r="F494">
        <v>210.99</v>
      </c>
      <c r="G494" t="s">
        <v>36</v>
      </c>
      <c r="H494" s="1">
        <v>45515</v>
      </c>
      <c r="I494" s="1">
        <v>45532</v>
      </c>
      <c r="J494" t="s">
        <v>39</v>
      </c>
      <c r="K494" t="b">
        <f>Table1[[#This Row],[CurrentStock]]&lt;Table1[[#This Row],[ReorderLevel]]</f>
        <v>0</v>
      </c>
      <c r="L494" s="9">
        <f>Table1[[#This Row],[CurrentStock]]*Table1[[#This Row],[UnitPrice]]</f>
        <v>62031.060000000005</v>
      </c>
      <c r="M494" t="str">
        <f>IF(Table1[[#This Row],[ReorderLevel]]-Table1[[#This Row],[CurrentStock]]&gt;0,Table1[[#This Row],[ReorderLevel]]-Table1[[#This Row],[CurrentStock]],"")</f>
        <v/>
      </c>
      <c r="N494" t="str">
        <f>IF(Table1[[#This Row],[CurrentStock]]&gt;Table1[[#This Row],[ReorderLevel]]*3,"Over Stock","Okay")</f>
        <v>Over Stock</v>
      </c>
      <c r="O494" t="str">
        <f>IF(Table1[[#This Row],[CurrentStock]]&lt;Table1[[#This Row],[ReorderLevel]],"Reorder","Okay")</f>
        <v>Okay</v>
      </c>
    </row>
    <row r="495" spans="1:15" x14ac:dyDescent="0.3">
      <c r="A495">
        <v>98059</v>
      </c>
      <c r="B495" t="s">
        <v>20</v>
      </c>
      <c r="C495" t="s">
        <v>29</v>
      </c>
      <c r="D495">
        <v>187</v>
      </c>
      <c r="E495">
        <v>30</v>
      </c>
      <c r="F495">
        <v>435.46</v>
      </c>
      <c r="G495" t="s">
        <v>35</v>
      </c>
      <c r="H495" s="1">
        <v>45601</v>
      </c>
      <c r="I495" s="1">
        <v>45609</v>
      </c>
      <c r="J495" t="s">
        <v>37</v>
      </c>
      <c r="K495" t="b">
        <f>Table1[[#This Row],[CurrentStock]]&lt;Table1[[#This Row],[ReorderLevel]]</f>
        <v>0</v>
      </c>
      <c r="L495" s="9">
        <f>Table1[[#This Row],[CurrentStock]]*Table1[[#This Row],[UnitPrice]]</f>
        <v>81431.01999999999</v>
      </c>
      <c r="M495" t="str">
        <f>IF(Table1[[#This Row],[ReorderLevel]]-Table1[[#This Row],[CurrentStock]]&gt;0,Table1[[#This Row],[ReorderLevel]]-Table1[[#This Row],[CurrentStock]],"")</f>
        <v/>
      </c>
      <c r="N495" t="str">
        <f>IF(Table1[[#This Row],[CurrentStock]]&gt;Table1[[#This Row],[ReorderLevel]]*3,"Over Stock","Okay")</f>
        <v>Over Stock</v>
      </c>
      <c r="O495" t="str">
        <f>IF(Table1[[#This Row],[CurrentStock]]&lt;Table1[[#This Row],[ReorderLevel]],"Reorder","Okay")</f>
        <v>Okay</v>
      </c>
    </row>
    <row r="496" spans="1:15" x14ac:dyDescent="0.3">
      <c r="A496">
        <v>64722</v>
      </c>
      <c r="B496" t="s">
        <v>15</v>
      </c>
      <c r="C496" t="s">
        <v>29</v>
      </c>
      <c r="D496">
        <v>190</v>
      </c>
      <c r="E496">
        <v>100</v>
      </c>
      <c r="F496">
        <v>428.08</v>
      </c>
      <c r="G496" t="s">
        <v>34</v>
      </c>
      <c r="H496" s="1">
        <v>45344</v>
      </c>
      <c r="I496" s="1">
        <v>45378</v>
      </c>
      <c r="J496" t="s">
        <v>38</v>
      </c>
      <c r="K496" t="b">
        <f>Table1[[#This Row],[CurrentStock]]&lt;Table1[[#This Row],[ReorderLevel]]</f>
        <v>0</v>
      </c>
      <c r="L496" s="9">
        <f>Table1[[#This Row],[CurrentStock]]*Table1[[#This Row],[UnitPrice]]</f>
        <v>81335.199999999997</v>
      </c>
      <c r="M496" t="str">
        <f>IF(Table1[[#This Row],[ReorderLevel]]-Table1[[#This Row],[CurrentStock]]&gt;0,Table1[[#This Row],[ReorderLevel]]-Table1[[#This Row],[CurrentStock]],"")</f>
        <v/>
      </c>
      <c r="N496" t="str">
        <f>IF(Table1[[#This Row],[CurrentStock]]&gt;Table1[[#This Row],[ReorderLevel]]*3,"Over Stock","Okay")</f>
        <v>Okay</v>
      </c>
      <c r="O496" t="str">
        <f>IF(Table1[[#This Row],[CurrentStock]]&lt;Table1[[#This Row],[ReorderLevel]],"Reorder","Okay")</f>
        <v>Okay</v>
      </c>
    </row>
    <row r="497" spans="1:15" x14ac:dyDescent="0.3">
      <c r="A497">
        <v>73293</v>
      </c>
      <c r="B497" t="s">
        <v>23</v>
      </c>
      <c r="C497" t="s">
        <v>30</v>
      </c>
      <c r="D497">
        <v>225</v>
      </c>
      <c r="E497">
        <v>100</v>
      </c>
      <c r="F497">
        <v>303.91000000000003</v>
      </c>
      <c r="G497" t="s">
        <v>35</v>
      </c>
      <c r="H497" s="1">
        <v>45491</v>
      </c>
      <c r="I497" s="1">
        <v>45503</v>
      </c>
      <c r="J497" t="s">
        <v>39</v>
      </c>
      <c r="K497" t="b">
        <f>Table1[[#This Row],[CurrentStock]]&lt;Table1[[#This Row],[ReorderLevel]]</f>
        <v>0</v>
      </c>
      <c r="L497" s="9">
        <f>Table1[[#This Row],[CurrentStock]]*Table1[[#This Row],[UnitPrice]]</f>
        <v>68379.75</v>
      </c>
      <c r="M497" t="str">
        <f>IF(Table1[[#This Row],[ReorderLevel]]-Table1[[#This Row],[CurrentStock]]&gt;0,Table1[[#This Row],[ReorderLevel]]-Table1[[#This Row],[CurrentStock]],"")</f>
        <v/>
      </c>
      <c r="N497" t="str">
        <f>IF(Table1[[#This Row],[CurrentStock]]&gt;Table1[[#This Row],[ReorderLevel]]*3,"Over Stock","Okay")</f>
        <v>Okay</v>
      </c>
      <c r="O497" t="str">
        <f>IF(Table1[[#This Row],[CurrentStock]]&lt;Table1[[#This Row],[ReorderLevel]],"Reorder","Okay")</f>
        <v>Okay</v>
      </c>
    </row>
    <row r="498" spans="1:15" x14ac:dyDescent="0.3">
      <c r="A498">
        <v>59500</v>
      </c>
      <c r="B498" t="s">
        <v>15</v>
      </c>
      <c r="C498" t="s">
        <v>29</v>
      </c>
      <c r="D498">
        <v>386</v>
      </c>
      <c r="E498">
        <v>40</v>
      </c>
      <c r="F498">
        <v>172.05</v>
      </c>
      <c r="G498" t="s">
        <v>36</v>
      </c>
      <c r="H498" s="1">
        <v>45606</v>
      </c>
      <c r="I498" s="1">
        <v>45641</v>
      </c>
      <c r="J498" t="s">
        <v>39</v>
      </c>
      <c r="K498" t="b">
        <f>Table1[[#This Row],[CurrentStock]]&lt;Table1[[#This Row],[ReorderLevel]]</f>
        <v>0</v>
      </c>
      <c r="L498" s="9">
        <f>Table1[[#This Row],[CurrentStock]]*Table1[[#This Row],[UnitPrice]]</f>
        <v>66411.3</v>
      </c>
      <c r="M498" t="str">
        <f>IF(Table1[[#This Row],[ReorderLevel]]-Table1[[#This Row],[CurrentStock]]&gt;0,Table1[[#This Row],[ReorderLevel]]-Table1[[#This Row],[CurrentStock]],"")</f>
        <v/>
      </c>
      <c r="N498" t="str">
        <f>IF(Table1[[#This Row],[CurrentStock]]&gt;Table1[[#This Row],[ReorderLevel]]*3,"Over Stock","Okay")</f>
        <v>Over Stock</v>
      </c>
      <c r="O498" t="str">
        <f>IF(Table1[[#This Row],[CurrentStock]]&lt;Table1[[#This Row],[ReorderLevel]],"Reorder","Okay")</f>
        <v>Okay</v>
      </c>
    </row>
    <row r="499" spans="1:15" x14ac:dyDescent="0.3">
      <c r="A499">
        <v>29942</v>
      </c>
      <c r="B499" t="s">
        <v>10</v>
      </c>
      <c r="C499" t="s">
        <v>27</v>
      </c>
      <c r="D499">
        <v>126</v>
      </c>
      <c r="E499">
        <v>20</v>
      </c>
      <c r="F499">
        <v>130.06</v>
      </c>
      <c r="G499" t="s">
        <v>34</v>
      </c>
      <c r="H499" s="1">
        <v>45504</v>
      </c>
      <c r="I499" s="1">
        <v>45528</v>
      </c>
      <c r="J499" t="s">
        <v>37</v>
      </c>
      <c r="K499" t="b">
        <f>Table1[[#This Row],[CurrentStock]]&lt;Table1[[#This Row],[ReorderLevel]]</f>
        <v>0</v>
      </c>
      <c r="L499" s="9">
        <f>Table1[[#This Row],[CurrentStock]]*Table1[[#This Row],[UnitPrice]]</f>
        <v>16387.560000000001</v>
      </c>
      <c r="M499" t="str">
        <f>IF(Table1[[#This Row],[ReorderLevel]]-Table1[[#This Row],[CurrentStock]]&gt;0,Table1[[#This Row],[ReorderLevel]]-Table1[[#This Row],[CurrentStock]],"")</f>
        <v/>
      </c>
      <c r="N499" t="str">
        <f>IF(Table1[[#This Row],[CurrentStock]]&gt;Table1[[#This Row],[ReorderLevel]]*3,"Over Stock","Okay")</f>
        <v>Over Stock</v>
      </c>
      <c r="O499" t="str">
        <f>IF(Table1[[#This Row],[CurrentStock]]&lt;Table1[[#This Row],[ReorderLevel]],"Reorder","Okay")</f>
        <v>Okay</v>
      </c>
    </row>
    <row r="500" spans="1:15" x14ac:dyDescent="0.3">
      <c r="A500">
        <v>52933</v>
      </c>
      <c r="B500" t="s">
        <v>16</v>
      </c>
      <c r="C500" t="s">
        <v>30</v>
      </c>
      <c r="D500">
        <v>425</v>
      </c>
      <c r="E500">
        <v>30</v>
      </c>
      <c r="F500">
        <v>31.49</v>
      </c>
      <c r="G500" t="s">
        <v>34</v>
      </c>
      <c r="H500" s="1">
        <v>45496</v>
      </c>
      <c r="I500" s="1">
        <v>45517</v>
      </c>
      <c r="J500" t="s">
        <v>37</v>
      </c>
      <c r="K500" t="b">
        <f>Table1[[#This Row],[CurrentStock]]&lt;Table1[[#This Row],[ReorderLevel]]</f>
        <v>0</v>
      </c>
      <c r="L500" s="9">
        <f>Table1[[#This Row],[CurrentStock]]*Table1[[#This Row],[UnitPrice]]</f>
        <v>13383.25</v>
      </c>
      <c r="M500" t="str">
        <f>IF(Table1[[#This Row],[ReorderLevel]]-Table1[[#This Row],[CurrentStock]]&gt;0,Table1[[#This Row],[ReorderLevel]]-Table1[[#This Row],[CurrentStock]],"")</f>
        <v/>
      </c>
      <c r="N500" t="str">
        <f>IF(Table1[[#This Row],[CurrentStock]]&gt;Table1[[#This Row],[ReorderLevel]]*3,"Over Stock","Okay")</f>
        <v>Over Stock</v>
      </c>
      <c r="O500" t="str">
        <f>IF(Table1[[#This Row],[CurrentStock]]&lt;Table1[[#This Row],[ReorderLevel]],"Reorder","Okay")</f>
        <v>Okay</v>
      </c>
    </row>
    <row r="501" spans="1:15" x14ac:dyDescent="0.3">
      <c r="A501">
        <v>96124</v>
      </c>
      <c r="B501" t="s">
        <v>19</v>
      </c>
      <c r="C501" t="s">
        <v>28</v>
      </c>
      <c r="D501">
        <v>460</v>
      </c>
      <c r="E501">
        <v>20</v>
      </c>
      <c r="F501">
        <v>150.5</v>
      </c>
      <c r="G501" t="s">
        <v>32</v>
      </c>
      <c r="H501" s="1">
        <v>45619</v>
      </c>
      <c r="I501" s="1">
        <v>45650</v>
      </c>
      <c r="J501" t="s">
        <v>39</v>
      </c>
      <c r="K501" t="b">
        <f>Table1[[#This Row],[CurrentStock]]&lt;Table1[[#This Row],[ReorderLevel]]</f>
        <v>0</v>
      </c>
      <c r="L501" s="9">
        <f>Table1[[#This Row],[CurrentStock]]*Table1[[#This Row],[UnitPrice]]</f>
        <v>69230</v>
      </c>
      <c r="M501" t="str">
        <f>IF(Table1[[#This Row],[ReorderLevel]]-Table1[[#This Row],[CurrentStock]]&gt;0,Table1[[#This Row],[ReorderLevel]]-Table1[[#This Row],[CurrentStock]],"")</f>
        <v/>
      </c>
      <c r="N501" t="str">
        <f>IF(Table1[[#This Row],[CurrentStock]]&gt;Table1[[#This Row],[ReorderLevel]]*3,"Over Stock","Okay")</f>
        <v>Over Stock</v>
      </c>
      <c r="O501" t="str">
        <f>IF(Table1[[#This Row],[CurrentStock]]&lt;Table1[[#This Row],[ReorderLevel]],"Reorder","Okay")</f>
        <v>Okay</v>
      </c>
    </row>
    <row r="502" spans="1:15" x14ac:dyDescent="0.3">
      <c r="A502">
        <v>92806</v>
      </c>
      <c r="B502" t="s">
        <v>20</v>
      </c>
      <c r="C502" t="s">
        <v>29</v>
      </c>
      <c r="D502">
        <v>422</v>
      </c>
      <c r="E502">
        <v>80</v>
      </c>
      <c r="F502">
        <v>235.82</v>
      </c>
      <c r="G502" t="s">
        <v>33</v>
      </c>
      <c r="H502" s="1">
        <v>45480</v>
      </c>
      <c r="I502" s="1">
        <v>45500</v>
      </c>
      <c r="J502" t="s">
        <v>39</v>
      </c>
      <c r="K502" t="b">
        <f>Table1[[#This Row],[CurrentStock]]&lt;Table1[[#This Row],[ReorderLevel]]</f>
        <v>0</v>
      </c>
      <c r="L502" s="9">
        <f>Table1[[#This Row],[CurrentStock]]*Table1[[#This Row],[UnitPrice]]</f>
        <v>99516.04</v>
      </c>
      <c r="M502" t="str">
        <f>IF(Table1[[#This Row],[ReorderLevel]]-Table1[[#This Row],[CurrentStock]]&gt;0,Table1[[#This Row],[ReorderLevel]]-Table1[[#This Row],[CurrentStock]],"")</f>
        <v/>
      </c>
      <c r="N502" t="str">
        <f>IF(Table1[[#This Row],[CurrentStock]]&gt;Table1[[#This Row],[ReorderLevel]]*3,"Over Stock","Okay")</f>
        <v>Over Stock</v>
      </c>
      <c r="O502" t="str">
        <f>IF(Table1[[#This Row],[CurrentStock]]&lt;Table1[[#This Row],[ReorderLevel]],"Reorder","Okay")</f>
        <v>Okay</v>
      </c>
    </row>
    <row r="503" spans="1:15" x14ac:dyDescent="0.3">
      <c r="A503">
        <v>43885</v>
      </c>
      <c r="B503" t="s">
        <v>25</v>
      </c>
      <c r="C503" t="s">
        <v>31</v>
      </c>
      <c r="D503">
        <v>400</v>
      </c>
      <c r="E503">
        <v>100</v>
      </c>
      <c r="F503">
        <v>499.78</v>
      </c>
      <c r="G503" t="s">
        <v>33</v>
      </c>
      <c r="H503" s="1">
        <v>45387</v>
      </c>
      <c r="I503" s="1">
        <v>45420</v>
      </c>
      <c r="J503" t="s">
        <v>37</v>
      </c>
      <c r="K503" t="b">
        <f>Table1[[#This Row],[CurrentStock]]&lt;Table1[[#This Row],[ReorderLevel]]</f>
        <v>0</v>
      </c>
      <c r="L503" s="9">
        <f>Table1[[#This Row],[CurrentStock]]*Table1[[#This Row],[UnitPrice]]</f>
        <v>199912</v>
      </c>
      <c r="M503" t="str">
        <f>IF(Table1[[#This Row],[ReorderLevel]]-Table1[[#This Row],[CurrentStock]]&gt;0,Table1[[#This Row],[ReorderLevel]]-Table1[[#This Row],[CurrentStock]],"")</f>
        <v/>
      </c>
      <c r="N503" t="str">
        <f>IF(Table1[[#This Row],[CurrentStock]]&gt;Table1[[#This Row],[ReorderLevel]]*3,"Over Stock","Okay")</f>
        <v>Over Stock</v>
      </c>
      <c r="O503" t="str">
        <f>IF(Table1[[#This Row],[CurrentStock]]&lt;Table1[[#This Row],[ReorderLevel]],"Reorder","Okay")</f>
        <v>Okay</v>
      </c>
    </row>
    <row r="504" spans="1:15" x14ac:dyDescent="0.3">
      <c r="A504">
        <v>82307</v>
      </c>
      <c r="B504" t="s">
        <v>20</v>
      </c>
      <c r="C504" t="s">
        <v>29</v>
      </c>
      <c r="D504">
        <v>93</v>
      </c>
      <c r="E504">
        <v>80</v>
      </c>
      <c r="F504">
        <v>27.5</v>
      </c>
      <c r="G504" t="s">
        <v>35</v>
      </c>
      <c r="H504" s="1">
        <v>45628</v>
      </c>
      <c r="I504" s="1">
        <v>45651</v>
      </c>
      <c r="J504" t="s">
        <v>39</v>
      </c>
      <c r="K504" t="b">
        <f>Table1[[#This Row],[CurrentStock]]&lt;Table1[[#This Row],[ReorderLevel]]</f>
        <v>0</v>
      </c>
      <c r="L504" s="9">
        <f>Table1[[#This Row],[CurrentStock]]*Table1[[#This Row],[UnitPrice]]</f>
        <v>2557.5</v>
      </c>
      <c r="M504" t="str">
        <f>IF(Table1[[#This Row],[ReorderLevel]]-Table1[[#This Row],[CurrentStock]]&gt;0,Table1[[#This Row],[ReorderLevel]]-Table1[[#This Row],[CurrentStock]],"")</f>
        <v/>
      </c>
      <c r="N504" t="str">
        <f>IF(Table1[[#This Row],[CurrentStock]]&gt;Table1[[#This Row],[ReorderLevel]]*3,"Over Stock","Okay")</f>
        <v>Okay</v>
      </c>
      <c r="O504" t="str">
        <f>IF(Table1[[#This Row],[CurrentStock]]&lt;Table1[[#This Row],[ReorderLevel]],"Reorder","Okay")</f>
        <v>Okay</v>
      </c>
    </row>
    <row r="505" spans="1:15" x14ac:dyDescent="0.3">
      <c r="A505">
        <v>44485</v>
      </c>
      <c r="B505" t="s">
        <v>22</v>
      </c>
      <c r="C505" t="s">
        <v>27</v>
      </c>
      <c r="D505">
        <v>52</v>
      </c>
      <c r="E505">
        <v>150</v>
      </c>
      <c r="F505">
        <v>315.02999999999997</v>
      </c>
      <c r="G505" t="s">
        <v>35</v>
      </c>
      <c r="H505" s="1">
        <v>45604</v>
      </c>
      <c r="I505" s="1">
        <v>45617</v>
      </c>
      <c r="J505" t="s">
        <v>38</v>
      </c>
      <c r="K505" t="b">
        <f>Table1[[#This Row],[CurrentStock]]&lt;Table1[[#This Row],[ReorderLevel]]</f>
        <v>1</v>
      </c>
      <c r="L505" s="9">
        <f>Table1[[#This Row],[CurrentStock]]*Table1[[#This Row],[UnitPrice]]</f>
        <v>16381.559999999998</v>
      </c>
      <c r="M505">
        <f>IF(Table1[[#This Row],[ReorderLevel]]-Table1[[#This Row],[CurrentStock]]&gt;0,Table1[[#This Row],[ReorderLevel]]-Table1[[#This Row],[CurrentStock]],"")</f>
        <v>98</v>
      </c>
      <c r="N505" t="str">
        <f>IF(Table1[[#This Row],[CurrentStock]]&gt;Table1[[#This Row],[ReorderLevel]]*3,"Over Stock","Okay")</f>
        <v>Okay</v>
      </c>
      <c r="O505" t="str">
        <f>IF(Table1[[#This Row],[CurrentStock]]&lt;Table1[[#This Row],[ReorderLevel]],"Reorder","Okay")</f>
        <v>Reorder</v>
      </c>
    </row>
    <row r="506" spans="1:15" x14ac:dyDescent="0.3">
      <c r="A506">
        <v>29692</v>
      </c>
      <c r="B506" t="s">
        <v>15</v>
      </c>
      <c r="C506" t="s">
        <v>29</v>
      </c>
      <c r="D506">
        <v>207</v>
      </c>
      <c r="E506">
        <v>20</v>
      </c>
      <c r="F506">
        <v>171.32</v>
      </c>
      <c r="G506" t="s">
        <v>35</v>
      </c>
      <c r="H506" s="1">
        <v>45431</v>
      </c>
      <c r="I506" s="1">
        <v>45468</v>
      </c>
      <c r="J506" t="s">
        <v>37</v>
      </c>
      <c r="K506" t="b">
        <f>Table1[[#This Row],[CurrentStock]]&lt;Table1[[#This Row],[ReorderLevel]]</f>
        <v>0</v>
      </c>
      <c r="L506" s="9">
        <f>Table1[[#This Row],[CurrentStock]]*Table1[[#This Row],[UnitPrice]]</f>
        <v>35463.24</v>
      </c>
      <c r="M506" t="str">
        <f>IF(Table1[[#This Row],[ReorderLevel]]-Table1[[#This Row],[CurrentStock]]&gt;0,Table1[[#This Row],[ReorderLevel]]-Table1[[#This Row],[CurrentStock]],"")</f>
        <v/>
      </c>
      <c r="N506" t="str">
        <f>IF(Table1[[#This Row],[CurrentStock]]&gt;Table1[[#This Row],[ReorderLevel]]*3,"Over Stock","Okay")</f>
        <v>Over Stock</v>
      </c>
      <c r="O506" t="str">
        <f>IF(Table1[[#This Row],[CurrentStock]]&lt;Table1[[#This Row],[ReorderLevel]],"Reorder","Okay")</f>
        <v>Okay</v>
      </c>
    </row>
    <row r="507" spans="1:15" x14ac:dyDescent="0.3">
      <c r="A507">
        <v>70006</v>
      </c>
      <c r="B507" t="s">
        <v>15</v>
      </c>
      <c r="C507" t="s">
        <v>29</v>
      </c>
      <c r="D507">
        <v>267</v>
      </c>
      <c r="E507">
        <v>20</v>
      </c>
      <c r="F507">
        <v>307.33</v>
      </c>
      <c r="G507" t="s">
        <v>32</v>
      </c>
      <c r="H507" s="1">
        <v>45333</v>
      </c>
      <c r="I507" s="1">
        <v>45348</v>
      </c>
      <c r="J507" t="s">
        <v>38</v>
      </c>
      <c r="K507" t="b">
        <f>Table1[[#This Row],[CurrentStock]]&lt;Table1[[#This Row],[ReorderLevel]]</f>
        <v>0</v>
      </c>
      <c r="L507" s="9">
        <f>Table1[[#This Row],[CurrentStock]]*Table1[[#This Row],[UnitPrice]]</f>
        <v>82057.11</v>
      </c>
      <c r="M507" t="str">
        <f>IF(Table1[[#This Row],[ReorderLevel]]-Table1[[#This Row],[CurrentStock]]&gt;0,Table1[[#This Row],[ReorderLevel]]-Table1[[#This Row],[CurrentStock]],"")</f>
        <v/>
      </c>
      <c r="N507" t="str">
        <f>IF(Table1[[#This Row],[CurrentStock]]&gt;Table1[[#This Row],[ReorderLevel]]*3,"Over Stock","Okay")</f>
        <v>Over Stock</v>
      </c>
      <c r="O507" t="str">
        <f>IF(Table1[[#This Row],[CurrentStock]]&lt;Table1[[#This Row],[ReorderLevel]],"Reorder","Okay")</f>
        <v>Okay</v>
      </c>
    </row>
    <row r="508" spans="1:15" x14ac:dyDescent="0.3">
      <c r="A508">
        <v>85319</v>
      </c>
      <c r="B508" t="s">
        <v>18</v>
      </c>
      <c r="C508" t="s">
        <v>28</v>
      </c>
      <c r="D508">
        <v>415</v>
      </c>
      <c r="E508">
        <v>30</v>
      </c>
      <c r="F508">
        <v>340.31</v>
      </c>
      <c r="G508" t="s">
        <v>33</v>
      </c>
      <c r="H508" s="1">
        <v>45632</v>
      </c>
      <c r="I508" s="1">
        <v>45659</v>
      </c>
      <c r="J508" t="s">
        <v>39</v>
      </c>
      <c r="K508" t="b">
        <f>Table1[[#This Row],[CurrentStock]]&lt;Table1[[#This Row],[ReorderLevel]]</f>
        <v>0</v>
      </c>
      <c r="L508" s="9">
        <f>Table1[[#This Row],[CurrentStock]]*Table1[[#This Row],[UnitPrice]]</f>
        <v>141228.65</v>
      </c>
      <c r="M508" t="str">
        <f>IF(Table1[[#This Row],[ReorderLevel]]-Table1[[#This Row],[CurrentStock]]&gt;0,Table1[[#This Row],[ReorderLevel]]-Table1[[#This Row],[CurrentStock]],"")</f>
        <v/>
      </c>
      <c r="N508" t="str">
        <f>IF(Table1[[#This Row],[CurrentStock]]&gt;Table1[[#This Row],[ReorderLevel]]*3,"Over Stock","Okay")</f>
        <v>Over Stock</v>
      </c>
      <c r="O508" t="str">
        <f>IF(Table1[[#This Row],[CurrentStock]]&lt;Table1[[#This Row],[ReorderLevel]],"Reorder","Okay")</f>
        <v>Okay</v>
      </c>
    </row>
    <row r="509" spans="1:15" x14ac:dyDescent="0.3">
      <c r="A509">
        <v>23682</v>
      </c>
      <c r="B509" t="s">
        <v>26</v>
      </c>
      <c r="C509" t="s">
        <v>30</v>
      </c>
      <c r="D509">
        <v>191</v>
      </c>
      <c r="E509">
        <v>40</v>
      </c>
      <c r="F509">
        <v>264.74</v>
      </c>
      <c r="G509" t="s">
        <v>32</v>
      </c>
      <c r="H509" s="1">
        <v>45524</v>
      </c>
      <c r="I509" s="1">
        <v>45563</v>
      </c>
      <c r="J509" t="s">
        <v>37</v>
      </c>
      <c r="K509" t="b">
        <f>Table1[[#This Row],[CurrentStock]]&lt;Table1[[#This Row],[ReorderLevel]]</f>
        <v>0</v>
      </c>
      <c r="L509" s="9">
        <f>Table1[[#This Row],[CurrentStock]]*Table1[[#This Row],[UnitPrice]]</f>
        <v>50565.340000000004</v>
      </c>
      <c r="M509" t="str">
        <f>IF(Table1[[#This Row],[ReorderLevel]]-Table1[[#This Row],[CurrentStock]]&gt;0,Table1[[#This Row],[ReorderLevel]]-Table1[[#This Row],[CurrentStock]],"")</f>
        <v/>
      </c>
      <c r="N509" t="str">
        <f>IF(Table1[[#This Row],[CurrentStock]]&gt;Table1[[#This Row],[ReorderLevel]]*3,"Over Stock","Okay")</f>
        <v>Over Stock</v>
      </c>
      <c r="O509" t="str">
        <f>IF(Table1[[#This Row],[CurrentStock]]&lt;Table1[[#This Row],[ReorderLevel]],"Reorder","Okay")</f>
        <v>Okay</v>
      </c>
    </row>
    <row r="510" spans="1:15" x14ac:dyDescent="0.3">
      <c r="A510">
        <v>20234</v>
      </c>
      <c r="B510" t="s">
        <v>16</v>
      </c>
      <c r="C510" t="s">
        <v>30</v>
      </c>
      <c r="D510">
        <v>449</v>
      </c>
      <c r="E510">
        <v>150</v>
      </c>
      <c r="F510">
        <v>25.54</v>
      </c>
      <c r="G510" t="s">
        <v>35</v>
      </c>
      <c r="H510" s="1">
        <v>45650</v>
      </c>
      <c r="I510" s="1">
        <v>45682</v>
      </c>
      <c r="J510" t="s">
        <v>39</v>
      </c>
      <c r="K510" t="b">
        <f>Table1[[#This Row],[CurrentStock]]&lt;Table1[[#This Row],[ReorderLevel]]</f>
        <v>0</v>
      </c>
      <c r="L510" s="9">
        <f>Table1[[#This Row],[CurrentStock]]*Table1[[#This Row],[UnitPrice]]</f>
        <v>11467.46</v>
      </c>
      <c r="M510" t="str">
        <f>IF(Table1[[#This Row],[ReorderLevel]]-Table1[[#This Row],[CurrentStock]]&gt;0,Table1[[#This Row],[ReorderLevel]]-Table1[[#This Row],[CurrentStock]],"")</f>
        <v/>
      </c>
      <c r="N510" t="str">
        <f>IF(Table1[[#This Row],[CurrentStock]]&gt;Table1[[#This Row],[ReorderLevel]]*3,"Over Stock","Okay")</f>
        <v>Okay</v>
      </c>
      <c r="O510" t="str">
        <f>IF(Table1[[#This Row],[CurrentStock]]&lt;Table1[[#This Row],[ReorderLevel]],"Reorder","Okay")</f>
        <v>Okay</v>
      </c>
    </row>
    <row r="511" spans="1:15" x14ac:dyDescent="0.3">
      <c r="A511">
        <v>54757</v>
      </c>
      <c r="B511" t="s">
        <v>15</v>
      </c>
      <c r="C511" t="s">
        <v>29</v>
      </c>
      <c r="D511">
        <v>27</v>
      </c>
      <c r="E511">
        <v>30</v>
      </c>
      <c r="F511">
        <v>311.70999999999998</v>
      </c>
      <c r="G511" t="s">
        <v>33</v>
      </c>
      <c r="H511" s="1">
        <v>45584</v>
      </c>
      <c r="I511" s="1">
        <v>45592</v>
      </c>
      <c r="J511" t="s">
        <v>37</v>
      </c>
      <c r="K511" t="b">
        <f>Table1[[#This Row],[CurrentStock]]&lt;Table1[[#This Row],[ReorderLevel]]</f>
        <v>1</v>
      </c>
      <c r="L511" s="9">
        <f>Table1[[#This Row],[CurrentStock]]*Table1[[#This Row],[UnitPrice]]</f>
        <v>8416.17</v>
      </c>
      <c r="M511">
        <f>IF(Table1[[#This Row],[ReorderLevel]]-Table1[[#This Row],[CurrentStock]]&gt;0,Table1[[#This Row],[ReorderLevel]]-Table1[[#This Row],[CurrentStock]],"")</f>
        <v>3</v>
      </c>
      <c r="N511" t="str">
        <f>IF(Table1[[#This Row],[CurrentStock]]&gt;Table1[[#This Row],[ReorderLevel]]*3,"Over Stock","Okay")</f>
        <v>Okay</v>
      </c>
      <c r="O511" t="str">
        <f>IF(Table1[[#This Row],[CurrentStock]]&lt;Table1[[#This Row],[ReorderLevel]],"Reorder","Okay")</f>
        <v>Reorder</v>
      </c>
    </row>
    <row r="512" spans="1:15" x14ac:dyDescent="0.3">
      <c r="A512">
        <v>97225</v>
      </c>
      <c r="B512" t="s">
        <v>15</v>
      </c>
      <c r="C512" t="s">
        <v>29</v>
      </c>
      <c r="D512">
        <v>268</v>
      </c>
      <c r="E512">
        <v>50</v>
      </c>
      <c r="F512">
        <v>340.67</v>
      </c>
      <c r="G512" t="s">
        <v>34</v>
      </c>
      <c r="H512" s="1">
        <v>45396</v>
      </c>
      <c r="I512" s="1">
        <v>45419</v>
      </c>
      <c r="J512" t="s">
        <v>38</v>
      </c>
      <c r="K512" t="b">
        <f>Table1[[#This Row],[CurrentStock]]&lt;Table1[[#This Row],[ReorderLevel]]</f>
        <v>0</v>
      </c>
      <c r="L512" s="9">
        <f>Table1[[#This Row],[CurrentStock]]*Table1[[#This Row],[UnitPrice]]</f>
        <v>91299.56</v>
      </c>
      <c r="M512" t="str">
        <f>IF(Table1[[#This Row],[ReorderLevel]]-Table1[[#This Row],[CurrentStock]]&gt;0,Table1[[#This Row],[ReorderLevel]]-Table1[[#This Row],[CurrentStock]],"")</f>
        <v/>
      </c>
      <c r="N512" t="str">
        <f>IF(Table1[[#This Row],[CurrentStock]]&gt;Table1[[#This Row],[ReorderLevel]]*3,"Over Stock","Okay")</f>
        <v>Over Stock</v>
      </c>
      <c r="O512" t="str">
        <f>IF(Table1[[#This Row],[CurrentStock]]&lt;Table1[[#This Row],[ReorderLevel]],"Reorder","Okay")</f>
        <v>Okay</v>
      </c>
    </row>
    <row r="513" spans="1:15" x14ac:dyDescent="0.3">
      <c r="A513">
        <v>23255</v>
      </c>
      <c r="B513" t="s">
        <v>20</v>
      </c>
      <c r="C513" t="s">
        <v>29</v>
      </c>
      <c r="D513">
        <v>425</v>
      </c>
      <c r="E513">
        <v>30</v>
      </c>
      <c r="F513">
        <v>495.89</v>
      </c>
      <c r="G513" t="s">
        <v>33</v>
      </c>
      <c r="H513" s="1">
        <v>45388</v>
      </c>
      <c r="I513" s="1">
        <v>45404</v>
      </c>
      <c r="J513" t="s">
        <v>39</v>
      </c>
      <c r="K513" t="b">
        <f>Table1[[#This Row],[CurrentStock]]&lt;Table1[[#This Row],[ReorderLevel]]</f>
        <v>0</v>
      </c>
      <c r="L513" s="9">
        <f>Table1[[#This Row],[CurrentStock]]*Table1[[#This Row],[UnitPrice]]</f>
        <v>210753.25</v>
      </c>
      <c r="M513" t="str">
        <f>IF(Table1[[#This Row],[ReorderLevel]]-Table1[[#This Row],[CurrentStock]]&gt;0,Table1[[#This Row],[ReorderLevel]]-Table1[[#This Row],[CurrentStock]],"")</f>
        <v/>
      </c>
      <c r="N513" t="str">
        <f>IF(Table1[[#This Row],[CurrentStock]]&gt;Table1[[#This Row],[ReorderLevel]]*3,"Over Stock","Okay")</f>
        <v>Over Stock</v>
      </c>
      <c r="O513" t="str">
        <f>IF(Table1[[#This Row],[CurrentStock]]&lt;Table1[[#This Row],[ReorderLevel]],"Reorder","Okay")</f>
        <v>Okay</v>
      </c>
    </row>
    <row r="514" spans="1:15" x14ac:dyDescent="0.3">
      <c r="A514">
        <v>98535</v>
      </c>
      <c r="B514" t="s">
        <v>22</v>
      </c>
      <c r="C514" t="s">
        <v>27</v>
      </c>
      <c r="D514">
        <v>136</v>
      </c>
      <c r="E514">
        <v>150</v>
      </c>
      <c r="F514">
        <v>85.58</v>
      </c>
      <c r="G514" t="s">
        <v>36</v>
      </c>
      <c r="H514" s="1">
        <v>45367</v>
      </c>
      <c r="I514" s="1">
        <v>45402</v>
      </c>
      <c r="J514" t="s">
        <v>37</v>
      </c>
      <c r="K514" t="b">
        <f>Table1[[#This Row],[CurrentStock]]&lt;Table1[[#This Row],[ReorderLevel]]</f>
        <v>1</v>
      </c>
      <c r="L514" s="9">
        <f>Table1[[#This Row],[CurrentStock]]*Table1[[#This Row],[UnitPrice]]</f>
        <v>11638.88</v>
      </c>
      <c r="M514">
        <f>IF(Table1[[#This Row],[ReorderLevel]]-Table1[[#This Row],[CurrentStock]]&gt;0,Table1[[#This Row],[ReorderLevel]]-Table1[[#This Row],[CurrentStock]],"")</f>
        <v>14</v>
      </c>
      <c r="N514" t="str">
        <f>IF(Table1[[#This Row],[CurrentStock]]&gt;Table1[[#This Row],[ReorderLevel]]*3,"Over Stock","Okay")</f>
        <v>Okay</v>
      </c>
      <c r="O514" t="str">
        <f>IF(Table1[[#This Row],[CurrentStock]]&lt;Table1[[#This Row],[ReorderLevel]],"Reorder","Okay")</f>
        <v>Reorder</v>
      </c>
    </row>
    <row r="515" spans="1:15" x14ac:dyDescent="0.3">
      <c r="A515">
        <v>54041</v>
      </c>
      <c r="B515" t="s">
        <v>25</v>
      </c>
      <c r="C515" t="s">
        <v>31</v>
      </c>
      <c r="D515">
        <v>249</v>
      </c>
      <c r="E515">
        <v>100</v>
      </c>
      <c r="F515">
        <v>34.75</v>
      </c>
      <c r="G515" t="s">
        <v>32</v>
      </c>
      <c r="H515" s="1">
        <v>45364</v>
      </c>
      <c r="I515" s="1">
        <v>45394</v>
      </c>
      <c r="J515" t="s">
        <v>38</v>
      </c>
      <c r="K515" t="b">
        <f>Table1[[#This Row],[CurrentStock]]&lt;Table1[[#This Row],[ReorderLevel]]</f>
        <v>0</v>
      </c>
      <c r="L515" s="9">
        <f>Table1[[#This Row],[CurrentStock]]*Table1[[#This Row],[UnitPrice]]</f>
        <v>8652.75</v>
      </c>
      <c r="M515" t="str">
        <f>IF(Table1[[#This Row],[ReorderLevel]]-Table1[[#This Row],[CurrentStock]]&gt;0,Table1[[#This Row],[ReorderLevel]]-Table1[[#This Row],[CurrentStock]],"")</f>
        <v/>
      </c>
      <c r="N515" t="str">
        <f>IF(Table1[[#This Row],[CurrentStock]]&gt;Table1[[#This Row],[ReorderLevel]]*3,"Over Stock","Okay")</f>
        <v>Okay</v>
      </c>
      <c r="O515" t="str">
        <f>IF(Table1[[#This Row],[CurrentStock]]&lt;Table1[[#This Row],[ReorderLevel]],"Reorder","Okay")</f>
        <v>Okay</v>
      </c>
    </row>
    <row r="516" spans="1:15" x14ac:dyDescent="0.3">
      <c r="A516">
        <v>71899</v>
      </c>
      <c r="B516" t="s">
        <v>16</v>
      </c>
      <c r="C516" t="s">
        <v>30</v>
      </c>
      <c r="D516">
        <v>441</v>
      </c>
      <c r="E516">
        <v>40</v>
      </c>
      <c r="F516">
        <v>32.520000000000003</v>
      </c>
      <c r="G516" t="s">
        <v>35</v>
      </c>
      <c r="H516" s="1">
        <v>45562</v>
      </c>
      <c r="I516" s="1">
        <v>45601</v>
      </c>
      <c r="J516" t="s">
        <v>37</v>
      </c>
      <c r="K516" t="b">
        <f>Table1[[#This Row],[CurrentStock]]&lt;Table1[[#This Row],[ReorderLevel]]</f>
        <v>0</v>
      </c>
      <c r="L516" s="9">
        <f>Table1[[#This Row],[CurrentStock]]*Table1[[#This Row],[UnitPrice]]</f>
        <v>14341.320000000002</v>
      </c>
      <c r="M516" t="str">
        <f>IF(Table1[[#This Row],[ReorderLevel]]-Table1[[#This Row],[CurrentStock]]&gt;0,Table1[[#This Row],[ReorderLevel]]-Table1[[#This Row],[CurrentStock]],"")</f>
        <v/>
      </c>
      <c r="N516" t="str">
        <f>IF(Table1[[#This Row],[CurrentStock]]&gt;Table1[[#This Row],[ReorderLevel]]*3,"Over Stock","Okay")</f>
        <v>Over Stock</v>
      </c>
      <c r="O516" t="str">
        <f>IF(Table1[[#This Row],[CurrentStock]]&lt;Table1[[#This Row],[ReorderLevel]],"Reorder","Okay")</f>
        <v>Okay</v>
      </c>
    </row>
    <row r="517" spans="1:15" x14ac:dyDescent="0.3">
      <c r="A517">
        <v>30566</v>
      </c>
      <c r="B517" t="s">
        <v>14</v>
      </c>
      <c r="C517" t="s">
        <v>27</v>
      </c>
      <c r="D517">
        <v>174</v>
      </c>
      <c r="E517">
        <v>30</v>
      </c>
      <c r="F517">
        <v>428.79</v>
      </c>
      <c r="G517" t="s">
        <v>35</v>
      </c>
      <c r="H517" s="1">
        <v>45631</v>
      </c>
      <c r="I517" s="1">
        <v>45647</v>
      </c>
      <c r="J517" t="s">
        <v>39</v>
      </c>
      <c r="K517" t="b">
        <f>Table1[[#This Row],[CurrentStock]]&lt;Table1[[#This Row],[ReorderLevel]]</f>
        <v>0</v>
      </c>
      <c r="L517" s="9">
        <f>Table1[[#This Row],[CurrentStock]]*Table1[[#This Row],[UnitPrice]]</f>
        <v>74609.460000000006</v>
      </c>
      <c r="M517" t="str">
        <f>IF(Table1[[#This Row],[ReorderLevel]]-Table1[[#This Row],[CurrentStock]]&gt;0,Table1[[#This Row],[ReorderLevel]]-Table1[[#This Row],[CurrentStock]],"")</f>
        <v/>
      </c>
      <c r="N517" t="str">
        <f>IF(Table1[[#This Row],[CurrentStock]]&gt;Table1[[#This Row],[ReorderLevel]]*3,"Over Stock","Okay")</f>
        <v>Over Stock</v>
      </c>
      <c r="O517" t="str">
        <f>IF(Table1[[#This Row],[CurrentStock]]&lt;Table1[[#This Row],[ReorderLevel]],"Reorder","Okay")</f>
        <v>Okay</v>
      </c>
    </row>
    <row r="518" spans="1:15" x14ac:dyDescent="0.3">
      <c r="A518">
        <v>23780</v>
      </c>
      <c r="B518" t="s">
        <v>12</v>
      </c>
      <c r="C518" t="s">
        <v>28</v>
      </c>
      <c r="D518">
        <v>157</v>
      </c>
      <c r="E518">
        <v>40</v>
      </c>
      <c r="F518">
        <v>174.34</v>
      </c>
      <c r="G518" t="s">
        <v>36</v>
      </c>
      <c r="H518" s="1">
        <v>45631</v>
      </c>
      <c r="I518" s="1">
        <v>45657</v>
      </c>
      <c r="J518" t="s">
        <v>37</v>
      </c>
      <c r="K518" t="b">
        <f>Table1[[#This Row],[CurrentStock]]&lt;Table1[[#This Row],[ReorderLevel]]</f>
        <v>0</v>
      </c>
      <c r="L518" s="9">
        <f>Table1[[#This Row],[CurrentStock]]*Table1[[#This Row],[UnitPrice]]</f>
        <v>27371.38</v>
      </c>
      <c r="M518" t="str">
        <f>IF(Table1[[#This Row],[ReorderLevel]]-Table1[[#This Row],[CurrentStock]]&gt;0,Table1[[#This Row],[ReorderLevel]]-Table1[[#This Row],[CurrentStock]],"")</f>
        <v/>
      </c>
      <c r="N518" t="str">
        <f>IF(Table1[[#This Row],[CurrentStock]]&gt;Table1[[#This Row],[ReorderLevel]]*3,"Over Stock","Okay")</f>
        <v>Over Stock</v>
      </c>
      <c r="O518" t="str">
        <f>IF(Table1[[#This Row],[CurrentStock]]&lt;Table1[[#This Row],[ReorderLevel]],"Reorder","Okay")</f>
        <v>Okay</v>
      </c>
    </row>
    <row r="519" spans="1:15" x14ac:dyDescent="0.3">
      <c r="A519">
        <v>41508</v>
      </c>
      <c r="B519" t="s">
        <v>14</v>
      </c>
      <c r="C519" t="s">
        <v>27</v>
      </c>
      <c r="D519">
        <v>252</v>
      </c>
      <c r="E519">
        <v>150</v>
      </c>
      <c r="F519">
        <v>475.2</v>
      </c>
      <c r="G519" t="s">
        <v>35</v>
      </c>
      <c r="H519" s="1">
        <v>45593</v>
      </c>
      <c r="I519" s="1">
        <v>45622</v>
      </c>
      <c r="J519" t="s">
        <v>39</v>
      </c>
      <c r="K519" t="b">
        <f>Table1[[#This Row],[CurrentStock]]&lt;Table1[[#This Row],[ReorderLevel]]</f>
        <v>0</v>
      </c>
      <c r="L519" s="9">
        <f>Table1[[#This Row],[CurrentStock]]*Table1[[#This Row],[UnitPrice]]</f>
        <v>119750.39999999999</v>
      </c>
      <c r="M519" t="str">
        <f>IF(Table1[[#This Row],[ReorderLevel]]-Table1[[#This Row],[CurrentStock]]&gt;0,Table1[[#This Row],[ReorderLevel]]-Table1[[#This Row],[CurrentStock]],"")</f>
        <v/>
      </c>
      <c r="N519" t="str">
        <f>IF(Table1[[#This Row],[CurrentStock]]&gt;Table1[[#This Row],[ReorderLevel]]*3,"Over Stock","Okay")</f>
        <v>Okay</v>
      </c>
      <c r="O519" t="str">
        <f>IF(Table1[[#This Row],[CurrentStock]]&lt;Table1[[#This Row],[ReorderLevel]],"Reorder","Okay")</f>
        <v>Okay</v>
      </c>
    </row>
    <row r="520" spans="1:15" x14ac:dyDescent="0.3">
      <c r="A520">
        <v>11987</v>
      </c>
      <c r="B520" t="s">
        <v>23</v>
      </c>
      <c r="C520" t="s">
        <v>30</v>
      </c>
      <c r="D520">
        <v>112</v>
      </c>
      <c r="E520">
        <v>40</v>
      </c>
      <c r="F520">
        <v>175.26</v>
      </c>
      <c r="G520" t="s">
        <v>32</v>
      </c>
      <c r="H520" s="1">
        <v>45594</v>
      </c>
      <c r="I520" s="1">
        <v>45621</v>
      </c>
      <c r="J520" t="s">
        <v>39</v>
      </c>
      <c r="K520" t="b">
        <f>Table1[[#This Row],[CurrentStock]]&lt;Table1[[#This Row],[ReorderLevel]]</f>
        <v>0</v>
      </c>
      <c r="L520" s="9">
        <f>Table1[[#This Row],[CurrentStock]]*Table1[[#This Row],[UnitPrice]]</f>
        <v>19629.12</v>
      </c>
      <c r="M520" t="str">
        <f>IF(Table1[[#This Row],[ReorderLevel]]-Table1[[#This Row],[CurrentStock]]&gt;0,Table1[[#This Row],[ReorderLevel]]-Table1[[#This Row],[CurrentStock]],"")</f>
        <v/>
      </c>
      <c r="N520" t="str">
        <f>IF(Table1[[#This Row],[CurrentStock]]&gt;Table1[[#This Row],[ReorderLevel]]*3,"Over Stock","Okay")</f>
        <v>Okay</v>
      </c>
      <c r="O520" t="str">
        <f>IF(Table1[[#This Row],[CurrentStock]]&lt;Table1[[#This Row],[ReorderLevel]],"Reorder","Okay")</f>
        <v>Okay</v>
      </c>
    </row>
    <row r="521" spans="1:15" x14ac:dyDescent="0.3">
      <c r="A521">
        <v>66561</v>
      </c>
      <c r="B521" t="s">
        <v>17</v>
      </c>
      <c r="C521" t="s">
        <v>30</v>
      </c>
      <c r="D521">
        <v>226</v>
      </c>
      <c r="E521">
        <v>100</v>
      </c>
      <c r="F521">
        <v>263.95999999999998</v>
      </c>
      <c r="G521" t="s">
        <v>33</v>
      </c>
      <c r="H521" s="1">
        <v>45483</v>
      </c>
      <c r="I521" s="1">
        <v>45490</v>
      </c>
      <c r="J521" t="s">
        <v>37</v>
      </c>
      <c r="K521" t="b">
        <f>Table1[[#This Row],[CurrentStock]]&lt;Table1[[#This Row],[ReorderLevel]]</f>
        <v>0</v>
      </c>
      <c r="L521" s="9">
        <f>Table1[[#This Row],[CurrentStock]]*Table1[[#This Row],[UnitPrice]]</f>
        <v>59654.959999999992</v>
      </c>
      <c r="M521" t="str">
        <f>IF(Table1[[#This Row],[ReorderLevel]]-Table1[[#This Row],[CurrentStock]]&gt;0,Table1[[#This Row],[ReorderLevel]]-Table1[[#This Row],[CurrentStock]],"")</f>
        <v/>
      </c>
      <c r="N521" t="str">
        <f>IF(Table1[[#This Row],[CurrentStock]]&gt;Table1[[#This Row],[ReorderLevel]]*3,"Over Stock","Okay")</f>
        <v>Okay</v>
      </c>
      <c r="O521" t="str">
        <f>IF(Table1[[#This Row],[CurrentStock]]&lt;Table1[[#This Row],[ReorderLevel]],"Reorder","Okay")</f>
        <v>Okay</v>
      </c>
    </row>
    <row r="522" spans="1:15" x14ac:dyDescent="0.3">
      <c r="A522">
        <v>65161</v>
      </c>
      <c r="B522" t="s">
        <v>10</v>
      </c>
      <c r="C522" t="s">
        <v>27</v>
      </c>
      <c r="D522">
        <v>199</v>
      </c>
      <c r="E522">
        <v>150</v>
      </c>
      <c r="F522">
        <v>130.69999999999999</v>
      </c>
      <c r="G522" t="s">
        <v>36</v>
      </c>
      <c r="H522" s="1">
        <v>45483</v>
      </c>
      <c r="I522" s="1">
        <v>45492</v>
      </c>
      <c r="J522" t="s">
        <v>37</v>
      </c>
      <c r="K522" t="b">
        <f>Table1[[#This Row],[CurrentStock]]&lt;Table1[[#This Row],[ReorderLevel]]</f>
        <v>0</v>
      </c>
      <c r="L522" s="9">
        <f>Table1[[#This Row],[CurrentStock]]*Table1[[#This Row],[UnitPrice]]</f>
        <v>26009.3</v>
      </c>
      <c r="M522" t="str">
        <f>IF(Table1[[#This Row],[ReorderLevel]]-Table1[[#This Row],[CurrentStock]]&gt;0,Table1[[#This Row],[ReorderLevel]]-Table1[[#This Row],[CurrentStock]],"")</f>
        <v/>
      </c>
      <c r="N522" t="str">
        <f>IF(Table1[[#This Row],[CurrentStock]]&gt;Table1[[#This Row],[ReorderLevel]]*3,"Over Stock","Okay")</f>
        <v>Okay</v>
      </c>
      <c r="O522" t="str">
        <f>IF(Table1[[#This Row],[CurrentStock]]&lt;Table1[[#This Row],[ReorderLevel]],"Reorder","Okay")</f>
        <v>Okay</v>
      </c>
    </row>
    <row r="523" spans="1:15" x14ac:dyDescent="0.3">
      <c r="A523">
        <v>40266</v>
      </c>
      <c r="B523" t="s">
        <v>17</v>
      </c>
      <c r="C523" t="s">
        <v>30</v>
      </c>
      <c r="D523">
        <v>442</v>
      </c>
      <c r="E523">
        <v>80</v>
      </c>
      <c r="F523">
        <v>294.61</v>
      </c>
      <c r="G523" t="s">
        <v>33</v>
      </c>
      <c r="H523" s="1">
        <v>45488</v>
      </c>
      <c r="I523" s="1">
        <v>45501</v>
      </c>
      <c r="J523" t="s">
        <v>37</v>
      </c>
      <c r="K523" t="b">
        <f>Table1[[#This Row],[CurrentStock]]&lt;Table1[[#This Row],[ReorderLevel]]</f>
        <v>0</v>
      </c>
      <c r="L523" s="9">
        <f>Table1[[#This Row],[CurrentStock]]*Table1[[#This Row],[UnitPrice]]</f>
        <v>130217.62000000001</v>
      </c>
      <c r="M523" t="str">
        <f>IF(Table1[[#This Row],[ReorderLevel]]-Table1[[#This Row],[CurrentStock]]&gt;0,Table1[[#This Row],[ReorderLevel]]-Table1[[#This Row],[CurrentStock]],"")</f>
        <v/>
      </c>
      <c r="N523" t="str">
        <f>IF(Table1[[#This Row],[CurrentStock]]&gt;Table1[[#This Row],[ReorderLevel]]*3,"Over Stock","Okay")</f>
        <v>Over Stock</v>
      </c>
      <c r="O523" t="str">
        <f>IF(Table1[[#This Row],[CurrentStock]]&lt;Table1[[#This Row],[ReorderLevel]],"Reorder","Okay")</f>
        <v>Okay</v>
      </c>
    </row>
    <row r="524" spans="1:15" x14ac:dyDescent="0.3">
      <c r="A524">
        <v>20956</v>
      </c>
      <c r="B524" t="s">
        <v>22</v>
      </c>
      <c r="C524" t="s">
        <v>27</v>
      </c>
      <c r="D524">
        <v>29</v>
      </c>
      <c r="E524">
        <v>40</v>
      </c>
      <c r="F524">
        <v>268.48</v>
      </c>
      <c r="G524" t="s">
        <v>32</v>
      </c>
      <c r="H524" s="1">
        <v>45623</v>
      </c>
      <c r="I524" s="1">
        <v>45653</v>
      </c>
      <c r="J524" t="s">
        <v>38</v>
      </c>
      <c r="K524" t="b">
        <f>Table1[[#This Row],[CurrentStock]]&lt;Table1[[#This Row],[ReorderLevel]]</f>
        <v>1</v>
      </c>
      <c r="L524" s="9">
        <f>Table1[[#This Row],[CurrentStock]]*Table1[[#This Row],[UnitPrice]]</f>
        <v>7785.92</v>
      </c>
      <c r="M524">
        <f>IF(Table1[[#This Row],[ReorderLevel]]-Table1[[#This Row],[CurrentStock]]&gt;0,Table1[[#This Row],[ReorderLevel]]-Table1[[#This Row],[CurrentStock]],"")</f>
        <v>11</v>
      </c>
      <c r="N524" t="str">
        <f>IF(Table1[[#This Row],[CurrentStock]]&gt;Table1[[#This Row],[ReorderLevel]]*3,"Over Stock","Okay")</f>
        <v>Okay</v>
      </c>
      <c r="O524" t="str">
        <f>IF(Table1[[#This Row],[CurrentStock]]&lt;Table1[[#This Row],[ReorderLevel]],"Reorder","Okay")</f>
        <v>Reorder</v>
      </c>
    </row>
    <row r="525" spans="1:15" x14ac:dyDescent="0.3">
      <c r="A525">
        <v>41417</v>
      </c>
      <c r="B525" t="s">
        <v>26</v>
      </c>
      <c r="C525" t="s">
        <v>30</v>
      </c>
      <c r="D525">
        <v>437</v>
      </c>
      <c r="E525">
        <v>50</v>
      </c>
      <c r="F525">
        <v>491.87</v>
      </c>
      <c r="G525" t="s">
        <v>36</v>
      </c>
      <c r="H525" s="1">
        <v>45394</v>
      </c>
      <c r="I525" s="1">
        <v>45429</v>
      </c>
      <c r="J525" t="s">
        <v>38</v>
      </c>
      <c r="K525" t="b">
        <f>Table1[[#This Row],[CurrentStock]]&lt;Table1[[#This Row],[ReorderLevel]]</f>
        <v>0</v>
      </c>
      <c r="L525" s="9">
        <f>Table1[[#This Row],[CurrentStock]]*Table1[[#This Row],[UnitPrice]]</f>
        <v>214947.19</v>
      </c>
      <c r="M525" t="str">
        <f>IF(Table1[[#This Row],[ReorderLevel]]-Table1[[#This Row],[CurrentStock]]&gt;0,Table1[[#This Row],[ReorderLevel]]-Table1[[#This Row],[CurrentStock]],"")</f>
        <v/>
      </c>
      <c r="N525" t="str">
        <f>IF(Table1[[#This Row],[CurrentStock]]&gt;Table1[[#This Row],[ReorderLevel]]*3,"Over Stock","Okay")</f>
        <v>Over Stock</v>
      </c>
      <c r="O525" t="str">
        <f>IF(Table1[[#This Row],[CurrentStock]]&lt;Table1[[#This Row],[ReorderLevel]],"Reorder","Okay")</f>
        <v>Okay</v>
      </c>
    </row>
    <row r="526" spans="1:15" x14ac:dyDescent="0.3">
      <c r="A526">
        <v>95824</v>
      </c>
      <c r="B526" t="s">
        <v>25</v>
      </c>
      <c r="C526" t="s">
        <v>31</v>
      </c>
      <c r="D526">
        <v>30</v>
      </c>
      <c r="E526">
        <v>50</v>
      </c>
      <c r="F526">
        <v>18.489999999999998</v>
      </c>
      <c r="G526" t="s">
        <v>35</v>
      </c>
      <c r="H526" s="1">
        <v>45569</v>
      </c>
      <c r="I526" s="1">
        <v>45574</v>
      </c>
      <c r="J526" t="s">
        <v>38</v>
      </c>
      <c r="K526" t="b">
        <f>Table1[[#This Row],[CurrentStock]]&lt;Table1[[#This Row],[ReorderLevel]]</f>
        <v>1</v>
      </c>
      <c r="L526" s="9">
        <f>Table1[[#This Row],[CurrentStock]]*Table1[[#This Row],[UnitPrice]]</f>
        <v>554.69999999999993</v>
      </c>
      <c r="M526">
        <f>IF(Table1[[#This Row],[ReorderLevel]]-Table1[[#This Row],[CurrentStock]]&gt;0,Table1[[#This Row],[ReorderLevel]]-Table1[[#This Row],[CurrentStock]],"")</f>
        <v>20</v>
      </c>
      <c r="N526" t="str">
        <f>IF(Table1[[#This Row],[CurrentStock]]&gt;Table1[[#This Row],[ReorderLevel]]*3,"Over Stock","Okay")</f>
        <v>Okay</v>
      </c>
      <c r="O526" t="str">
        <f>IF(Table1[[#This Row],[CurrentStock]]&lt;Table1[[#This Row],[ReorderLevel]],"Reorder","Okay")</f>
        <v>Reorder</v>
      </c>
    </row>
    <row r="527" spans="1:15" x14ac:dyDescent="0.3">
      <c r="A527">
        <v>93948</v>
      </c>
      <c r="B527" t="s">
        <v>21</v>
      </c>
      <c r="C527" t="s">
        <v>31</v>
      </c>
      <c r="D527">
        <v>425</v>
      </c>
      <c r="E527">
        <v>80</v>
      </c>
      <c r="F527">
        <v>373.86</v>
      </c>
      <c r="G527" t="s">
        <v>35</v>
      </c>
      <c r="H527" s="1">
        <v>45313</v>
      </c>
      <c r="I527" s="1">
        <v>45352</v>
      </c>
      <c r="J527" t="s">
        <v>37</v>
      </c>
      <c r="K527" t="b">
        <f>Table1[[#This Row],[CurrentStock]]&lt;Table1[[#This Row],[ReorderLevel]]</f>
        <v>0</v>
      </c>
      <c r="L527" s="9">
        <f>Table1[[#This Row],[CurrentStock]]*Table1[[#This Row],[UnitPrice]]</f>
        <v>158890.5</v>
      </c>
      <c r="M527" t="str">
        <f>IF(Table1[[#This Row],[ReorderLevel]]-Table1[[#This Row],[CurrentStock]]&gt;0,Table1[[#This Row],[ReorderLevel]]-Table1[[#This Row],[CurrentStock]],"")</f>
        <v/>
      </c>
      <c r="N527" t="str">
        <f>IF(Table1[[#This Row],[CurrentStock]]&gt;Table1[[#This Row],[ReorderLevel]]*3,"Over Stock","Okay")</f>
        <v>Over Stock</v>
      </c>
      <c r="O527" t="str">
        <f>IF(Table1[[#This Row],[CurrentStock]]&lt;Table1[[#This Row],[ReorderLevel]],"Reorder","Okay")</f>
        <v>Okay</v>
      </c>
    </row>
    <row r="528" spans="1:15" x14ac:dyDescent="0.3">
      <c r="A528">
        <v>71602</v>
      </c>
      <c r="B528" t="s">
        <v>24</v>
      </c>
      <c r="C528" t="s">
        <v>31</v>
      </c>
      <c r="D528">
        <v>144</v>
      </c>
      <c r="E528">
        <v>100</v>
      </c>
      <c r="F528">
        <v>236.01</v>
      </c>
      <c r="G528" t="s">
        <v>36</v>
      </c>
      <c r="H528" s="1">
        <v>45369</v>
      </c>
      <c r="I528" s="1">
        <v>45379</v>
      </c>
      <c r="J528" t="s">
        <v>38</v>
      </c>
      <c r="K528" t="b">
        <f>Table1[[#This Row],[CurrentStock]]&lt;Table1[[#This Row],[ReorderLevel]]</f>
        <v>0</v>
      </c>
      <c r="L528" s="9">
        <f>Table1[[#This Row],[CurrentStock]]*Table1[[#This Row],[UnitPrice]]</f>
        <v>33985.440000000002</v>
      </c>
      <c r="M528" t="str">
        <f>IF(Table1[[#This Row],[ReorderLevel]]-Table1[[#This Row],[CurrentStock]]&gt;0,Table1[[#This Row],[ReorderLevel]]-Table1[[#This Row],[CurrentStock]],"")</f>
        <v/>
      </c>
      <c r="N528" t="str">
        <f>IF(Table1[[#This Row],[CurrentStock]]&gt;Table1[[#This Row],[ReorderLevel]]*3,"Over Stock","Okay")</f>
        <v>Okay</v>
      </c>
      <c r="O528" t="str">
        <f>IF(Table1[[#This Row],[CurrentStock]]&lt;Table1[[#This Row],[ReorderLevel]],"Reorder","Okay")</f>
        <v>Okay</v>
      </c>
    </row>
    <row r="529" spans="1:15" x14ac:dyDescent="0.3">
      <c r="A529">
        <v>23269</v>
      </c>
      <c r="B529" t="s">
        <v>16</v>
      </c>
      <c r="C529" t="s">
        <v>30</v>
      </c>
      <c r="D529">
        <v>268</v>
      </c>
      <c r="E529">
        <v>20</v>
      </c>
      <c r="F529">
        <v>141.5</v>
      </c>
      <c r="G529" t="s">
        <v>33</v>
      </c>
      <c r="H529" s="1">
        <v>45454</v>
      </c>
      <c r="I529" s="1">
        <v>45464</v>
      </c>
      <c r="J529" t="s">
        <v>37</v>
      </c>
      <c r="K529" t="b">
        <f>Table1[[#This Row],[CurrentStock]]&lt;Table1[[#This Row],[ReorderLevel]]</f>
        <v>0</v>
      </c>
      <c r="L529" s="9">
        <f>Table1[[#This Row],[CurrentStock]]*Table1[[#This Row],[UnitPrice]]</f>
        <v>37922</v>
      </c>
      <c r="M529" t="str">
        <f>IF(Table1[[#This Row],[ReorderLevel]]-Table1[[#This Row],[CurrentStock]]&gt;0,Table1[[#This Row],[ReorderLevel]]-Table1[[#This Row],[CurrentStock]],"")</f>
        <v/>
      </c>
      <c r="N529" t="str">
        <f>IF(Table1[[#This Row],[CurrentStock]]&gt;Table1[[#This Row],[ReorderLevel]]*3,"Over Stock","Okay")</f>
        <v>Over Stock</v>
      </c>
      <c r="O529" t="str">
        <f>IF(Table1[[#This Row],[CurrentStock]]&lt;Table1[[#This Row],[ReorderLevel]],"Reorder","Okay")</f>
        <v>Okay</v>
      </c>
    </row>
    <row r="530" spans="1:15" x14ac:dyDescent="0.3">
      <c r="A530">
        <v>78154</v>
      </c>
      <c r="B530" t="s">
        <v>12</v>
      </c>
      <c r="C530" t="s">
        <v>28</v>
      </c>
      <c r="D530">
        <v>25</v>
      </c>
      <c r="E530">
        <v>150</v>
      </c>
      <c r="F530">
        <v>240.42</v>
      </c>
      <c r="G530" t="s">
        <v>33</v>
      </c>
      <c r="H530" s="1">
        <v>45311</v>
      </c>
      <c r="I530" s="1">
        <v>45321</v>
      </c>
      <c r="J530" t="s">
        <v>39</v>
      </c>
      <c r="K530" t="b">
        <f>Table1[[#This Row],[CurrentStock]]&lt;Table1[[#This Row],[ReorderLevel]]</f>
        <v>1</v>
      </c>
      <c r="L530" s="9">
        <f>Table1[[#This Row],[CurrentStock]]*Table1[[#This Row],[UnitPrice]]</f>
        <v>6010.5</v>
      </c>
      <c r="M530">
        <f>IF(Table1[[#This Row],[ReorderLevel]]-Table1[[#This Row],[CurrentStock]]&gt;0,Table1[[#This Row],[ReorderLevel]]-Table1[[#This Row],[CurrentStock]],"")</f>
        <v>125</v>
      </c>
      <c r="N530" t="str">
        <f>IF(Table1[[#This Row],[CurrentStock]]&gt;Table1[[#This Row],[ReorderLevel]]*3,"Over Stock","Okay")</f>
        <v>Okay</v>
      </c>
      <c r="O530" t="str">
        <f>IF(Table1[[#This Row],[CurrentStock]]&lt;Table1[[#This Row],[ReorderLevel]],"Reorder","Okay")</f>
        <v>Reorder</v>
      </c>
    </row>
    <row r="531" spans="1:15" x14ac:dyDescent="0.3">
      <c r="A531">
        <v>22306</v>
      </c>
      <c r="B531" t="s">
        <v>10</v>
      </c>
      <c r="C531" t="s">
        <v>27</v>
      </c>
      <c r="D531">
        <v>248</v>
      </c>
      <c r="E531">
        <v>100</v>
      </c>
      <c r="F531">
        <v>423.21</v>
      </c>
      <c r="G531" t="s">
        <v>32</v>
      </c>
      <c r="H531" s="1">
        <v>45335</v>
      </c>
      <c r="I531" s="1">
        <v>45354</v>
      </c>
      <c r="J531" t="s">
        <v>38</v>
      </c>
      <c r="K531" t="b">
        <f>Table1[[#This Row],[CurrentStock]]&lt;Table1[[#This Row],[ReorderLevel]]</f>
        <v>0</v>
      </c>
      <c r="L531" s="9">
        <f>Table1[[#This Row],[CurrentStock]]*Table1[[#This Row],[UnitPrice]]</f>
        <v>104956.08</v>
      </c>
      <c r="M531" t="str">
        <f>IF(Table1[[#This Row],[ReorderLevel]]-Table1[[#This Row],[CurrentStock]]&gt;0,Table1[[#This Row],[ReorderLevel]]-Table1[[#This Row],[CurrentStock]],"")</f>
        <v/>
      </c>
      <c r="N531" t="str">
        <f>IF(Table1[[#This Row],[CurrentStock]]&gt;Table1[[#This Row],[ReorderLevel]]*3,"Over Stock","Okay")</f>
        <v>Okay</v>
      </c>
      <c r="O531" t="str">
        <f>IF(Table1[[#This Row],[CurrentStock]]&lt;Table1[[#This Row],[ReorderLevel]],"Reorder","Okay")</f>
        <v>Okay</v>
      </c>
    </row>
    <row r="532" spans="1:15" x14ac:dyDescent="0.3">
      <c r="A532">
        <v>50863</v>
      </c>
      <c r="B532" t="s">
        <v>22</v>
      </c>
      <c r="C532" t="s">
        <v>27</v>
      </c>
      <c r="D532">
        <v>336</v>
      </c>
      <c r="E532">
        <v>40</v>
      </c>
      <c r="F532">
        <v>180.56</v>
      </c>
      <c r="G532" t="s">
        <v>33</v>
      </c>
      <c r="H532" s="1">
        <v>45391</v>
      </c>
      <c r="I532" s="1">
        <v>45430</v>
      </c>
      <c r="J532" t="s">
        <v>37</v>
      </c>
      <c r="K532" t="b">
        <f>Table1[[#This Row],[CurrentStock]]&lt;Table1[[#This Row],[ReorderLevel]]</f>
        <v>0</v>
      </c>
      <c r="L532" s="9">
        <f>Table1[[#This Row],[CurrentStock]]*Table1[[#This Row],[UnitPrice]]</f>
        <v>60668.160000000003</v>
      </c>
      <c r="M532" t="str">
        <f>IF(Table1[[#This Row],[ReorderLevel]]-Table1[[#This Row],[CurrentStock]]&gt;0,Table1[[#This Row],[ReorderLevel]]-Table1[[#This Row],[CurrentStock]],"")</f>
        <v/>
      </c>
      <c r="N532" t="str">
        <f>IF(Table1[[#This Row],[CurrentStock]]&gt;Table1[[#This Row],[ReorderLevel]]*3,"Over Stock","Okay")</f>
        <v>Over Stock</v>
      </c>
      <c r="O532" t="str">
        <f>IF(Table1[[#This Row],[CurrentStock]]&lt;Table1[[#This Row],[ReorderLevel]],"Reorder","Okay")</f>
        <v>Okay</v>
      </c>
    </row>
    <row r="533" spans="1:15" x14ac:dyDescent="0.3">
      <c r="A533">
        <v>71381</v>
      </c>
      <c r="B533" t="s">
        <v>26</v>
      </c>
      <c r="C533" t="s">
        <v>30</v>
      </c>
      <c r="D533">
        <v>326</v>
      </c>
      <c r="E533">
        <v>40</v>
      </c>
      <c r="F533">
        <v>481.32</v>
      </c>
      <c r="G533" t="s">
        <v>33</v>
      </c>
      <c r="H533" s="1">
        <v>45646</v>
      </c>
      <c r="I533" s="1">
        <v>45682</v>
      </c>
      <c r="J533" t="s">
        <v>39</v>
      </c>
      <c r="K533" t="b">
        <f>Table1[[#This Row],[CurrentStock]]&lt;Table1[[#This Row],[ReorderLevel]]</f>
        <v>0</v>
      </c>
      <c r="L533" s="9">
        <f>Table1[[#This Row],[CurrentStock]]*Table1[[#This Row],[UnitPrice]]</f>
        <v>156910.32</v>
      </c>
      <c r="M533" t="str">
        <f>IF(Table1[[#This Row],[ReorderLevel]]-Table1[[#This Row],[CurrentStock]]&gt;0,Table1[[#This Row],[ReorderLevel]]-Table1[[#This Row],[CurrentStock]],"")</f>
        <v/>
      </c>
      <c r="N533" t="str">
        <f>IF(Table1[[#This Row],[CurrentStock]]&gt;Table1[[#This Row],[ReorderLevel]]*3,"Over Stock","Okay")</f>
        <v>Over Stock</v>
      </c>
      <c r="O533" t="str">
        <f>IF(Table1[[#This Row],[CurrentStock]]&lt;Table1[[#This Row],[ReorderLevel]],"Reorder","Okay")</f>
        <v>Okay</v>
      </c>
    </row>
    <row r="534" spans="1:15" x14ac:dyDescent="0.3">
      <c r="A534">
        <v>14827</v>
      </c>
      <c r="B534" t="s">
        <v>17</v>
      </c>
      <c r="C534" t="s">
        <v>30</v>
      </c>
      <c r="D534">
        <v>462</v>
      </c>
      <c r="E534">
        <v>150</v>
      </c>
      <c r="F534">
        <v>147.56</v>
      </c>
      <c r="G534" t="s">
        <v>34</v>
      </c>
      <c r="H534" s="1">
        <v>45587</v>
      </c>
      <c r="I534" s="1">
        <v>45607</v>
      </c>
      <c r="J534" t="s">
        <v>37</v>
      </c>
      <c r="K534" t="b">
        <f>Table1[[#This Row],[CurrentStock]]&lt;Table1[[#This Row],[ReorderLevel]]</f>
        <v>0</v>
      </c>
      <c r="L534" s="9">
        <f>Table1[[#This Row],[CurrentStock]]*Table1[[#This Row],[UnitPrice]]</f>
        <v>68172.72</v>
      </c>
      <c r="M534" t="str">
        <f>IF(Table1[[#This Row],[ReorderLevel]]-Table1[[#This Row],[CurrentStock]]&gt;0,Table1[[#This Row],[ReorderLevel]]-Table1[[#This Row],[CurrentStock]],"")</f>
        <v/>
      </c>
      <c r="N534" t="str">
        <f>IF(Table1[[#This Row],[CurrentStock]]&gt;Table1[[#This Row],[ReorderLevel]]*3,"Over Stock","Okay")</f>
        <v>Over Stock</v>
      </c>
      <c r="O534" t="str">
        <f>IF(Table1[[#This Row],[CurrentStock]]&lt;Table1[[#This Row],[ReorderLevel]],"Reorder","Okay")</f>
        <v>Okay</v>
      </c>
    </row>
    <row r="535" spans="1:15" x14ac:dyDescent="0.3">
      <c r="A535">
        <v>79390</v>
      </c>
      <c r="B535" t="s">
        <v>24</v>
      </c>
      <c r="C535" t="s">
        <v>31</v>
      </c>
      <c r="D535">
        <v>193</v>
      </c>
      <c r="E535">
        <v>150</v>
      </c>
      <c r="F535">
        <v>52.39</v>
      </c>
      <c r="G535" t="s">
        <v>32</v>
      </c>
      <c r="H535" s="1">
        <v>45427</v>
      </c>
      <c r="I535" s="1">
        <v>45455</v>
      </c>
      <c r="J535" t="s">
        <v>38</v>
      </c>
      <c r="K535" t="b">
        <f>Table1[[#This Row],[CurrentStock]]&lt;Table1[[#This Row],[ReorderLevel]]</f>
        <v>0</v>
      </c>
      <c r="L535" s="9">
        <f>Table1[[#This Row],[CurrentStock]]*Table1[[#This Row],[UnitPrice]]</f>
        <v>10111.27</v>
      </c>
      <c r="M535" t="str">
        <f>IF(Table1[[#This Row],[ReorderLevel]]-Table1[[#This Row],[CurrentStock]]&gt;0,Table1[[#This Row],[ReorderLevel]]-Table1[[#This Row],[CurrentStock]],"")</f>
        <v/>
      </c>
      <c r="N535" t="str">
        <f>IF(Table1[[#This Row],[CurrentStock]]&gt;Table1[[#This Row],[ReorderLevel]]*3,"Over Stock","Okay")</f>
        <v>Okay</v>
      </c>
      <c r="O535" t="str">
        <f>IF(Table1[[#This Row],[CurrentStock]]&lt;Table1[[#This Row],[ReorderLevel]],"Reorder","Okay")</f>
        <v>Okay</v>
      </c>
    </row>
    <row r="536" spans="1:15" x14ac:dyDescent="0.3">
      <c r="A536">
        <v>63218</v>
      </c>
      <c r="B536" t="s">
        <v>19</v>
      </c>
      <c r="C536" t="s">
        <v>28</v>
      </c>
      <c r="D536">
        <v>44</v>
      </c>
      <c r="E536">
        <v>30</v>
      </c>
      <c r="F536">
        <v>443.66</v>
      </c>
      <c r="G536" t="s">
        <v>33</v>
      </c>
      <c r="H536" s="1">
        <v>45655</v>
      </c>
      <c r="I536" s="1">
        <v>45675</v>
      </c>
      <c r="J536" t="s">
        <v>39</v>
      </c>
      <c r="K536" t="b">
        <f>Table1[[#This Row],[CurrentStock]]&lt;Table1[[#This Row],[ReorderLevel]]</f>
        <v>0</v>
      </c>
      <c r="L536" s="9">
        <f>Table1[[#This Row],[CurrentStock]]*Table1[[#This Row],[UnitPrice]]</f>
        <v>19521.04</v>
      </c>
      <c r="M536" t="str">
        <f>IF(Table1[[#This Row],[ReorderLevel]]-Table1[[#This Row],[CurrentStock]]&gt;0,Table1[[#This Row],[ReorderLevel]]-Table1[[#This Row],[CurrentStock]],"")</f>
        <v/>
      </c>
      <c r="N536" t="str">
        <f>IF(Table1[[#This Row],[CurrentStock]]&gt;Table1[[#This Row],[ReorderLevel]]*3,"Over Stock","Okay")</f>
        <v>Okay</v>
      </c>
      <c r="O536" t="str">
        <f>IF(Table1[[#This Row],[CurrentStock]]&lt;Table1[[#This Row],[ReorderLevel]],"Reorder","Okay")</f>
        <v>Okay</v>
      </c>
    </row>
    <row r="537" spans="1:15" x14ac:dyDescent="0.3">
      <c r="A537">
        <v>47034</v>
      </c>
      <c r="B537" t="s">
        <v>21</v>
      </c>
      <c r="C537" t="s">
        <v>31</v>
      </c>
      <c r="D537">
        <v>196</v>
      </c>
      <c r="E537">
        <v>80</v>
      </c>
      <c r="F537">
        <v>217.09</v>
      </c>
      <c r="G537" t="s">
        <v>36</v>
      </c>
      <c r="H537" s="1">
        <v>45351</v>
      </c>
      <c r="I537" s="1">
        <v>45389</v>
      </c>
      <c r="J537" t="s">
        <v>38</v>
      </c>
      <c r="K537" t="b">
        <f>Table1[[#This Row],[CurrentStock]]&lt;Table1[[#This Row],[ReorderLevel]]</f>
        <v>0</v>
      </c>
      <c r="L537" s="9">
        <f>Table1[[#This Row],[CurrentStock]]*Table1[[#This Row],[UnitPrice]]</f>
        <v>42549.64</v>
      </c>
      <c r="M537" t="str">
        <f>IF(Table1[[#This Row],[ReorderLevel]]-Table1[[#This Row],[CurrentStock]]&gt;0,Table1[[#This Row],[ReorderLevel]]-Table1[[#This Row],[CurrentStock]],"")</f>
        <v/>
      </c>
      <c r="N537" t="str">
        <f>IF(Table1[[#This Row],[CurrentStock]]&gt;Table1[[#This Row],[ReorderLevel]]*3,"Over Stock","Okay")</f>
        <v>Okay</v>
      </c>
      <c r="O537" t="str">
        <f>IF(Table1[[#This Row],[CurrentStock]]&lt;Table1[[#This Row],[ReorderLevel]],"Reorder","Okay")</f>
        <v>Okay</v>
      </c>
    </row>
    <row r="538" spans="1:15" x14ac:dyDescent="0.3">
      <c r="A538">
        <v>13164</v>
      </c>
      <c r="B538" t="s">
        <v>23</v>
      </c>
      <c r="C538" t="s">
        <v>30</v>
      </c>
      <c r="D538">
        <v>389</v>
      </c>
      <c r="E538">
        <v>30</v>
      </c>
      <c r="F538">
        <v>122.39</v>
      </c>
      <c r="G538" t="s">
        <v>33</v>
      </c>
      <c r="H538" s="1">
        <v>45399</v>
      </c>
      <c r="I538" s="1">
        <v>45407</v>
      </c>
      <c r="J538" t="s">
        <v>39</v>
      </c>
      <c r="K538" t="b">
        <f>Table1[[#This Row],[CurrentStock]]&lt;Table1[[#This Row],[ReorderLevel]]</f>
        <v>0</v>
      </c>
      <c r="L538" s="9">
        <f>Table1[[#This Row],[CurrentStock]]*Table1[[#This Row],[UnitPrice]]</f>
        <v>47609.71</v>
      </c>
      <c r="M538" t="str">
        <f>IF(Table1[[#This Row],[ReorderLevel]]-Table1[[#This Row],[CurrentStock]]&gt;0,Table1[[#This Row],[ReorderLevel]]-Table1[[#This Row],[CurrentStock]],"")</f>
        <v/>
      </c>
      <c r="N538" t="str">
        <f>IF(Table1[[#This Row],[CurrentStock]]&gt;Table1[[#This Row],[ReorderLevel]]*3,"Over Stock","Okay")</f>
        <v>Over Stock</v>
      </c>
      <c r="O538" t="str">
        <f>IF(Table1[[#This Row],[CurrentStock]]&lt;Table1[[#This Row],[ReorderLevel]],"Reorder","Okay")</f>
        <v>Okay</v>
      </c>
    </row>
    <row r="539" spans="1:15" x14ac:dyDescent="0.3">
      <c r="A539">
        <v>13722</v>
      </c>
      <c r="B539" t="s">
        <v>24</v>
      </c>
      <c r="C539" t="s">
        <v>31</v>
      </c>
      <c r="D539">
        <v>228</v>
      </c>
      <c r="E539">
        <v>30</v>
      </c>
      <c r="F539">
        <v>288.66000000000003</v>
      </c>
      <c r="G539" t="s">
        <v>32</v>
      </c>
      <c r="H539" s="1">
        <v>45403</v>
      </c>
      <c r="I539" s="1">
        <v>45410</v>
      </c>
      <c r="J539" t="s">
        <v>37</v>
      </c>
      <c r="K539" t="b">
        <f>Table1[[#This Row],[CurrentStock]]&lt;Table1[[#This Row],[ReorderLevel]]</f>
        <v>0</v>
      </c>
      <c r="L539" s="9">
        <f>Table1[[#This Row],[CurrentStock]]*Table1[[#This Row],[UnitPrice]]</f>
        <v>65814.48000000001</v>
      </c>
      <c r="M539" t="str">
        <f>IF(Table1[[#This Row],[ReorderLevel]]-Table1[[#This Row],[CurrentStock]]&gt;0,Table1[[#This Row],[ReorderLevel]]-Table1[[#This Row],[CurrentStock]],"")</f>
        <v/>
      </c>
      <c r="N539" t="str">
        <f>IF(Table1[[#This Row],[CurrentStock]]&gt;Table1[[#This Row],[ReorderLevel]]*3,"Over Stock","Okay")</f>
        <v>Over Stock</v>
      </c>
      <c r="O539" t="str">
        <f>IF(Table1[[#This Row],[CurrentStock]]&lt;Table1[[#This Row],[ReorderLevel]],"Reorder","Okay")</f>
        <v>Okay</v>
      </c>
    </row>
    <row r="540" spans="1:15" x14ac:dyDescent="0.3">
      <c r="A540">
        <v>50469</v>
      </c>
      <c r="B540" t="s">
        <v>22</v>
      </c>
      <c r="C540" t="s">
        <v>27</v>
      </c>
      <c r="D540">
        <v>451</v>
      </c>
      <c r="E540">
        <v>20</v>
      </c>
      <c r="F540">
        <v>365.54</v>
      </c>
      <c r="G540" t="s">
        <v>35</v>
      </c>
      <c r="H540" s="1">
        <v>45505</v>
      </c>
      <c r="I540" s="1">
        <v>45515</v>
      </c>
      <c r="J540" t="s">
        <v>39</v>
      </c>
      <c r="K540" t="b">
        <f>Table1[[#This Row],[CurrentStock]]&lt;Table1[[#This Row],[ReorderLevel]]</f>
        <v>0</v>
      </c>
      <c r="L540" s="9">
        <f>Table1[[#This Row],[CurrentStock]]*Table1[[#This Row],[UnitPrice]]</f>
        <v>164858.54</v>
      </c>
      <c r="M540" t="str">
        <f>IF(Table1[[#This Row],[ReorderLevel]]-Table1[[#This Row],[CurrentStock]]&gt;0,Table1[[#This Row],[ReorderLevel]]-Table1[[#This Row],[CurrentStock]],"")</f>
        <v/>
      </c>
      <c r="N540" t="str">
        <f>IF(Table1[[#This Row],[CurrentStock]]&gt;Table1[[#This Row],[ReorderLevel]]*3,"Over Stock","Okay")</f>
        <v>Over Stock</v>
      </c>
      <c r="O540" t="str">
        <f>IF(Table1[[#This Row],[CurrentStock]]&lt;Table1[[#This Row],[ReorderLevel]],"Reorder","Okay")</f>
        <v>Okay</v>
      </c>
    </row>
    <row r="541" spans="1:15" x14ac:dyDescent="0.3">
      <c r="A541">
        <v>72993</v>
      </c>
      <c r="B541" t="s">
        <v>20</v>
      </c>
      <c r="C541" t="s">
        <v>29</v>
      </c>
      <c r="D541">
        <v>250</v>
      </c>
      <c r="E541">
        <v>30</v>
      </c>
      <c r="F541">
        <v>17.760000000000002</v>
      </c>
      <c r="G541" t="s">
        <v>35</v>
      </c>
      <c r="H541" s="1">
        <v>45607</v>
      </c>
      <c r="I541" s="1">
        <v>45623</v>
      </c>
      <c r="J541" t="s">
        <v>38</v>
      </c>
      <c r="K541" t="b">
        <f>Table1[[#This Row],[CurrentStock]]&lt;Table1[[#This Row],[ReorderLevel]]</f>
        <v>0</v>
      </c>
      <c r="L541" s="9">
        <f>Table1[[#This Row],[CurrentStock]]*Table1[[#This Row],[UnitPrice]]</f>
        <v>4440</v>
      </c>
      <c r="M541" t="str">
        <f>IF(Table1[[#This Row],[ReorderLevel]]-Table1[[#This Row],[CurrentStock]]&gt;0,Table1[[#This Row],[ReorderLevel]]-Table1[[#This Row],[CurrentStock]],"")</f>
        <v/>
      </c>
      <c r="N541" t="str">
        <f>IF(Table1[[#This Row],[CurrentStock]]&gt;Table1[[#This Row],[ReorderLevel]]*3,"Over Stock","Okay")</f>
        <v>Over Stock</v>
      </c>
      <c r="O541" t="str">
        <f>IF(Table1[[#This Row],[CurrentStock]]&lt;Table1[[#This Row],[ReorderLevel]],"Reorder","Okay")</f>
        <v>Okay</v>
      </c>
    </row>
    <row r="542" spans="1:15" x14ac:dyDescent="0.3">
      <c r="A542">
        <v>45699</v>
      </c>
      <c r="B542" t="s">
        <v>18</v>
      </c>
      <c r="C542" t="s">
        <v>28</v>
      </c>
      <c r="D542">
        <v>278</v>
      </c>
      <c r="E542">
        <v>30</v>
      </c>
      <c r="F542">
        <v>313.26</v>
      </c>
      <c r="G542" t="s">
        <v>35</v>
      </c>
      <c r="H542" s="1">
        <v>45466</v>
      </c>
      <c r="I542" s="1">
        <v>45475</v>
      </c>
      <c r="J542" t="s">
        <v>39</v>
      </c>
      <c r="K542" t="b">
        <f>Table1[[#This Row],[CurrentStock]]&lt;Table1[[#This Row],[ReorderLevel]]</f>
        <v>0</v>
      </c>
      <c r="L542" s="9">
        <f>Table1[[#This Row],[CurrentStock]]*Table1[[#This Row],[UnitPrice]]</f>
        <v>87086.28</v>
      </c>
      <c r="M542" t="str">
        <f>IF(Table1[[#This Row],[ReorderLevel]]-Table1[[#This Row],[CurrentStock]]&gt;0,Table1[[#This Row],[ReorderLevel]]-Table1[[#This Row],[CurrentStock]],"")</f>
        <v/>
      </c>
      <c r="N542" t="str">
        <f>IF(Table1[[#This Row],[CurrentStock]]&gt;Table1[[#This Row],[ReorderLevel]]*3,"Over Stock","Okay")</f>
        <v>Over Stock</v>
      </c>
      <c r="O542" t="str">
        <f>IF(Table1[[#This Row],[CurrentStock]]&lt;Table1[[#This Row],[ReorderLevel]],"Reorder","Okay")</f>
        <v>Okay</v>
      </c>
    </row>
    <row r="543" spans="1:15" x14ac:dyDescent="0.3">
      <c r="A543">
        <v>16782</v>
      </c>
      <c r="B543" t="s">
        <v>17</v>
      </c>
      <c r="C543" t="s">
        <v>30</v>
      </c>
      <c r="D543">
        <v>367</v>
      </c>
      <c r="E543">
        <v>150</v>
      </c>
      <c r="F543">
        <v>379.86</v>
      </c>
      <c r="G543" t="s">
        <v>35</v>
      </c>
      <c r="H543" s="1">
        <v>45497</v>
      </c>
      <c r="I543" s="1">
        <v>45531</v>
      </c>
      <c r="J543" t="s">
        <v>37</v>
      </c>
      <c r="K543" t="b">
        <f>Table1[[#This Row],[CurrentStock]]&lt;Table1[[#This Row],[ReorderLevel]]</f>
        <v>0</v>
      </c>
      <c r="L543" s="9">
        <f>Table1[[#This Row],[CurrentStock]]*Table1[[#This Row],[UnitPrice]]</f>
        <v>139408.62</v>
      </c>
      <c r="M543" t="str">
        <f>IF(Table1[[#This Row],[ReorderLevel]]-Table1[[#This Row],[CurrentStock]]&gt;0,Table1[[#This Row],[ReorderLevel]]-Table1[[#This Row],[CurrentStock]],"")</f>
        <v/>
      </c>
      <c r="N543" t="str">
        <f>IF(Table1[[#This Row],[CurrentStock]]&gt;Table1[[#This Row],[ReorderLevel]]*3,"Over Stock","Okay")</f>
        <v>Okay</v>
      </c>
      <c r="O543" t="str">
        <f>IF(Table1[[#This Row],[CurrentStock]]&lt;Table1[[#This Row],[ReorderLevel]],"Reorder","Okay")</f>
        <v>Okay</v>
      </c>
    </row>
    <row r="544" spans="1:15" x14ac:dyDescent="0.3">
      <c r="A544">
        <v>50149</v>
      </c>
      <c r="B544" t="s">
        <v>15</v>
      </c>
      <c r="C544" t="s">
        <v>29</v>
      </c>
      <c r="D544">
        <v>265</v>
      </c>
      <c r="E544">
        <v>40</v>
      </c>
      <c r="F544">
        <v>121.32</v>
      </c>
      <c r="G544" t="s">
        <v>36</v>
      </c>
      <c r="H544" s="1">
        <v>45376</v>
      </c>
      <c r="I544" s="1">
        <v>45401</v>
      </c>
      <c r="J544" t="s">
        <v>38</v>
      </c>
      <c r="K544" t="b">
        <f>Table1[[#This Row],[CurrentStock]]&lt;Table1[[#This Row],[ReorderLevel]]</f>
        <v>0</v>
      </c>
      <c r="L544" s="9">
        <f>Table1[[#This Row],[CurrentStock]]*Table1[[#This Row],[UnitPrice]]</f>
        <v>32149.8</v>
      </c>
      <c r="M544" t="str">
        <f>IF(Table1[[#This Row],[ReorderLevel]]-Table1[[#This Row],[CurrentStock]]&gt;0,Table1[[#This Row],[ReorderLevel]]-Table1[[#This Row],[CurrentStock]],"")</f>
        <v/>
      </c>
      <c r="N544" t="str">
        <f>IF(Table1[[#This Row],[CurrentStock]]&gt;Table1[[#This Row],[ReorderLevel]]*3,"Over Stock","Okay")</f>
        <v>Over Stock</v>
      </c>
      <c r="O544" t="str">
        <f>IF(Table1[[#This Row],[CurrentStock]]&lt;Table1[[#This Row],[ReorderLevel]],"Reorder","Okay")</f>
        <v>Okay</v>
      </c>
    </row>
    <row r="545" spans="1:15" x14ac:dyDescent="0.3">
      <c r="A545">
        <v>70410</v>
      </c>
      <c r="B545" t="s">
        <v>12</v>
      </c>
      <c r="C545" t="s">
        <v>28</v>
      </c>
      <c r="D545">
        <v>63</v>
      </c>
      <c r="E545">
        <v>30</v>
      </c>
      <c r="F545">
        <v>463.6</v>
      </c>
      <c r="G545" t="s">
        <v>32</v>
      </c>
      <c r="H545" s="1">
        <v>45589</v>
      </c>
      <c r="I545" s="1">
        <v>45611</v>
      </c>
      <c r="J545" t="s">
        <v>37</v>
      </c>
      <c r="K545" t="b">
        <f>Table1[[#This Row],[CurrentStock]]&lt;Table1[[#This Row],[ReorderLevel]]</f>
        <v>0</v>
      </c>
      <c r="L545" s="9">
        <f>Table1[[#This Row],[CurrentStock]]*Table1[[#This Row],[UnitPrice]]</f>
        <v>29206.800000000003</v>
      </c>
      <c r="M545" t="str">
        <f>IF(Table1[[#This Row],[ReorderLevel]]-Table1[[#This Row],[CurrentStock]]&gt;0,Table1[[#This Row],[ReorderLevel]]-Table1[[#This Row],[CurrentStock]],"")</f>
        <v/>
      </c>
      <c r="N545" t="str">
        <f>IF(Table1[[#This Row],[CurrentStock]]&gt;Table1[[#This Row],[ReorderLevel]]*3,"Over Stock","Okay")</f>
        <v>Okay</v>
      </c>
      <c r="O545" t="str">
        <f>IF(Table1[[#This Row],[CurrentStock]]&lt;Table1[[#This Row],[ReorderLevel]],"Reorder","Okay")</f>
        <v>Okay</v>
      </c>
    </row>
    <row r="546" spans="1:15" x14ac:dyDescent="0.3">
      <c r="A546">
        <v>89211</v>
      </c>
      <c r="B546" t="s">
        <v>15</v>
      </c>
      <c r="C546" t="s">
        <v>29</v>
      </c>
      <c r="D546">
        <v>482</v>
      </c>
      <c r="E546">
        <v>80</v>
      </c>
      <c r="F546">
        <v>366.92</v>
      </c>
      <c r="G546" t="s">
        <v>32</v>
      </c>
      <c r="H546" s="1">
        <v>45435</v>
      </c>
      <c r="I546" s="1">
        <v>45445</v>
      </c>
      <c r="J546" t="s">
        <v>38</v>
      </c>
      <c r="K546" t="b">
        <f>Table1[[#This Row],[CurrentStock]]&lt;Table1[[#This Row],[ReorderLevel]]</f>
        <v>0</v>
      </c>
      <c r="L546" s="9">
        <f>Table1[[#This Row],[CurrentStock]]*Table1[[#This Row],[UnitPrice]]</f>
        <v>176855.44</v>
      </c>
      <c r="M546" t="str">
        <f>IF(Table1[[#This Row],[ReorderLevel]]-Table1[[#This Row],[CurrentStock]]&gt;0,Table1[[#This Row],[ReorderLevel]]-Table1[[#This Row],[CurrentStock]],"")</f>
        <v/>
      </c>
      <c r="N546" t="str">
        <f>IF(Table1[[#This Row],[CurrentStock]]&gt;Table1[[#This Row],[ReorderLevel]]*3,"Over Stock","Okay")</f>
        <v>Over Stock</v>
      </c>
      <c r="O546" t="str">
        <f>IF(Table1[[#This Row],[CurrentStock]]&lt;Table1[[#This Row],[ReorderLevel]],"Reorder","Okay")</f>
        <v>Okay</v>
      </c>
    </row>
    <row r="547" spans="1:15" x14ac:dyDescent="0.3">
      <c r="A547">
        <v>14686</v>
      </c>
      <c r="B547" t="s">
        <v>24</v>
      </c>
      <c r="C547" t="s">
        <v>31</v>
      </c>
      <c r="D547">
        <v>387</v>
      </c>
      <c r="E547">
        <v>150</v>
      </c>
      <c r="F547">
        <v>8.1</v>
      </c>
      <c r="G547" t="s">
        <v>34</v>
      </c>
      <c r="H547" s="1">
        <v>45606</v>
      </c>
      <c r="I547" s="1">
        <v>45637</v>
      </c>
      <c r="J547" t="s">
        <v>37</v>
      </c>
      <c r="K547" t="b">
        <f>Table1[[#This Row],[CurrentStock]]&lt;Table1[[#This Row],[ReorderLevel]]</f>
        <v>0</v>
      </c>
      <c r="L547" s="9">
        <f>Table1[[#This Row],[CurrentStock]]*Table1[[#This Row],[UnitPrice]]</f>
        <v>3134.7</v>
      </c>
      <c r="M547" t="str">
        <f>IF(Table1[[#This Row],[ReorderLevel]]-Table1[[#This Row],[CurrentStock]]&gt;0,Table1[[#This Row],[ReorderLevel]]-Table1[[#This Row],[CurrentStock]],"")</f>
        <v/>
      </c>
      <c r="N547" t="str">
        <f>IF(Table1[[#This Row],[CurrentStock]]&gt;Table1[[#This Row],[ReorderLevel]]*3,"Over Stock","Okay")</f>
        <v>Okay</v>
      </c>
      <c r="O547" t="str">
        <f>IF(Table1[[#This Row],[CurrentStock]]&lt;Table1[[#This Row],[ReorderLevel]],"Reorder","Okay")</f>
        <v>Okay</v>
      </c>
    </row>
    <row r="548" spans="1:15" x14ac:dyDescent="0.3">
      <c r="A548">
        <v>35095</v>
      </c>
      <c r="B548" t="s">
        <v>20</v>
      </c>
      <c r="C548" t="s">
        <v>29</v>
      </c>
      <c r="D548">
        <v>62</v>
      </c>
      <c r="E548">
        <v>80</v>
      </c>
      <c r="F548">
        <v>162.19</v>
      </c>
      <c r="G548" t="s">
        <v>36</v>
      </c>
      <c r="H548" s="1">
        <v>45583</v>
      </c>
      <c r="I548" s="1">
        <v>45608</v>
      </c>
      <c r="J548" t="s">
        <v>39</v>
      </c>
      <c r="K548" t="b">
        <f>Table1[[#This Row],[CurrentStock]]&lt;Table1[[#This Row],[ReorderLevel]]</f>
        <v>1</v>
      </c>
      <c r="L548" s="9">
        <f>Table1[[#This Row],[CurrentStock]]*Table1[[#This Row],[UnitPrice]]</f>
        <v>10055.780000000001</v>
      </c>
      <c r="M548">
        <f>IF(Table1[[#This Row],[ReorderLevel]]-Table1[[#This Row],[CurrentStock]]&gt;0,Table1[[#This Row],[ReorderLevel]]-Table1[[#This Row],[CurrentStock]],"")</f>
        <v>18</v>
      </c>
      <c r="N548" t="str">
        <f>IF(Table1[[#This Row],[CurrentStock]]&gt;Table1[[#This Row],[ReorderLevel]]*3,"Over Stock","Okay")</f>
        <v>Okay</v>
      </c>
      <c r="O548" t="str">
        <f>IF(Table1[[#This Row],[CurrentStock]]&lt;Table1[[#This Row],[ReorderLevel]],"Reorder","Okay")</f>
        <v>Reorder</v>
      </c>
    </row>
    <row r="549" spans="1:15" x14ac:dyDescent="0.3">
      <c r="A549">
        <v>32927</v>
      </c>
      <c r="B549" t="s">
        <v>11</v>
      </c>
      <c r="C549" t="s">
        <v>27</v>
      </c>
      <c r="D549">
        <v>117</v>
      </c>
      <c r="E549">
        <v>80</v>
      </c>
      <c r="F549">
        <v>315.10000000000002</v>
      </c>
      <c r="G549" t="s">
        <v>33</v>
      </c>
      <c r="H549" s="1">
        <v>45392</v>
      </c>
      <c r="I549" s="1">
        <v>45426</v>
      </c>
      <c r="J549" t="s">
        <v>38</v>
      </c>
      <c r="K549" t="b">
        <f>Table1[[#This Row],[CurrentStock]]&lt;Table1[[#This Row],[ReorderLevel]]</f>
        <v>0</v>
      </c>
      <c r="L549" s="9">
        <f>Table1[[#This Row],[CurrentStock]]*Table1[[#This Row],[UnitPrice]]</f>
        <v>36866.700000000004</v>
      </c>
      <c r="M549" t="str">
        <f>IF(Table1[[#This Row],[ReorderLevel]]-Table1[[#This Row],[CurrentStock]]&gt;0,Table1[[#This Row],[ReorderLevel]]-Table1[[#This Row],[CurrentStock]],"")</f>
        <v/>
      </c>
      <c r="N549" t="str">
        <f>IF(Table1[[#This Row],[CurrentStock]]&gt;Table1[[#This Row],[ReorderLevel]]*3,"Over Stock","Okay")</f>
        <v>Okay</v>
      </c>
      <c r="O549" t="str">
        <f>IF(Table1[[#This Row],[CurrentStock]]&lt;Table1[[#This Row],[ReorderLevel]],"Reorder","Okay")</f>
        <v>Okay</v>
      </c>
    </row>
    <row r="550" spans="1:15" x14ac:dyDescent="0.3">
      <c r="A550">
        <v>55283</v>
      </c>
      <c r="B550" t="s">
        <v>17</v>
      </c>
      <c r="C550" t="s">
        <v>30</v>
      </c>
      <c r="D550">
        <v>123</v>
      </c>
      <c r="E550">
        <v>80</v>
      </c>
      <c r="F550">
        <v>223.84</v>
      </c>
      <c r="G550" t="s">
        <v>34</v>
      </c>
      <c r="H550" s="1">
        <v>45486</v>
      </c>
      <c r="I550" s="1">
        <v>45505</v>
      </c>
      <c r="J550" t="s">
        <v>38</v>
      </c>
      <c r="K550" t="b">
        <f>Table1[[#This Row],[CurrentStock]]&lt;Table1[[#This Row],[ReorderLevel]]</f>
        <v>0</v>
      </c>
      <c r="L550" s="9">
        <f>Table1[[#This Row],[CurrentStock]]*Table1[[#This Row],[UnitPrice]]</f>
        <v>27532.32</v>
      </c>
      <c r="M550" t="str">
        <f>IF(Table1[[#This Row],[ReorderLevel]]-Table1[[#This Row],[CurrentStock]]&gt;0,Table1[[#This Row],[ReorderLevel]]-Table1[[#This Row],[CurrentStock]],"")</f>
        <v/>
      </c>
      <c r="N550" t="str">
        <f>IF(Table1[[#This Row],[CurrentStock]]&gt;Table1[[#This Row],[ReorderLevel]]*3,"Over Stock","Okay")</f>
        <v>Okay</v>
      </c>
      <c r="O550" t="str">
        <f>IF(Table1[[#This Row],[CurrentStock]]&lt;Table1[[#This Row],[ReorderLevel]],"Reorder","Okay")</f>
        <v>Okay</v>
      </c>
    </row>
    <row r="551" spans="1:15" x14ac:dyDescent="0.3">
      <c r="A551">
        <v>90152</v>
      </c>
      <c r="B551" t="s">
        <v>23</v>
      </c>
      <c r="C551" t="s">
        <v>30</v>
      </c>
      <c r="D551">
        <v>20</v>
      </c>
      <c r="E551">
        <v>80</v>
      </c>
      <c r="F551">
        <v>381.28</v>
      </c>
      <c r="G551" t="s">
        <v>34</v>
      </c>
      <c r="H551" s="1">
        <v>45576</v>
      </c>
      <c r="I551" s="1">
        <v>45600</v>
      </c>
      <c r="J551" t="s">
        <v>39</v>
      </c>
      <c r="K551" t="b">
        <f>Table1[[#This Row],[CurrentStock]]&lt;Table1[[#This Row],[ReorderLevel]]</f>
        <v>1</v>
      </c>
      <c r="L551" s="9">
        <f>Table1[[#This Row],[CurrentStock]]*Table1[[#This Row],[UnitPrice]]</f>
        <v>7625.5999999999995</v>
      </c>
      <c r="M551">
        <f>IF(Table1[[#This Row],[ReorderLevel]]-Table1[[#This Row],[CurrentStock]]&gt;0,Table1[[#This Row],[ReorderLevel]]-Table1[[#This Row],[CurrentStock]],"")</f>
        <v>60</v>
      </c>
      <c r="N551" t="str">
        <f>IF(Table1[[#This Row],[CurrentStock]]&gt;Table1[[#This Row],[ReorderLevel]]*3,"Over Stock","Okay")</f>
        <v>Okay</v>
      </c>
      <c r="O551" t="str">
        <f>IF(Table1[[#This Row],[CurrentStock]]&lt;Table1[[#This Row],[ReorderLevel]],"Reorder","Okay")</f>
        <v>Reorder</v>
      </c>
    </row>
    <row r="552" spans="1:15" x14ac:dyDescent="0.3">
      <c r="A552">
        <v>74140</v>
      </c>
      <c r="B552" t="s">
        <v>24</v>
      </c>
      <c r="C552" t="s">
        <v>31</v>
      </c>
      <c r="D552">
        <v>437</v>
      </c>
      <c r="E552">
        <v>50</v>
      </c>
      <c r="F552">
        <v>294.5</v>
      </c>
      <c r="G552" t="s">
        <v>32</v>
      </c>
      <c r="H552" s="1">
        <v>45566</v>
      </c>
      <c r="I552" s="1">
        <v>45593</v>
      </c>
      <c r="J552" t="s">
        <v>39</v>
      </c>
      <c r="K552" t="b">
        <f>Table1[[#This Row],[CurrentStock]]&lt;Table1[[#This Row],[ReorderLevel]]</f>
        <v>0</v>
      </c>
      <c r="L552" s="9">
        <f>Table1[[#This Row],[CurrentStock]]*Table1[[#This Row],[UnitPrice]]</f>
        <v>128696.5</v>
      </c>
      <c r="M552" t="str">
        <f>IF(Table1[[#This Row],[ReorderLevel]]-Table1[[#This Row],[CurrentStock]]&gt;0,Table1[[#This Row],[ReorderLevel]]-Table1[[#This Row],[CurrentStock]],"")</f>
        <v/>
      </c>
      <c r="N552" t="str">
        <f>IF(Table1[[#This Row],[CurrentStock]]&gt;Table1[[#This Row],[ReorderLevel]]*3,"Over Stock","Okay")</f>
        <v>Over Stock</v>
      </c>
      <c r="O552" t="str">
        <f>IF(Table1[[#This Row],[CurrentStock]]&lt;Table1[[#This Row],[ReorderLevel]],"Reorder","Okay")</f>
        <v>Okay</v>
      </c>
    </row>
    <row r="553" spans="1:15" x14ac:dyDescent="0.3">
      <c r="A553">
        <v>23861</v>
      </c>
      <c r="B553" t="s">
        <v>17</v>
      </c>
      <c r="C553" t="s">
        <v>30</v>
      </c>
      <c r="D553">
        <v>21</v>
      </c>
      <c r="E553">
        <v>50</v>
      </c>
      <c r="F553">
        <v>448.37</v>
      </c>
      <c r="G553" t="s">
        <v>34</v>
      </c>
      <c r="H553" s="1">
        <v>45620</v>
      </c>
      <c r="I553" s="1">
        <v>45643</v>
      </c>
      <c r="J553" t="s">
        <v>38</v>
      </c>
      <c r="K553" t="b">
        <f>Table1[[#This Row],[CurrentStock]]&lt;Table1[[#This Row],[ReorderLevel]]</f>
        <v>1</v>
      </c>
      <c r="L553" s="9">
        <f>Table1[[#This Row],[CurrentStock]]*Table1[[#This Row],[UnitPrice]]</f>
        <v>9415.77</v>
      </c>
      <c r="M553">
        <f>IF(Table1[[#This Row],[ReorderLevel]]-Table1[[#This Row],[CurrentStock]]&gt;0,Table1[[#This Row],[ReorderLevel]]-Table1[[#This Row],[CurrentStock]],"")</f>
        <v>29</v>
      </c>
      <c r="N553" t="str">
        <f>IF(Table1[[#This Row],[CurrentStock]]&gt;Table1[[#This Row],[ReorderLevel]]*3,"Over Stock","Okay")</f>
        <v>Okay</v>
      </c>
      <c r="O553" t="str">
        <f>IF(Table1[[#This Row],[CurrentStock]]&lt;Table1[[#This Row],[ReorderLevel]],"Reorder","Okay")</f>
        <v>Reorder</v>
      </c>
    </row>
    <row r="554" spans="1:15" x14ac:dyDescent="0.3">
      <c r="A554">
        <v>69222</v>
      </c>
      <c r="B554" t="s">
        <v>18</v>
      </c>
      <c r="C554" t="s">
        <v>28</v>
      </c>
      <c r="D554">
        <v>287</v>
      </c>
      <c r="E554">
        <v>50</v>
      </c>
      <c r="F554">
        <v>57.27</v>
      </c>
      <c r="G554" t="s">
        <v>32</v>
      </c>
      <c r="H554" s="1">
        <v>45296</v>
      </c>
      <c r="I554" s="1">
        <v>45320</v>
      </c>
      <c r="J554" t="s">
        <v>37</v>
      </c>
      <c r="K554" t="b">
        <f>Table1[[#This Row],[CurrentStock]]&lt;Table1[[#This Row],[ReorderLevel]]</f>
        <v>0</v>
      </c>
      <c r="L554" s="9">
        <f>Table1[[#This Row],[CurrentStock]]*Table1[[#This Row],[UnitPrice]]</f>
        <v>16436.490000000002</v>
      </c>
      <c r="M554" t="str">
        <f>IF(Table1[[#This Row],[ReorderLevel]]-Table1[[#This Row],[CurrentStock]]&gt;0,Table1[[#This Row],[ReorderLevel]]-Table1[[#This Row],[CurrentStock]],"")</f>
        <v/>
      </c>
      <c r="N554" t="str">
        <f>IF(Table1[[#This Row],[CurrentStock]]&gt;Table1[[#This Row],[ReorderLevel]]*3,"Over Stock","Okay")</f>
        <v>Over Stock</v>
      </c>
      <c r="O554" t="str">
        <f>IF(Table1[[#This Row],[CurrentStock]]&lt;Table1[[#This Row],[ReorderLevel]],"Reorder","Okay")</f>
        <v>Okay</v>
      </c>
    </row>
    <row r="555" spans="1:15" x14ac:dyDescent="0.3">
      <c r="A555">
        <v>85910</v>
      </c>
      <c r="B555" t="s">
        <v>24</v>
      </c>
      <c r="C555" t="s">
        <v>31</v>
      </c>
      <c r="D555">
        <v>299</v>
      </c>
      <c r="E555">
        <v>30</v>
      </c>
      <c r="F555">
        <v>19.86</v>
      </c>
      <c r="G555" t="s">
        <v>34</v>
      </c>
      <c r="H555" s="1">
        <v>45428</v>
      </c>
      <c r="I555" s="1">
        <v>45463</v>
      </c>
      <c r="J555" t="s">
        <v>38</v>
      </c>
      <c r="K555" t="b">
        <f>Table1[[#This Row],[CurrentStock]]&lt;Table1[[#This Row],[ReorderLevel]]</f>
        <v>0</v>
      </c>
      <c r="L555" s="9">
        <f>Table1[[#This Row],[CurrentStock]]*Table1[[#This Row],[UnitPrice]]</f>
        <v>5938.1399999999994</v>
      </c>
      <c r="M555" t="str">
        <f>IF(Table1[[#This Row],[ReorderLevel]]-Table1[[#This Row],[CurrentStock]]&gt;0,Table1[[#This Row],[ReorderLevel]]-Table1[[#This Row],[CurrentStock]],"")</f>
        <v/>
      </c>
      <c r="N555" t="str">
        <f>IF(Table1[[#This Row],[CurrentStock]]&gt;Table1[[#This Row],[ReorderLevel]]*3,"Over Stock","Okay")</f>
        <v>Over Stock</v>
      </c>
      <c r="O555" t="str">
        <f>IF(Table1[[#This Row],[CurrentStock]]&lt;Table1[[#This Row],[ReorderLevel]],"Reorder","Okay")</f>
        <v>Okay</v>
      </c>
    </row>
    <row r="556" spans="1:15" x14ac:dyDescent="0.3">
      <c r="A556">
        <v>56418</v>
      </c>
      <c r="B556" t="s">
        <v>21</v>
      </c>
      <c r="C556" t="s">
        <v>31</v>
      </c>
      <c r="D556">
        <v>158</v>
      </c>
      <c r="E556">
        <v>40</v>
      </c>
      <c r="F556">
        <v>291.01</v>
      </c>
      <c r="G556" t="s">
        <v>36</v>
      </c>
      <c r="H556" s="1">
        <v>45480</v>
      </c>
      <c r="I556" s="1">
        <v>45515</v>
      </c>
      <c r="J556" t="s">
        <v>39</v>
      </c>
      <c r="K556" t="b">
        <f>Table1[[#This Row],[CurrentStock]]&lt;Table1[[#This Row],[ReorderLevel]]</f>
        <v>0</v>
      </c>
      <c r="L556" s="9">
        <f>Table1[[#This Row],[CurrentStock]]*Table1[[#This Row],[UnitPrice]]</f>
        <v>45979.58</v>
      </c>
      <c r="M556" t="str">
        <f>IF(Table1[[#This Row],[ReorderLevel]]-Table1[[#This Row],[CurrentStock]]&gt;0,Table1[[#This Row],[ReorderLevel]]-Table1[[#This Row],[CurrentStock]],"")</f>
        <v/>
      </c>
      <c r="N556" t="str">
        <f>IF(Table1[[#This Row],[CurrentStock]]&gt;Table1[[#This Row],[ReorderLevel]]*3,"Over Stock","Okay")</f>
        <v>Over Stock</v>
      </c>
      <c r="O556" t="str">
        <f>IF(Table1[[#This Row],[CurrentStock]]&lt;Table1[[#This Row],[ReorderLevel]],"Reorder","Okay")</f>
        <v>Okay</v>
      </c>
    </row>
    <row r="557" spans="1:15" x14ac:dyDescent="0.3">
      <c r="A557">
        <v>92063</v>
      </c>
      <c r="B557" t="s">
        <v>15</v>
      </c>
      <c r="C557" t="s">
        <v>29</v>
      </c>
      <c r="D557">
        <v>129</v>
      </c>
      <c r="E557">
        <v>30</v>
      </c>
      <c r="F557">
        <v>168.49</v>
      </c>
      <c r="G557" t="s">
        <v>36</v>
      </c>
      <c r="H557" s="1">
        <v>45564</v>
      </c>
      <c r="I557" s="1">
        <v>45600</v>
      </c>
      <c r="J557" t="s">
        <v>38</v>
      </c>
      <c r="K557" t="b">
        <f>Table1[[#This Row],[CurrentStock]]&lt;Table1[[#This Row],[ReorderLevel]]</f>
        <v>0</v>
      </c>
      <c r="L557" s="9">
        <f>Table1[[#This Row],[CurrentStock]]*Table1[[#This Row],[UnitPrice]]</f>
        <v>21735.210000000003</v>
      </c>
      <c r="M557" t="str">
        <f>IF(Table1[[#This Row],[ReorderLevel]]-Table1[[#This Row],[CurrentStock]]&gt;0,Table1[[#This Row],[ReorderLevel]]-Table1[[#This Row],[CurrentStock]],"")</f>
        <v/>
      </c>
      <c r="N557" t="str">
        <f>IF(Table1[[#This Row],[CurrentStock]]&gt;Table1[[#This Row],[ReorderLevel]]*3,"Over Stock","Okay")</f>
        <v>Over Stock</v>
      </c>
      <c r="O557" t="str">
        <f>IF(Table1[[#This Row],[CurrentStock]]&lt;Table1[[#This Row],[ReorderLevel]],"Reorder","Okay")</f>
        <v>Okay</v>
      </c>
    </row>
    <row r="558" spans="1:15" x14ac:dyDescent="0.3">
      <c r="A558">
        <v>54910</v>
      </c>
      <c r="B558" t="s">
        <v>20</v>
      </c>
      <c r="C558" t="s">
        <v>29</v>
      </c>
      <c r="D558">
        <v>394</v>
      </c>
      <c r="E558">
        <v>150</v>
      </c>
      <c r="F558">
        <v>54.28</v>
      </c>
      <c r="G558" t="s">
        <v>33</v>
      </c>
      <c r="H558" s="1">
        <v>45618</v>
      </c>
      <c r="I558" s="1">
        <v>45648</v>
      </c>
      <c r="J558" t="s">
        <v>38</v>
      </c>
      <c r="K558" t="b">
        <f>Table1[[#This Row],[CurrentStock]]&lt;Table1[[#This Row],[ReorderLevel]]</f>
        <v>0</v>
      </c>
      <c r="L558" s="9">
        <f>Table1[[#This Row],[CurrentStock]]*Table1[[#This Row],[UnitPrice]]</f>
        <v>21386.32</v>
      </c>
      <c r="M558" t="str">
        <f>IF(Table1[[#This Row],[ReorderLevel]]-Table1[[#This Row],[CurrentStock]]&gt;0,Table1[[#This Row],[ReorderLevel]]-Table1[[#This Row],[CurrentStock]],"")</f>
        <v/>
      </c>
      <c r="N558" t="str">
        <f>IF(Table1[[#This Row],[CurrentStock]]&gt;Table1[[#This Row],[ReorderLevel]]*3,"Over Stock","Okay")</f>
        <v>Okay</v>
      </c>
      <c r="O558" t="str">
        <f>IF(Table1[[#This Row],[CurrentStock]]&lt;Table1[[#This Row],[ReorderLevel]],"Reorder","Okay")</f>
        <v>Okay</v>
      </c>
    </row>
    <row r="559" spans="1:15" x14ac:dyDescent="0.3">
      <c r="A559">
        <v>31684</v>
      </c>
      <c r="B559" t="s">
        <v>18</v>
      </c>
      <c r="C559" t="s">
        <v>28</v>
      </c>
      <c r="D559">
        <v>458</v>
      </c>
      <c r="E559">
        <v>50</v>
      </c>
      <c r="F559">
        <v>101.53</v>
      </c>
      <c r="G559" t="s">
        <v>33</v>
      </c>
      <c r="H559" s="1">
        <v>45338</v>
      </c>
      <c r="I559" s="1">
        <v>45370</v>
      </c>
      <c r="J559" t="s">
        <v>38</v>
      </c>
      <c r="K559" t="b">
        <f>Table1[[#This Row],[CurrentStock]]&lt;Table1[[#This Row],[ReorderLevel]]</f>
        <v>0</v>
      </c>
      <c r="L559" s="9">
        <f>Table1[[#This Row],[CurrentStock]]*Table1[[#This Row],[UnitPrice]]</f>
        <v>46500.74</v>
      </c>
      <c r="M559" t="str">
        <f>IF(Table1[[#This Row],[ReorderLevel]]-Table1[[#This Row],[CurrentStock]]&gt;0,Table1[[#This Row],[ReorderLevel]]-Table1[[#This Row],[CurrentStock]],"")</f>
        <v/>
      </c>
      <c r="N559" t="str">
        <f>IF(Table1[[#This Row],[CurrentStock]]&gt;Table1[[#This Row],[ReorderLevel]]*3,"Over Stock","Okay")</f>
        <v>Over Stock</v>
      </c>
      <c r="O559" t="str">
        <f>IF(Table1[[#This Row],[CurrentStock]]&lt;Table1[[#This Row],[ReorderLevel]],"Reorder","Okay")</f>
        <v>Okay</v>
      </c>
    </row>
    <row r="560" spans="1:15" x14ac:dyDescent="0.3">
      <c r="A560">
        <v>50130</v>
      </c>
      <c r="B560" t="s">
        <v>21</v>
      </c>
      <c r="C560" t="s">
        <v>31</v>
      </c>
      <c r="D560">
        <v>279</v>
      </c>
      <c r="E560">
        <v>50</v>
      </c>
      <c r="F560">
        <v>55.91</v>
      </c>
      <c r="G560" t="s">
        <v>34</v>
      </c>
      <c r="H560" s="1">
        <v>45587</v>
      </c>
      <c r="I560" s="1">
        <v>45602</v>
      </c>
      <c r="J560" t="s">
        <v>38</v>
      </c>
      <c r="K560" t="b">
        <f>Table1[[#This Row],[CurrentStock]]&lt;Table1[[#This Row],[ReorderLevel]]</f>
        <v>0</v>
      </c>
      <c r="L560" s="9">
        <f>Table1[[#This Row],[CurrentStock]]*Table1[[#This Row],[UnitPrice]]</f>
        <v>15598.89</v>
      </c>
      <c r="M560" t="str">
        <f>IF(Table1[[#This Row],[ReorderLevel]]-Table1[[#This Row],[CurrentStock]]&gt;0,Table1[[#This Row],[ReorderLevel]]-Table1[[#This Row],[CurrentStock]],"")</f>
        <v/>
      </c>
      <c r="N560" t="str">
        <f>IF(Table1[[#This Row],[CurrentStock]]&gt;Table1[[#This Row],[ReorderLevel]]*3,"Over Stock","Okay")</f>
        <v>Over Stock</v>
      </c>
      <c r="O560" t="str">
        <f>IF(Table1[[#This Row],[CurrentStock]]&lt;Table1[[#This Row],[ReorderLevel]],"Reorder","Okay")</f>
        <v>Okay</v>
      </c>
    </row>
    <row r="561" spans="1:15" x14ac:dyDescent="0.3">
      <c r="A561">
        <v>58443</v>
      </c>
      <c r="B561" t="s">
        <v>25</v>
      </c>
      <c r="C561" t="s">
        <v>31</v>
      </c>
      <c r="D561">
        <v>368</v>
      </c>
      <c r="E561">
        <v>100</v>
      </c>
      <c r="F561">
        <v>303.56</v>
      </c>
      <c r="G561" t="s">
        <v>34</v>
      </c>
      <c r="H561" s="1">
        <v>45435</v>
      </c>
      <c r="I561" s="1">
        <v>45441</v>
      </c>
      <c r="J561" t="s">
        <v>39</v>
      </c>
      <c r="K561" t="b">
        <f>Table1[[#This Row],[CurrentStock]]&lt;Table1[[#This Row],[ReorderLevel]]</f>
        <v>0</v>
      </c>
      <c r="L561" s="9">
        <f>Table1[[#This Row],[CurrentStock]]*Table1[[#This Row],[UnitPrice]]</f>
        <v>111710.08</v>
      </c>
      <c r="M561" t="str">
        <f>IF(Table1[[#This Row],[ReorderLevel]]-Table1[[#This Row],[CurrentStock]]&gt;0,Table1[[#This Row],[ReorderLevel]]-Table1[[#This Row],[CurrentStock]],"")</f>
        <v/>
      </c>
      <c r="N561" t="str">
        <f>IF(Table1[[#This Row],[CurrentStock]]&gt;Table1[[#This Row],[ReorderLevel]]*3,"Over Stock","Okay")</f>
        <v>Over Stock</v>
      </c>
      <c r="O561" t="str">
        <f>IF(Table1[[#This Row],[CurrentStock]]&lt;Table1[[#This Row],[ReorderLevel]],"Reorder","Okay")</f>
        <v>Okay</v>
      </c>
    </row>
    <row r="562" spans="1:15" x14ac:dyDescent="0.3">
      <c r="A562">
        <v>43783</v>
      </c>
      <c r="B562" t="s">
        <v>10</v>
      </c>
      <c r="C562" t="s">
        <v>27</v>
      </c>
      <c r="D562">
        <v>95</v>
      </c>
      <c r="E562">
        <v>80</v>
      </c>
      <c r="F562">
        <v>234.71</v>
      </c>
      <c r="G562" t="s">
        <v>35</v>
      </c>
      <c r="H562" s="1">
        <v>45589</v>
      </c>
      <c r="I562" s="1">
        <v>45626</v>
      </c>
      <c r="J562" t="s">
        <v>39</v>
      </c>
      <c r="K562" t="b">
        <f>Table1[[#This Row],[CurrentStock]]&lt;Table1[[#This Row],[ReorderLevel]]</f>
        <v>0</v>
      </c>
      <c r="L562" s="9">
        <f>Table1[[#This Row],[CurrentStock]]*Table1[[#This Row],[UnitPrice]]</f>
        <v>22297.45</v>
      </c>
      <c r="M562" t="str">
        <f>IF(Table1[[#This Row],[ReorderLevel]]-Table1[[#This Row],[CurrentStock]]&gt;0,Table1[[#This Row],[ReorderLevel]]-Table1[[#This Row],[CurrentStock]],"")</f>
        <v/>
      </c>
      <c r="N562" t="str">
        <f>IF(Table1[[#This Row],[CurrentStock]]&gt;Table1[[#This Row],[ReorderLevel]]*3,"Over Stock","Okay")</f>
        <v>Okay</v>
      </c>
      <c r="O562" t="str">
        <f>IF(Table1[[#This Row],[CurrentStock]]&lt;Table1[[#This Row],[ReorderLevel]],"Reorder","Okay")</f>
        <v>Okay</v>
      </c>
    </row>
    <row r="563" spans="1:15" x14ac:dyDescent="0.3">
      <c r="A563">
        <v>69754</v>
      </c>
      <c r="B563" t="s">
        <v>25</v>
      </c>
      <c r="C563" t="s">
        <v>31</v>
      </c>
      <c r="D563">
        <v>420</v>
      </c>
      <c r="E563">
        <v>100</v>
      </c>
      <c r="F563">
        <v>69.83</v>
      </c>
      <c r="G563" t="s">
        <v>32</v>
      </c>
      <c r="H563" s="1">
        <v>45313</v>
      </c>
      <c r="I563" s="1">
        <v>45337</v>
      </c>
      <c r="J563" t="s">
        <v>37</v>
      </c>
      <c r="K563" t="b">
        <f>Table1[[#This Row],[CurrentStock]]&lt;Table1[[#This Row],[ReorderLevel]]</f>
        <v>0</v>
      </c>
      <c r="L563" s="9">
        <f>Table1[[#This Row],[CurrentStock]]*Table1[[#This Row],[UnitPrice]]</f>
        <v>29328.6</v>
      </c>
      <c r="M563" t="str">
        <f>IF(Table1[[#This Row],[ReorderLevel]]-Table1[[#This Row],[CurrentStock]]&gt;0,Table1[[#This Row],[ReorderLevel]]-Table1[[#This Row],[CurrentStock]],"")</f>
        <v/>
      </c>
      <c r="N563" t="str">
        <f>IF(Table1[[#This Row],[CurrentStock]]&gt;Table1[[#This Row],[ReorderLevel]]*3,"Over Stock","Okay")</f>
        <v>Over Stock</v>
      </c>
      <c r="O563" t="str">
        <f>IF(Table1[[#This Row],[CurrentStock]]&lt;Table1[[#This Row],[ReorderLevel]],"Reorder","Okay")</f>
        <v>Okay</v>
      </c>
    </row>
    <row r="564" spans="1:15" x14ac:dyDescent="0.3">
      <c r="A564">
        <v>61033</v>
      </c>
      <c r="B564" t="s">
        <v>21</v>
      </c>
      <c r="C564" t="s">
        <v>31</v>
      </c>
      <c r="D564">
        <v>88</v>
      </c>
      <c r="E564">
        <v>30</v>
      </c>
      <c r="F564">
        <v>208.63</v>
      </c>
      <c r="G564" t="s">
        <v>35</v>
      </c>
      <c r="H564" s="1">
        <v>45364</v>
      </c>
      <c r="I564" s="1">
        <v>45380</v>
      </c>
      <c r="J564" t="s">
        <v>39</v>
      </c>
      <c r="K564" t="b">
        <f>Table1[[#This Row],[CurrentStock]]&lt;Table1[[#This Row],[ReorderLevel]]</f>
        <v>0</v>
      </c>
      <c r="L564" s="9">
        <f>Table1[[#This Row],[CurrentStock]]*Table1[[#This Row],[UnitPrice]]</f>
        <v>18359.439999999999</v>
      </c>
      <c r="M564" t="str">
        <f>IF(Table1[[#This Row],[ReorderLevel]]-Table1[[#This Row],[CurrentStock]]&gt;0,Table1[[#This Row],[ReorderLevel]]-Table1[[#This Row],[CurrentStock]],"")</f>
        <v/>
      </c>
      <c r="N564" t="str">
        <f>IF(Table1[[#This Row],[CurrentStock]]&gt;Table1[[#This Row],[ReorderLevel]]*3,"Over Stock","Okay")</f>
        <v>Okay</v>
      </c>
      <c r="O564" t="str">
        <f>IF(Table1[[#This Row],[CurrentStock]]&lt;Table1[[#This Row],[ReorderLevel]],"Reorder","Okay")</f>
        <v>Okay</v>
      </c>
    </row>
    <row r="565" spans="1:15" x14ac:dyDescent="0.3">
      <c r="A565">
        <v>91531</v>
      </c>
      <c r="B565" t="s">
        <v>12</v>
      </c>
      <c r="C565" t="s">
        <v>28</v>
      </c>
      <c r="D565">
        <v>175</v>
      </c>
      <c r="E565">
        <v>50</v>
      </c>
      <c r="F565">
        <v>243.94</v>
      </c>
      <c r="G565" t="s">
        <v>34</v>
      </c>
      <c r="H565" s="1">
        <v>45357</v>
      </c>
      <c r="I565" s="1">
        <v>45362</v>
      </c>
      <c r="J565" t="s">
        <v>39</v>
      </c>
      <c r="K565" t="b">
        <f>Table1[[#This Row],[CurrentStock]]&lt;Table1[[#This Row],[ReorderLevel]]</f>
        <v>0</v>
      </c>
      <c r="L565" s="9">
        <f>Table1[[#This Row],[CurrentStock]]*Table1[[#This Row],[UnitPrice]]</f>
        <v>42689.5</v>
      </c>
      <c r="M565" t="str">
        <f>IF(Table1[[#This Row],[ReorderLevel]]-Table1[[#This Row],[CurrentStock]]&gt;0,Table1[[#This Row],[ReorderLevel]]-Table1[[#This Row],[CurrentStock]],"")</f>
        <v/>
      </c>
      <c r="N565" t="str">
        <f>IF(Table1[[#This Row],[CurrentStock]]&gt;Table1[[#This Row],[ReorderLevel]]*3,"Over Stock","Okay")</f>
        <v>Over Stock</v>
      </c>
      <c r="O565" t="str">
        <f>IF(Table1[[#This Row],[CurrentStock]]&lt;Table1[[#This Row],[ReorderLevel]],"Reorder","Okay")</f>
        <v>Okay</v>
      </c>
    </row>
    <row r="566" spans="1:15" x14ac:dyDescent="0.3">
      <c r="A566">
        <v>24859</v>
      </c>
      <c r="B566" t="s">
        <v>15</v>
      </c>
      <c r="C566" t="s">
        <v>29</v>
      </c>
      <c r="D566">
        <v>158</v>
      </c>
      <c r="E566">
        <v>20</v>
      </c>
      <c r="F566">
        <v>482.82</v>
      </c>
      <c r="G566" t="s">
        <v>36</v>
      </c>
      <c r="H566" s="1">
        <v>45576</v>
      </c>
      <c r="I566" s="1">
        <v>45595</v>
      </c>
      <c r="J566" t="s">
        <v>37</v>
      </c>
      <c r="K566" t="b">
        <f>Table1[[#This Row],[CurrentStock]]&lt;Table1[[#This Row],[ReorderLevel]]</f>
        <v>0</v>
      </c>
      <c r="L566" s="9">
        <f>Table1[[#This Row],[CurrentStock]]*Table1[[#This Row],[UnitPrice]]</f>
        <v>76285.56</v>
      </c>
      <c r="M566" t="str">
        <f>IF(Table1[[#This Row],[ReorderLevel]]-Table1[[#This Row],[CurrentStock]]&gt;0,Table1[[#This Row],[ReorderLevel]]-Table1[[#This Row],[CurrentStock]],"")</f>
        <v/>
      </c>
      <c r="N566" t="str">
        <f>IF(Table1[[#This Row],[CurrentStock]]&gt;Table1[[#This Row],[ReorderLevel]]*3,"Over Stock","Okay")</f>
        <v>Over Stock</v>
      </c>
      <c r="O566" t="str">
        <f>IF(Table1[[#This Row],[CurrentStock]]&lt;Table1[[#This Row],[ReorderLevel]],"Reorder","Okay")</f>
        <v>Okay</v>
      </c>
    </row>
    <row r="567" spans="1:15" x14ac:dyDescent="0.3">
      <c r="A567">
        <v>31153</v>
      </c>
      <c r="B567" t="s">
        <v>23</v>
      </c>
      <c r="C567" t="s">
        <v>30</v>
      </c>
      <c r="D567">
        <v>109</v>
      </c>
      <c r="E567">
        <v>100</v>
      </c>
      <c r="F567">
        <v>420.71</v>
      </c>
      <c r="G567" t="s">
        <v>33</v>
      </c>
      <c r="H567" s="1">
        <v>45507</v>
      </c>
      <c r="I567" s="1">
        <v>45525</v>
      </c>
      <c r="J567" t="s">
        <v>39</v>
      </c>
      <c r="K567" t="b">
        <f>Table1[[#This Row],[CurrentStock]]&lt;Table1[[#This Row],[ReorderLevel]]</f>
        <v>0</v>
      </c>
      <c r="L567" s="9">
        <f>Table1[[#This Row],[CurrentStock]]*Table1[[#This Row],[UnitPrice]]</f>
        <v>45857.39</v>
      </c>
      <c r="M567" t="str">
        <f>IF(Table1[[#This Row],[ReorderLevel]]-Table1[[#This Row],[CurrentStock]]&gt;0,Table1[[#This Row],[ReorderLevel]]-Table1[[#This Row],[CurrentStock]],"")</f>
        <v/>
      </c>
      <c r="N567" t="str">
        <f>IF(Table1[[#This Row],[CurrentStock]]&gt;Table1[[#This Row],[ReorderLevel]]*3,"Over Stock","Okay")</f>
        <v>Okay</v>
      </c>
      <c r="O567" t="str">
        <f>IF(Table1[[#This Row],[CurrentStock]]&lt;Table1[[#This Row],[ReorderLevel]],"Reorder","Okay")</f>
        <v>Okay</v>
      </c>
    </row>
    <row r="568" spans="1:15" x14ac:dyDescent="0.3">
      <c r="A568">
        <v>37564</v>
      </c>
      <c r="B568" t="s">
        <v>10</v>
      </c>
      <c r="C568" t="s">
        <v>27</v>
      </c>
      <c r="D568">
        <v>419</v>
      </c>
      <c r="E568">
        <v>100</v>
      </c>
      <c r="F568">
        <v>265.11</v>
      </c>
      <c r="G568" t="s">
        <v>34</v>
      </c>
      <c r="H568" s="1">
        <v>45627</v>
      </c>
      <c r="I568" s="1">
        <v>45656</v>
      </c>
      <c r="J568" t="s">
        <v>39</v>
      </c>
      <c r="K568" t="b">
        <f>Table1[[#This Row],[CurrentStock]]&lt;Table1[[#This Row],[ReorderLevel]]</f>
        <v>0</v>
      </c>
      <c r="L568" s="9">
        <f>Table1[[#This Row],[CurrentStock]]*Table1[[#This Row],[UnitPrice]]</f>
        <v>111081.09000000001</v>
      </c>
      <c r="M568" t="str">
        <f>IF(Table1[[#This Row],[ReorderLevel]]-Table1[[#This Row],[CurrentStock]]&gt;0,Table1[[#This Row],[ReorderLevel]]-Table1[[#This Row],[CurrentStock]],"")</f>
        <v/>
      </c>
      <c r="N568" t="str">
        <f>IF(Table1[[#This Row],[CurrentStock]]&gt;Table1[[#This Row],[ReorderLevel]]*3,"Over Stock","Okay")</f>
        <v>Over Stock</v>
      </c>
      <c r="O568" t="str">
        <f>IF(Table1[[#This Row],[CurrentStock]]&lt;Table1[[#This Row],[ReorderLevel]],"Reorder","Okay")</f>
        <v>Okay</v>
      </c>
    </row>
    <row r="569" spans="1:15" x14ac:dyDescent="0.3">
      <c r="A569">
        <v>86436</v>
      </c>
      <c r="B569" t="s">
        <v>13</v>
      </c>
      <c r="C569" t="s">
        <v>29</v>
      </c>
      <c r="D569">
        <v>479</v>
      </c>
      <c r="E569">
        <v>80</v>
      </c>
      <c r="F569">
        <v>139.62</v>
      </c>
      <c r="G569" t="s">
        <v>32</v>
      </c>
      <c r="H569" s="1">
        <v>45478</v>
      </c>
      <c r="I569" s="1">
        <v>45487</v>
      </c>
      <c r="J569" t="s">
        <v>39</v>
      </c>
      <c r="K569" t="b">
        <f>Table1[[#This Row],[CurrentStock]]&lt;Table1[[#This Row],[ReorderLevel]]</f>
        <v>0</v>
      </c>
      <c r="L569" s="9">
        <f>Table1[[#This Row],[CurrentStock]]*Table1[[#This Row],[UnitPrice]]</f>
        <v>66877.98</v>
      </c>
      <c r="M569" t="str">
        <f>IF(Table1[[#This Row],[ReorderLevel]]-Table1[[#This Row],[CurrentStock]]&gt;0,Table1[[#This Row],[ReorderLevel]]-Table1[[#This Row],[CurrentStock]],"")</f>
        <v/>
      </c>
      <c r="N569" t="str">
        <f>IF(Table1[[#This Row],[CurrentStock]]&gt;Table1[[#This Row],[ReorderLevel]]*3,"Over Stock","Okay")</f>
        <v>Over Stock</v>
      </c>
      <c r="O569" t="str">
        <f>IF(Table1[[#This Row],[CurrentStock]]&lt;Table1[[#This Row],[ReorderLevel]],"Reorder","Okay")</f>
        <v>Okay</v>
      </c>
    </row>
    <row r="570" spans="1:15" x14ac:dyDescent="0.3">
      <c r="A570">
        <v>95549</v>
      </c>
      <c r="B570" t="s">
        <v>11</v>
      </c>
      <c r="C570" t="s">
        <v>27</v>
      </c>
      <c r="D570">
        <v>336</v>
      </c>
      <c r="E570">
        <v>80</v>
      </c>
      <c r="F570">
        <v>419.45</v>
      </c>
      <c r="G570" t="s">
        <v>34</v>
      </c>
      <c r="H570" s="1">
        <v>45608</v>
      </c>
      <c r="I570" s="1">
        <v>45619</v>
      </c>
      <c r="J570" t="s">
        <v>37</v>
      </c>
      <c r="K570" t="b">
        <f>Table1[[#This Row],[CurrentStock]]&lt;Table1[[#This Row],[ReorderLevel]]</f>
        <v>0</v>
      </c>
      <c r="L570" s="9">
        <f>Table1[[#This Row],[CurrentStock]]*Table1[[#This Row],[UnitPrice]]</f>
        <v>140935.19999999998</v>
      </c>
      <c r="M570" t="str">
        <f>IF(Table1[[#This Row],[ReorderLevel]]-Table1[[#This Row],[CurrentStock]]&gt;0,Table1[[#This Row],[ReorderLevel]]-Table1[[#This Row],[CurrentStock]],"")</f>
        <v/>
      </c>
      <c r="N570" t="str">
        <f>IF(Table1[[#This Row],[CurrentStock]]&gt;Table1[[#This Row],[ReorderLevel]]*3,"Over Stock","Okay")</f>
        <v>Over Stock</v>
      </c>
      <c r="O570" t="str">
        <f>IF(Table1[[#This Row],[CurrentStock]]&lt;Table1[[#This Row],[ReorderLevel]],"Reorder","Okay")</f>
        <v>Okay</v>
      </c>
    </row>
    <row r="571" spans="1:15" x14ac:dyDescent="0.3">
      <c r="A571">
        <v>92291</v>
      </c>
      <c r="B571" t="s">
        <v>12</v>
      </c>
      <c r="C571" t="s">
        <v>28</v>
      </c>
      <c r="D571">
        <v>494</v>
      </c>
      <c r="E571">
        <v>50</v>
      </c>
      <c r="F571">
        <v>326.64999999999998</v>
      </c>
      <c r="G571" t="s">
        <v>32</v>
      </c>
      <c r="H571" s="1">
        <v>45400</v>
      </c>
      <c r="I571" s="1">
        <v>45431</v>
      </c>
      <c r="J571" t="s">
        <v>39</v>
      </c>
      <c r="K571" t="b">
        <f>Table1[[#This Row],[CurrentStock]]&lt;Table1[[#This Row],[ReorderLevel]]</f>
        <v>0</v>
      </c>
      <c r="L571" s="9">
        <f>Table1[[#This Row],[CurrentStock]]*Table1[[#This Row],[UnitPrice]]</f>
        <v>161365.09999999998</v>
      </c>
      <c r="M571" t="str">
        <f>IF(Table1[[#This Row],[ReorderLevel]]-Table1[[#This Row],[CurrentStock]]&gt;0,Table1[[#This Row],[ReorderLevel]]-Table1[[#This Row],[CurrentStock]],"")</f>
        <v/>
      </c>
      <c r="N571" t="str">
        <f>IF(Table1[[#This Row],[CurrentStock]]&gt;Table1[[#This Row],[ReorderLevel]]*3,"Over Stock","Okay")</f>
        <v>Over Stock</v>
      </c>
      <c r="O571" t="str">
        <f>IF(Table1[[#This Row],[CurrentStock]]&lt;Table1[[#This Row],[ReorderLevel]],"Reorder","Okay")</f>
        <v>Okay</v>
      </c>
    </row>
    <row r="572" spans="1:15" x14ac:dyDescent="0.3">
      <c r="A572">
        <v>76471</v>
      </c>
      <c r="B572" t="s">
        <v>20</v>
      </c>
      <c r="C572" t="s">
        <v>29</v>
      </c>
      <c r="D572">
        <v>244</v>
      </c>
      <c r="E572">
        <v>150</v>
      </c>
      <c r="F572">
        <v>164.75</v>
      </c>
      <c r="G572" t="s">
        <v>36</v>
      </c>
      <c r="H572" s="1">
        <v>45374</v>
      </c>
      <c r="I572" s="1">
        <v>45401</v>
      </c>
      <c r="J572" t="s">
        <v>38</v>
      </c>
      <c r="K572" t="b">
        <f>Table1[[#This Row],[CurrentStock]]&lt;Table1[[#This Row],[ReorderLevel]]</f>
        <v>0</v>
      </c>
      <c r="L572" s="9">
        <f>Table1[[#This Row],[CurrentStock]]*Table1[[#This Row],[UnitPrice]]</f>
        <v>40199</v>
      </c>
      <c r="M572" t="str">
        <f>IF(Table1[[#This Row],[ReorderLevel]]-Table1[[#This Row],[CurrentStock]]&gt;0,Table1[[#This Row],[ReorderLevel]]-Table1[[#This Row],[CurrentStock]],"")</f>
        <v/>
      </c>
      <c r="N572" t="str">
        <f>IF(Table1[[#This Row],[CurrentStock]]&gt;Table1[[#This Row],[ReorderLevel]]*3,"Over Stock","Okay")</f>
        <v>Okay</v>
      </c>
      <c r="O572" t="str">
        <f>IF(Table1[[#This Row],[CurrentStock]]&lt;Table1[[#This Row],[ReorderLevel]],"Reorder","Okay")</f>
        <v>Okay</v>
      </c>
    </row>
    <row r="573" spans="1:15" x14ac:dyDescent="0.3">
      <c r="A573">
        <v>44753</v>
      </c>
      <c r="B573" t="s">
        <v>22</v>
      </c>
      <c r="C573" t="s">
        <v>27</v>
      </c>
      <c r="D573">
        <v>132</v>
      </c>
      <c r="E573">
        <v>20</v>
      </c>
      <c r="F573">
        <v>278.79000000000002</v>
      </c>
      <c r="G573" t="s">
        <v>36</v>
      </c>
      <c r="H573" s="1">
        <v>45386</v>
      </c>
      <c r="I573" s="1">
        <v>45412</v>
      </c>
      <c r="J573" t="s">
        <v>37</v>
      </c>
      <c r="K573" t="b">
        <f>Table1[[#This Row],[CurrentStock]]&lt;Table1[[#This Row],[ReorderLevel]]</f>
        <v>0</v>
      </c>
      <c r="L573" s="9">
        <f>Table1[[#This Row],[CurrentStock]]*Table1[[#This Row],[UnitPrice]]</f>
        <v>36800.280000000006</v>
      </c>
      <c r="M573" t="str">
        <f>IF(Table1[[#This Row],[ReorderLevel]]-Table1[[#This Row],[CurrentStock]]&gt;0,Table1[[#This Row],[ReorderLevel]]-Table1[[#This Row],[CurrentStock]],"")</f>
        <v/>
      </c>
      <c r="N573" t="str">
        <f>IF(Table1[[#This Row],[CurrentStock]]&gt;Table1[[#This Row],[ReorderLevel]]*3,"Over Stock","Okay")</f>
        <v>Over Stock</v>
      </c>
      <c r="O573" t="str">
        <f>IF(Table1[[#This Row],[CurrentStock]]&lt;Table1[[#This Row],[ReorderLevel]],"Reorder","Okay")</f>
        <v>Okay</v>
      </c>
    </row>
    <row r="574" spans="1:15" x14ac:dyDescent="0.3">
      <c r="A574">
        <v>83290</v>
      </c>
      <c r="B574" t="s">
        <v>22</v>
      </c>
      <c r="C574" t="s">
        <v>27</v>
      </c>
      <c r="D574">
        <v>88</v>
      </c>
      <c r="E574">
        <v>150</v>
      </c>
      <c r="F574">
        <v>242.62</v>
      </c>
      <c r="G574" t="s">
        <v>32</v>
      </c>
      <c r="H574" s="1">
        <v>45634</v>
      </c>
      <c r="I574" s="1">
        <v>45670</v>
      </c>
      <c r="J574" t="s">
        <v>37</v>
      </c>
      <c r="K574" t="b">
        <f>Table1[[#This Row],[CurrentStock]]&lt;Table1[[#This Row],[ReorderLevel]]</f>
        <v>1</v>
      </c>
      <c r="L574" s="9">
        <f>Table1[[#This Row],[CurrentStock]]*Table1[[#This Row],[UnitPrice]]</f>
        <v>21350.560000000001</v>
      </c>
      <c r="M574">
        <f>IF(Table1[[#This Row],[ReorderLevel]]-Table1[[#This Row],[CurrentStock]]&gt;0,Table1[[#This Row],[ReorderLevel]]-Table1[[#This Row],[CurrentStock]],"")</f>
        <v>62</v>
      </c>
      <c r="N574" t="str">
        <f>IF(Table1[[#This Row],[CurrentStock]]&gt;Table1[[#This Row],[ReorderLevel]]*3,"Over Stock","Okay")</f>
        <v>Okay</v>
      </c>
      <c r="O574" t="str">
        <f>IF(Table1[[#This Row],[CurrentStock]]&lt;Table1[[#This Row],[ReorderLevel]],"Reorder","Okay")</f>
        <v>Reorder</v>
      </c>
    </row>
    <row r="575" spans="1:15" x14ac:dyDescent="0.3">
      <c r="A575">
        <v>17493</v>
      </c>
      <c r="B575" t="s">
        <v>25</v>
      </c>
      <c r="C575" t="s">
        <v>31</v>
      </c>
      <c r="D575">
        <v>19</v>
      </c>
      <c r="E575">
        <v>100</v>
      </c>
      <c r="F575">
        <v>234.59</v>
      </c>
      <c r="G575" t="s">
        <v>36</v>
      </c>
      <c r="H575" s="1">
        <v>45349</v>
      </c>
      <c r="I575" s="1">
        <v>45354</v>
      </c>
      <c r="J575" t="s">
        <v>38</v>
      </c>
      <c r="K575" t="b">
        <f>Table1[[#This Row],[CurrentStock]]&lt;Table1[[#This Row],[ReorderLevel]]</f>
        <v>1</v>
      </c>
      <c r="L575" s="9">
        <f>Table1[[#This Row],[CurrentStock]]*Table1[[#This Row],[UnitPrice]]</f>
        <v>4457.21</v>
      </c>
      <c r="M575">
        <f>IF(Table1[[#This Row],[ReorderLevel]]-Table1[[#This Row],[CurrentStock]]&gt;0,Table1[[#This Row],[ReorderLevel]]-Table1[[#This Row],[CurrentStock]],"")</f>
        <v>81</v>
      </c>
      <c r="N575" t="str">
        <f>IF(Table1[[#This Row],[CurrentStock]]&gt;Table1[[#This Row],[ReorderLevel]]*3,"Over Stock","Okay")</f>
        <v>Okay</v>
      </c>
      <c r="O575" t="str">
        <f>IF(Table1[[#This Row],[CurrentStock]]&lt;Table1[[#This Row],[ReorderLevel]],"Reorder","Okay")</f>
        <v>Reorder</v>
      </c>
    </row>
    <row r="576" spans="1:15" x14ac:dyDescent="0.3">
      <c r="A576">
        <v>57315</v>
      </c>
      <c r="B576" t="s">
        <v>19</v>
      </c>
      <c r="C576" t="s">
        <v>28</v>
      </c>
      <c r="D576">
        <v>187</v>
      </c>
      <c r="E576">
        <v>40</v>
      </c>
      <c r="F576">
        <v>334.98</v>
      </c>
      <c r="G576" t="s">
        <v>36</v>
      </c>
      <c r="H576" s="1">
        <v>45655</v>
      </c>
      <c r="I576" s="1">
        <v>45671</v>
      </c>
      <c r="J576" t="s">
        <v>37</v>
      </c>
      <c r="K576" t="b">
        <f>Table1[[#This Row],[CurrentStock]]&lt;Table1[[#This Row],[ReorderLevel]]</f>
        <v>0</v>
      </c>
      <c r="L576" s="9">
        <f>Table1[[#This Row],[CurrentStock]]*Table1[[#This Row],[UnitPrice]]</f>
        <v>62641.26</v>
      </c>
      <c r="M576" t="str">
        <f>IF(Table1[[#This Row],[ReorderLevel]]-Table1[[#This Row],[CurrentStock]]&gt;0,Table1[[#This Row],[ReorderLevel]]-Table1[[#This Row],[CurrentStock]],"")</f>
        <v/>
      </c>
      <c r="N576" t="str">
        <f>IF(Table1[[#This Row],[CurrentStock]]&gt;Table1[[#This Row],[ReorderLevel]]*3,"Over Stock","Okay")</f>
        <v>Over Stock</v>
      </c>
      <c r="O576" t="str">
        <f>IF(Table1[[#This Row],[CurrentStock]]&lt;Table1[[#This Row],[ReorderLevel]],"Reorder","Okay")</f>
        <v>Okay</v>
      </c>
    </row>
    <row r="577" spans="1:15" x14ac:dyDescent="0.3">
      <c r="A577">
        <v>62664</v>
      </c>
      <c r="B577" t="s">
        <v>22</v>
      </c>
      <c r="C577" t="s">
        <v>27</v>
      </c>
      <c r="D577">
        <v>274</v>
      </c>
      <c r="E577">
        <v>100</v>
      </c>
      <c r="F577">
        <v>50.79</v>
      </c>
      <c r="G577" t="s">
        <v>34</v>
      </c>
      <c r="H577" s="1">
        <v>45462</v>
      </c>
      <c r="I577" s="1">
        <v>45479</v>
      </c>
      <c r="J577" t="s">
        <v>38</v>
      </c>
      <c r="K577" t="b">
        <f>Table1[[#This Row],[CurrentStock]]&lt;Table1[[#This Row],[ReorderLevel]]</f>
        <v>0</v>
      </c>
      <c r="L577" s="9">
        <f>Table1[[#This Row],[CurrentStock]]*Table1[[#This Row],[UnitPrice]]</f>
        <v>13916.46</v>
      </c>
      <c r="M577" t="str">
        <f>IF(Table1[[#This Row],[ReorderLevel]]-Table1[[#This Row],[CurrentStock]]&gt;0,Table1[[#This Row],[ReorderLevel]]-Table1[[#This Row],[CurrentStock]],"")</f>
        <v/>
      </c>
      <c r="N577" t="str">
        <f>IF(Table1[[#This Row],[CurrentStock]]&gt;Table1[[#This Row],[ReorderLevel]]*3,"Over Stock","Okay")</f>
        <v>Okay</v>
      </c>
      <c r="O577" t="str">
        <f>IF(Table1[[#This Row],[CurrentStock]]&lt;Table1[[#This Row],[ReorderLevel]],"Reorder","Okay")</f>
        <v>Okay</v>
      </c>
    </row>
    <row r="578" spans="1:15" x14ac:dyDescent="0.3">
      <c r="A578">
        <v>62975</v>
      </c>
      <c r="B578" t="s">
        <v>26</v>
      </c>
      <c r="C578" t="s">
        <v>30</v>
      </c>
      <c r="D578">
        <v>341</v>
      </c>
      <c r="E578">
        <v>40</v>
      </c>
      <c r="F578">
        <v>102.14</v>
      </c>
      <c r="G578" t="s">
        <v>32</v>
      </c>
      <c r="H578" s="1">
        <v>45491</v>
      </c>
      <c r="I578" s="1">
        <v>45521</v>
      </c>
      <c r="J578" t="s">
        <v>39</v>
      </c>
      <c r="K578" t="b">
        <f>Table1[[#This Row],[CurrentStock]]&lt;Table1[[#This Row],[ReorderLevel]]</f>
        <v>0</v>
      </c>
      <c r="L578" s="9">
        <f>Table1[[#This Row],[CurrentStock]]*Table1[[#This Row],[UnitPrice]]</f>
        <v>34829.74</v>
      </c>
      <c r="M578" t="str">
        <f>IF(Table1[[#This Row],[ReorderLevel]]-Table1[[#This Row],[CurrentStock]]&gt;0,Table1[[#This Row],[ReorderLevel]]-Table1[[#This Row],[CurrentStock]],"")</f>
        <v/>
      </c>
      <c r="N578" t="str">
        <f>IF(Table1[[#This Row],[CurrentStock]]&gt;Table1[[#This Row],[ReorderLevel]]*3,"Over Stock","Okay")</f>
        <v>Over Stock</v>
      </c>
      <c r="O578" t="str">
        <f>IF(Table1[[#This Row],[CurrentStock]]&lt;Table1[[#This Row],[ReorderLevel]],"Reorder","Okay")</f>
        <v>Okay</v>
      </c>
    </row>
    <row r="579" spans="1:15" x14ac:dyDescent="0.3">
      <c r="A579">
        <v>64478</v>
      </c>
      <c r="B579" t="s">
        <v>20</v>
      </c>
      <c r="C579" t="s">
        <v>29</v>
      </c>
      <c r="D579">
        <v>411</v>
      </c>
      <c r="E579">
        <v>20</v>
      </c>
      <c r="F579">
        <v>47.59</v>
      </c>
      <c r="G579" t="s">
        <v>32</v>
      </c>
      <c r="H579" s="1">
        <v>45502</v>
      </c>
      <c r="I579" s="1">
        <v>45518</v>
      </c>
      <c r="J579" t="s">
        <v>39</v>
      </c>
      <c r="K579" t="b">
        <f>Table1[[#This Row],[CurrentStock]]&lt;Table1[[#This Row],[ReorderLevel]]</f>
        <v>0</v>
      </c>
      <c r="L579" s="9">
        <f>Table1[[#This Row],[CurrentStock]]*Table1[[#This Row],[UnitPrice]]</f>
        <v>19559.490000000002</v>
      </c>
      <c r="M579" t="str">
        <f>IF(Table1[[#This Row],[ReorderLevel]]-Table1[[#This Row],[CurrentStock]]&gt;0,Table1[[#This Row],[ReorderLevel]]-Table1[[#This Row],[CurrentStock]],"")</f>
        <v/>
      </c>
      <c r="N579" t="str">
        <f>IF(Table1[[#This Row],[CurrentStock]]&gt;Table1[[#This Row],[ReorderLevel]]*3,"Over Stock","Okay")</f>
        <v>Over Stock</v>
      </c>
      <c r="O579" t="str">
        <f>IF(Table1[[#This Row],[CurrentStock]]&lt;Table1[[#This Row],[ReorderLevel]],"Reorder","Okay")</f>
        <v>Okay</v>
      </c>
    </row>
    <row r="580" spans="1:15" x14ac:dyDescent="0.3">
      <c r="A580">
        <v>14837</v>
      </c>
      <c r="B580" t="s">
        <v>25</v>
      </c>
      <c r="C580" t="s">
        <v>31</v>
      </c>
      <c r="D580">
        <v>10</v>
      </c>
      <c r="E580">
        <v>100</v>
      </c>
      <c r="F580">
        <v>263.99</v>
      </c>
      <c r="G580" t="s">
        <v>35</v>
      </c>
      <c r="H580" s="1">
        <v>45566</v>
      </c>
      <c r="I580" s="1">
        <v>45576</v>
      </c>
      <c r="J580" t="s">
        <v>39</v>
      </c>
      <c r="K580" t="b">
        <f>Table1[[#This Row],[CurrentStock]]&lt;Table1[[#This Row],[ReorderLevel]]</f>
        <v>1</v>
      </c>
      <c r="L580" s="9">
        <f>Table1[[#This Row],[CurrentStock]]*Table1[[#This Row],[UnitPrice]]</f>
        <v>2639.9</v>
      </c>
      <c r="M580">
        <f>IF(Table1[[#This Row],[ReorderLevel]]-Table1[[#This Row],[CurrentStock]]&gt;0,Table1[[#This Row],[ReorderLevel]]-Table1[[#This Row],[CurrentStock]],"")</f>
        <v>90</v>
      </c>
      <c r="N580" t="str">
        <f>IF(Table1[[#This Row],[CurrentStock]]&gt;Table1[[#This Row],[ReorderLevel]]*3,"Over Stock","Okay")</f>
        <v>Okay</v>
      </c>
      <c r="O580" t="str">
        <f>IF(Table1[[#This Row],[CurrentStock]]&lt;Table1[[#This Row],[ReorderLevel]],"Reorder","Okay")</f>
        <v>Reorder</v>
      </c>
    </row>
    <row r="581" spans="1:15" x14ac:dyDescent="0.3">
      <c r="A581">
        <v>98422</v>
      </c>
      <c r="B581" t="s">
        <v>10</v>
      </c>
      <c r="C581" t="s">
        <v>27</v>
      </c>
      <c r="D581">
        <v>354</v>
      </c>
      <c r="E581">
        <v>40</v>
      </c>
      <c r="F581">
        <v>72.17</v>
      </c>
      <c r="G581" t="s">
        <v>36</v>
      </c>
      <c r="H581" s="1">
        <v>45554</v>
      </c>
      <c r="I581" s="1">
        <v>45569</v>
      </c>
      <c r="J581" t="s">
        <v>37</v>
      </c>
      <c r="K581" t="b">
        <f>Table1[[#This Row],[CurrentStock]]&lt;Table1[[#This Row],[ReorderLevel]]</f>
        <v>0</v>
      </c>
      <c r="L581" s="9">
        <f>Table1[[#This Row],[CurrentStock]]*Table1[[#This Row],[UnitPrice]]</f>
        <v>25548.18</v>
      </c>
      <c r="M581" t="str">
        <f>IF(Table1[[#This Row],[ReorderLevel]]-Table1[[#This Row],[CurrentStock]]&gt;0,Table1[[#This Row],[ReorderLevel]]-Table1[[#This Row],[CurrentStock]],"")</f>
        <v/>
      </c>
      <c r="N581" t="str">
        <f>IF(Table1[[#This Row],[CurrentStock]]&gt;Table1[[#This Row],[ReorderLevel]]*3,"Over Stock","Okay")</f>
        <v>Over Stock</v>
      </c>
      <c r="O581" t="str">
        <f>IF(Table1[[#This Row],[CurrentStock]]&lt;Table1[[#This Row],[ReorderLevel]],"Reorder","Okay")</f>
        <v>Okay</v>
      </c>
    </row>
    <row r="582" spans="1:15" x14ac:dyDescent="0.3">
      <c r="A582">
        <v>31199</v>
      </c>
      <c r="B582" t="s">
        <v>14</v>
      </c>
      <c r="C582" t="s">
        <v>27</v>
      </c>
      <c r="D582">
        <v>357</v>
      </c>
      <c r="E582">
        <v>100</v>
      </c>
      <c r="F582">
        <v>171.96</v>
      </c>
      <c r="G582" t="s">
        <v>35</v>
      </c>
      <c r="H582" s="1">
        <v>45342</v>
      </c>
      <c r="I582" s="1">
        <v>45370</v>
      </c>
      <c r="J582" t="s">
        <v>37</v>
      </c>
      <c r="K582" t="b">
        <f>Table1[[#This Row],[CurrentStock]]&lt;Table1[[#This Row],[ReorderLevel]]</f>
        <v>0</v>
      </c>
      <c r="L582" s="9">
        <f>Table1[[#This Row],[CurrentStock]]*Table1[[#This Row],[UnitPrice]]</f>
        <v>61389.72</v>
      </c>
      <c r="M582" t="str">
        <f>IF(Table1[[#This Row],[ReorderLevel]]-Table1[[#This Row],[CurrentStock]]&gt;0,Table1[[#This Row],[ReorderLevel]]-Table1[[#This Row],[CurrentStock]],"")</f>
        <v/>
      </c>
      <c r="N582" t="str">
        <f>IF(Table1[[#This Row],[CurrentStock]]&gt;Table1[[#This Row],[ReorderLevel]]*3,"Over Stock","Okay")</f>
        <v>Over Stock</v>
      </c>
      <c r="O582" t="str">
        <f>IF(Table1[[#This Row],[CurrentStock]]&lt;Table1[[#This Row],[ReorderLevel]],"Reorder","Okay")</f>
        <v>Okay</v>
      </c>
    </row>
    <row r="583" spans="1:15" x14ac:dyDescent="0.3">
      <c r="A583">
        <v>19290</v>
      </c>
      <c r="B583" t="s">
        <v>18</v>
      </c>
      <c r="C583" t="s">
        <v>28</v>
      </c>
      <c r="D583">
        <v>117</v>
      </c>
      <c r="E583">
        <v>100</v>
      </c>
      <c r="F583">
        <v>169.02</v>
      </c>
      <c r="G583" t="s">
        <v>35</v>
      </c>
      <c r="H583" s="1">
        <v>45409</v>
      </c>
      <c r="I583" s="1">
        <v>45417</v>
      </c>
      <c r="J583" t="s">
        <v>38</v>
      </c>
      <c r="K583" t="b">
        <f>Table1[[#This Row],[CurrentStock]]&lt;Table1[[#This Row],[ReorderLevel]]</f>
        <v>0</v>
      </c>
      <c r="L583" s="9">
        <f>Table1[[#This Row],[CurrentStock]]*Table1[[#This Row],[UnitPrice]]</f>
        <v>19775.34</v>
      </c>
      <c r="M583" t="str">
        <f>IF(Table1[[#This Row],[ReorderLevel]]-Table1[[#This Row],[CurrentStock]]&gt;0,Table1[[#This Row],[ReorderLevel]]-Table1[[#This Row],[CurrentStock]],"")</f>
        <v/>
      </c>
      <c r="N583" t="str">
        <f>IF(Table1[[#This Row],[CurrentStock]]&gt;Table1[[#This Row],[ReorderLevel]]*3,"Over Stock","Okay")</f>
        <v>Okay</v>
      </c>
      <c r="O583" t="str">
        <f>IF(Table1[[#This Row],[CurrentStock]]&lt;Table1[[#This Row],[ReorderLevel]],"Reorder","Okay")</f>
        <v>Okay</v>
      </c>
    </row>
    <row r="584" spans="1:15" x14ac:dyDescent="0.3">
      <c r="A584">
        <v>92666</v>
      </c>
      <c r="B584" t="s">
        <v>25</v>
      </c>
      <c r="C584" t="s">
        <v>31</v>
      </c>
      <c r="D584">
        <v>347</v>
      </c>
      <c r="E584">
        <v>100</v>
      </c>
      <c r="F584">
        <v>277.48</v>
      </c>
      <c r="G584" t="s">
        <v>35</v>
      </c>
      <c r="H584" s="1">
        <v>45570</v>
      </c>
      <c r="I584" s="1">
        <v>45602</v>
      </c>
      <c r="J584" t="s">
        <v>39</v>
      </c>
      <c r="K584" t="b">
        <f>Table1[[#This Row],[CurrentStock]]&lt;Table1[[#This Row],[ReorderLevel]]</f>
        <v>0</v>
      </c>
      <c r="L584" s="9">
        <f>Table1[[#This Row],[CurrentStock]]*Table1[[#This Row],[UnitPrice]]</f>
        <v>96285.560000000012</v>
      </c>
      <c r="M584" t="str">
        <f>IF(Table1[[#This Row],[ReorderLevel]]-Table1[[#This Row],[CurrentStock]]&gt;0,Table1[[#This Row],[ReorderLevel]]-Table1[[#This Row],[CurrentStock]],"")</f>
        <v/>
      </c>
      <c r="N584" t="str">
        <f>IF(Table1[[#This Row],[CurrentStock]]&gt;Table1[[#This Row],[ReorderLevel]]*3,"Over Stock","Okay")</f>
        <v>Over Stock</v>
      </c>
      <c r="O584" t="str">
        <f>IF(Table1[[#This Row],[CurrentStock]]&lt;Table1[[#This Row],[ReorderLevel]],"Reorder","Okay")</f>
        <v>Okay</v>
      </c>
    </row>
    <row r="585" spans="1:15" x14ac:dyDescent="0.3">
      <c r="A585">
        <v>46386</v>
      </c>
      <c r="B585" t="s">
        <v>12</v>
      </c>
      <c r="C585" t="s">
        <v>28</v>
      </c>
      <c r="D585">
        <v>28</v>
      </c>
      <c r="E585">
        <v>40</v>
      </c>
      <c r="F585">
        <v>42.98</v>
      </c>
      <c r="G585" t="s">
        <v>34</v>
      </c>
      <c r="H585" s="1">
        <v>45561</v>
      </c>
      <c r="I585" s="1">
        <v>45579</v>
      </c>
      <c r="J585" t="s">
        <v>37</v>
      </c>
      <c r="K585" t="b">
        <f>Table1[[#This Row],[CurrentStock]]&lt;Table1[[#This Row],[ReorderLevel]]</f>
        <v>1</v>
      </c>
      <c r="L585" s="9">
        <f>Table1[[#This Row],[CurrentStock]]*Table1[[#This Row],[UnitPrice]]</f>
        <v>1203.4399999999998</v>
      </c>
      <c r="M585">
        <f>IF(Table1[[#This Row],[ReorderLevel]]-Table1[[#This Row],[CurrentStock]]&gt;0,Table1[[#This Row],[ReorderLevel]]-Table1[[#This Row],[CurrentStock]],"")</f>
        <v>12</v>
      </c>
      <c r="N585" t="str">
        <f>IF(Table1[[#This Row],[CurrentStock]]&gt;Table1[[#This Row],[ReorderLevel]]*3,"Over Stock","Okay")</f>
        <v>Okay</v>
      </c>
      <c r="O585" t="str">
        <f>IF(Table1[[#This Row],[CurrentStock]]&lt;Table1[[#This Row],[ReorderLevel]],"Reorder","Okay")</f>
        <v>Reorder</v>
      </c>
    </row>
    <row r="586" spans="1:15" x14ac:dyDescent="0.3">
      <c r="A586">
        <v>10946</v>
      </c>
      <c r="B586" t="s">
        <v>15</v>
      </c>
      <c r="C586" t="s">
        <v>29</v>
      </c>
      <c r="D586">
        <v>413</v>
      </c>
      <c r="E586">
        <v>50</v>
      </c>
      <c r="F586">
        <v>203.35</v>
      </c>
      <c r="G586" t="s">
        <v>33</v>
      </c>
      <c r="H586" s="1">
        <v>45370</v>
      </c>
      <c r="I586" s="1">
        <v>45399</v>
      </c>
      <c r="J586" t="s">
        <v>38</v>
      </c>
      <c r="K586" t="b">
        <f>Table1[[#This Row],[CurrentStock]]&lt;Table1[[#This Row],[ReorderLevel]]</f>
        <v>0</v>
      </c>
      <c r="L586" s="9">
        <f>Table1[[#This Row],[CurrentStock]]*Table1[[#This Row],[UnitPrice]]</f>
        <v>83983.55</v>
      </c>
      <c r="M586" t="str">
        <f>IF(Table1[[#This Row],[ReorderLevel]]-Table1[[#This Row],[CurrentStock]]&gt;0,Table1[[#This Row],[ReorderLevel]]-Table1[[#This Row],[CurrentStock]],"")</f>
        <v/>
      </c>
      <c r="N586" t="str">
        <f>IF(Table1[[#This Row],[CurrentStock]]&gt;Table1[[#This Row],[ReorderLevel]]*3,"Over Stock","Okay")</f>
        <v>Over Stock</v>
      </c>
      <c r="O586" t="str">
        <f>IF(Table1[[#This Row],[CurrentStock]]&lt;Table1[[#This Row],[ReorderLevel]],"Reorder","Okay")</f>
        <v>Okay</v>
      </c>
    </row>
    <row r="587" spans="1:15" x14ac:dyDescent="0.3">
      <c r="A587">
        <v>65512</v>
      </c>
      <c r="B587" t="s">
        <v>17</v>
      </c>
      <c r="C587" t="s">
        <v>30</v>
      </c>
      <c r="D587">
        <v>245</v>
      </c>
      <c r="E587">
        <v>50</v>
      </c>
      <c r="F587">
        <v>201.49</v>
      </c>
      <c r="G587" t="s">
        <v>33</v>
      </c>
      <c r="H587" s="1">
        <v>45611</v>
      </c>
      <c r="I587" s="1">
        <v>45638</v>
      </c>
      <c r="J587" t="s">
        <v>38</v>
      </c>
      <c r="K587" t="b">
        <f>Table1[[#This Row],[CurrentStock]]&lt;Table1[[#This Row],[ReorderLevel]]</f>
        <v>0</v>
      </c>
      <c r="L587" s="9">
        <f>Table1[[#This Row],[CurrentStock]]*Table1[[#This Row],[UnitPrice]]</f>
        <v>49365.05</v>
      </c>
      <c r="M587" t="str">
        <f>IF(Table1[[#This Row],[ReorderLevel]]-Table1[[#This Row],[CurrentStock]]&gt;0,Table1[[#This Row],[ReorderLevel]]-Table1[[#This Row],[CurrentStock]],"")</f>
        <v/>
      </c>
      <c r="N587" t="str">
        <f>IF(Table1[[#This Row],[CurrentStock]]&gt;Table1[[#This Row],[ReorderLevel]]*3,"Over Stock","Okay")</f>
        <v>Over Stock</v>
      </c>
      <c r="O587" t="str">
        <f>IF(Table1[[#This Row],[CurrentStock]]&lt;Table1[[#This Row],[ReorderLevel]],"Reorder","Okay")</f>
        <v>Okay</v>
      </c>
    </row>
    <row r="588" spans="1:15" x14ac:dyDescent="0.3">
      <c r="A588">
        <v>55875</v>
      </c>
      <c r="B588" t="s">
        <v>12</v>
      </c>
      <c r="C588" t="s">
        <v>28</v>
      </c>
      <c r="D588">
        <v>496</v>
      </c>
      <c r="E588">
        <v>20</v>
      </c>
      <c r="F588">
        <v>94.36</v>
      </c>
      <c r="G588" t="s">
        <v>35</v>
      </c>
      <c r="H588" s="1">
        <v>45597</v>
      </c>
      <c r="I588" s="1">
        <v>45628</v>
      </c>
      <c r="J588" t="s">
        <v>37</v>
      </c>
      <c r="K588" t="b">
        <f>Table1[[#This Row],[CurrentStock]]&lt;Table1[[#This Row],[ReorderLevel]]</f>
        <v>0</v>
      </c>
      <c r="L588" s="9">
        <f>Table1[[#This Row],[CurrentStock]]*Table1[[#This Row],[UnitPrice]]</f>
        <v>46802.559999999998</v>
      </c>
      <c r="M588" t="str">
        <f>IF(Table1[[#This Row],[ReorderLevel]]-Table1[[#This Row],[CurrentStock]]&gt;0,Table1[[#This Row],[ReorderLevel]]-Table1[[#This Row],[CurrentStock]],"")</f>
        <v/>
      </c>
      <c r="N588" t="str">
        <f>IF(Table1[[#This Row],[CurrentStock]]&gt;Table1[[#This Row],[ReorderLevel]]*3,"Over Stock","Okay")</f>
        <v>Over Stock</v>
      </c>
      <c r="O588" t="str">
        <f>IF(Table1[[#This Row],[CurrentStock]]&lt;Table1[[#This Row],[ReorderLevel]],"Reorder","Okay")</f>
        <v>Okay</v>
      </c>
    </row>
    <row r="589" spans="1:15" x14ac:dyDescent="0.3">
      <c r="A589">
        <v>60435</v>
      </c>
      <c r="B589" t="s">
        <v>10</v>
      </c>
      <c r="C589" t="s">
        <v>27</v>
      </c>
      <c r="D589">
        <v>187</v>
      </c>
      <c r="E589">
        <v>30</v>
      </c>
      <c r="F589">
        <v>23.85</v>
      </c>
      <c r="G589" t="s">
        <v>35</v>
      </c>
      <c r="H589" s="1">
        <v>45423</v>
      </c>
      <c r="I589" s="1">
        <v>45453</v>
      </c>
      <c r="J589" t="s">
        <v>38</v>
      </c>
      <c r="K589" t="b">
        <f>Table1[[#This Row],[CurrentStock]]&lt;Table1[[#This Row],[ReorderLevel]]</f>
        <v>0</v>
      </c>
      <c r="L589" s="9">
        <f>Table1[[#This Row],[CurrentStock]]*Table1[[#This Row],[UnitPrice]]</f>
        <v>4459.95</v>
      </c>
      <c r="M589" t="str">
        <f>IF(Table1[[#This Row],[ReorderLevel]]-Table1[[#This Row],[CurrentStock]]&gt;0,Table1[[#This Row],[ReorderLevel]]-Table1[[#This Row],[CurrentStock]],"")</f>
        <v/>
      </c>
      <c r="N589" t="str">
        <f>IF(Table1[[#This Row],[CurrentStock]]&gt;Table1[[#This Row],[ReorderLevel]]*3,"Over Stock","Okay")</f>
        <v>Over Stock</v>
      </c>
      <c r="O589" t="str">
        <f>IF(Table1[[#This Row],[CurrentStock]]&lt;Table1[[#This Row],[ReorderLevel]],"Reorder","Okay")</f>
        <v>Okay</v>
      </c>
    </row>
    <row r="590" spans="1:15" x14ac:dyDescent="0.3">
      <c r="A590">
        <v>71816</v>
      </c>
      <c r="B590" t="s">
        <v>24</v>
      </c>
      <c r="C590" t="s">
        <v>31</v>
      </c>
      <c r="D590">
        <v>188</v>
      </c>
      <c r="E590">
        <v>40</v>
      </c>
      <c r="F590">
        <v>62.66</v>
      </c>
      <c r="G590" t="s">
        <v>33</v>
      </c>
      <c r="H590" s="1">
        <v>45583</v>
      </c>
      <c r="I590" s="1">
        <v>45614</v>
      </c>
      <c r="J590" t="s">
        <v>37</v>
      </c>
      <c r="K590" t="b">
        <f>Table1[[#This Row],[CurrentStock]]&lt;Table1[[#This Row],[ReorderLevel]]</f>
        <v>0</v>
      </c>
      <c r="L590" s="9">
        <f>Table1[[#This Row],[CurrentStock]]*Table1[[#This Row],[UnitPrice]]</f>
        <v>11780.08</v>
      </c>
      <c r="M590" t="str">
        <f>IF(Table1[[#This Row],[ReorderLevel]]-Table1[[#This Row],[CurrentStock]]&gt;0,Table1[[#This Row],[ReorderLevel]]-Table1[[#This Row],[CurrentStock]],"")</f>
        <v/>
      </c>
      <c r="N590" t="str">
        <f>IF(Table1[[#This Row],[CurrentStock]]&gt;Table1[[#This Row],[ReorderLevel]]*3,"Over Stock","Okay")</f>
        <v>Over Stock</v>
      </c>
      <c r="O590" t="str">
        <f>IF(Table1[[#This Row],[CurrentStock]]&lt;Table1[[#This Row],[ReorderLevel]],"Reorder","Okay")</f>
        <v>Okay</v>
      </c>
    </row>
    <row r="591" spans="1:15" x14ac:dyDescent="0.3">
      <c r="A591">
        <v>34495</v>
      </c>
      <c r="B591" t="s">
        <v>13</v>
      </c>
      <c r="C591" t="s">
        <v>29</v>
      </c>
      <c r="D591">
        <v>250</v>
      </c>
      <c r="E591">
        <v>40</v>
      </c>
      <c r="F591">
        <v>188.92</v>
      </c>
      <c r="G591" t="s">
        <v>35</v>
      </c>
      <c r="H591" s="1">
        <v>45308</v>
      </c>
      <c r="I591" s="1">
        <v>45338</v>
      </c>
      <c r="J591" t="s">
        <v>39</v>
      </c>
      <c r="K591" t="b">
        <f>Table1[[#This Row],[CurrentStock]]&lt;Table1[[#This Row],[ReorderLevel]]</f>
        <v>0</v>
      </c>
      <c r="L591" s="9">
        <f>Table1[[#This Row],[CurrentStock]]*Table1[[#This Row],[UnitPrice]]</f>
        <v>47230</v>
      </c>
      <c r="M591" t="str">
        <f>IF(Table1[[#This Row],[ReorderLevel]]-Table1[[#This Row],[CurrentStock]]&gt;0,Table1[[#This Row],[ReorderLevel]]-Table1[[#This Row],[CurrentStock]],"")</f>
        <v/>
      </c>
      <c r="N591" t="str">
        <f>IF(Table1[[#This Row],[CurrentStock]]&gt;Table1[[#This Row],[ReorderLevel]]*3,"Over Stock","Okay")</f>
        <v>Over Stock</v>
      </c>
      <c r="O591" t="str">
        <f>IF(Table1[[#This Row],[CurrentStock]]&lt;Table1[[#This Row],[ReorderLevel]],"Reorder","Okay")</f>
        <v>Okay</v>
      </c>
    </row>
    <row r="592" spans="1:15" x14ac:dyDescent="0.3">
      <c r="A592">
        <v>10692</v>
      </c>
      <c r="B592" t="s">
        <v>15</v>
      </c>
      <c r="C592" t="s">
        <v>29</v>
      </c>
      <c r="D592">
        <v>107</v>
      </c>
      <c r="E592">
        <v>50</v>
      </c>
      <c r="F592">
        <v>415.18</v>
      </c>
      <c r="G592" t="s">
        <v>36</v>
      </c>
      <c r="H592" s="1">
        <v>45309</v>
      </c>
      <c r="I592" s="1">
        <v>45339</v>
      </c>
      <c r="J592" t="s">
        <v>37</v>
      </c>
      <c r="K592" t="b">
        <f>Table1[[#This Row],[CurrentStock]]&lt;Table1[[#This Row],[ReorderLevel]]</f>
        <v>0</v>
      </c>
      <c r="L592" s="9">
        <f>Table1[[#This Row],[CurrentStock]]*Table1[[#This Row],[UnitPrice]]</f>
        <v>44424.26</v>
      </c>
      <c r="M592" t="str">
        <f>IF(Table1[[#This Row],[ReorderLevel]]-Table1[[#This Row],[CurrentStock]]&gt;0,Table1[[#This Row],[ReorderLevel]]-Table1[[#This Row],[CurrentStock]],"")</f>
        <v/>
      </c>
      <c r="N592" t="str">
        <f>IF(Table1[[#This Row],[CurrentStock]]&gt;Table1[[#This Row],[ReorderLevel]]*3,"Over Stock","Okay")</f>
        <v>Okay</v>
      </c>
      <c r="O592" t="str">
        <f>IF(Table1[[#This Row],[CurrentStock]]&lt;Table1[[#This Row],[ReorderLevel]],"Reorder","Okay")</f>
        <v>Okay</v>
      </c>
    </row>
    <row r="593" spans="1:15" x14ac:dyDescent="0.3">
      <c r="A593">
        <v>87463</v>
      </c>
      <c r="B593" t="s">
        <v>21</v>
      </c>
      <c r="C593" t="s">
        <v>31</v>
      </c>
      <c r="D593">
        <v>86</v>
      </c>
      <c r="E593">
        <v>30</v>
      </c>
      <c r="F593">
        <v>92.69</v>
      </c>
      <c r="G593" t="s">
        <v>32</v>
      </c>
      <c r="H593" s="1">
        <v>45361</v>
      </c>
      <c r="I593" s="1">
        <v>45373</v>
      </c>
      <c r="J593" t="s">
        <v>37</v>
      </c>
      <c r="K593" t="b">
        <f>Table1[[#This Row],[CurrentStock]]&lt;Table1[[#This Row],[ReorderLevel]]</f>
        <v>0</v>
      </c>
      <c r="L593" s="9">
        <f>Table1[[#This Row],[CurrentStock]]*Table1[[#This Row],[UnitPrice]]</f>
        <v>7971.34</v>
      </c>
      <c r="M593" t="str">
        <f>IF(Table1[[#This Row],[ReorderLevel]]-Table1[[#This Row],[CurrentStock]]&gt;0,Table1[[#This Row],[ReorderLevel]]-Table1[[#This Row],[CurrentStock]],"")</f>
        <v/>
      </c>
      <c r="N593" t="str">
        <f>IF(Table1[[#This Row],[CurrentStock]]&gt;Table1[[#This Row],[ReorderLevel]]*3,"Over Stock","Okay")</f>
        <v>Okay</v>
      </c>
      <c r="O593" t="str">
        <f>IF(Table1[[#This Row],[CurrentStock]]&lt;Table1[[#This Row],[ReorderLevel]],"Reorder","Okay")</f>
        <v>Okay</v>
      </c>
    </row>
    <row r="594" spans="1:15" x14ac:dyDescent="0.3">
      <c r="A594">
        <v>66548</v>
      </c>
      <c r="B594" t="s">
        <v>25</v>
      </c>
      <c r="C594" t="s">
        <v>31</v>
      </c>
      <c r="D594">
        <v>253</v>
      </c>
      <c r="E594">
        <v>80</v>
      </c>
      <c r="F594">
        <v>10.19</v>
      </c>
      <c r="G594" t="s">
        <v>34</v>
      </c>
      <c r="H594" s="1">
        <v>45324</v>
      </c>
      <c r="I594" s="1">
        <v>45338</v>
      </c>
      <c r="J594" t="s">
        <v>39</v>
      </c>
      <c r="K594" t="b">
        <f>Table1[[#This Row],[CurrentStock]]&lt;Table1[[#This Row],[ReorderLevel]]</f>
        <v>0</v>
      </c>
      <c r="L594" s="9">
        <f>Table1[[#This Row],[CurrentStock]]*Table1[[#This Row],[UnitPrice]]</f>
        <v>2578.0699999999997</v>
      </c>
      <c r="M594" t="str">
        <f>IF(Table1[[#This Row],[ReorderLevel]]-Table1[[#This Row],[CurrentStock]]&gt;0,Table1[[#This Row],[ReorderLevel]]-Table1[[#This Row],[CurrentStock]],"")</f>
        <v/>
      </c>
      <c r="N594" t="str">
        <f>IF(Table1[[#This Row],[CurrentStock]]&gt;Table1[[#This Row],[ReorderLevel]]*3,"Over Stock","Okay")</f>
        <v>Over Stock</v>
      </c>
      <c r="O594" t="str">
        <f>IF(Table1[[#This Row],[CurrentStock]]&lt;Table1[[#This Row],[ReorderLevel]],"Reorder","Okay")</f>
        <v>Okay</v>
      </c>
    </row>
    <row r="595" spans="1:15" x14ac:dyDescent="0.3">
      <c r="A595">
        <v>11184</v>
      </c>
      <c r="B595" t="s">
        <v>13</v>
      </c>
      <c r="C595" t="s">
        <v>29</v>
      </c>
      <c r="D595">
        <v>392</v>
      </c>
      <c r="E595">
        <v>100</v>
      </c>
      <c r="F595">
        <v>47.64</v>
      </c>
      <c r="G595" t="s">
        <v>32</v>
      </c>
      <c r="H595" s="1">
        <v>45538</v>
      </c>
      <c r="I595" s="1">
        <v>45571</v>
      </c>
      <c r="J595" t="s">
        <v>39</v>
      </c>
      <c r="K595" t="b">
        <f>Table1[[#This Row],[CurrentStock]]&lt;Table1[[#This Row],[ReorderLevel]]</f>
        <v>0</v>
      </c>
      <c r="L595" s="9">
        <f>Table1[[#This Row],[CurrentStock]]*Table1[[#This Row],[UnitPrice]]</f>
        <v>18674.88</v>
      </c>
      <c r="M595" t="str">
        <f>IF(Table1[[#This Row],[ReorderLevel]]-Table1[[#This Row],[CurrentStock]]&gt;0,Table1[[#This Row],[ReorderLevel]]-Table1[[#This Row],[CurrentStock]],"")</f>
        <v/>
      </c>
      <c r="N595" t="str">
        <f>IF(Table1[[#This Row],[CurrentStock]]&gt;Table1[[#This Row],[ReorderLevel]]*3,"Over Stock","Okay")</f>
        <v>Over Stock</v>
      </c>
      <c r="O595" t="str">
        <f>IF(Table1[[#This Row],[CurrentStock]]&lt;Table1[[#This Row],[ReorderLevel]],"Reorder","Okay")</f>
        <v>Okay</v>
      </c>
    </row>
    <row r="596" spans="1:15" x14ac:dyDescent="0.3">
      <c r="A596">
        <v>28690</v>
      </c>
      <c r="B596" t="s">
        <v>16</v>
      </c>
      <c r="C596" t="s">
        <v>30</v>
      </c>
      <c r="D596">
        <v>257</v>
      </c>
      <c r="E596">
        <v>50</v>
      </c>
      <c r="F596">
        <v>16.93</v>
      </c>
      <c r="G596" t="s">
        <v>32</v>
      </c>
      <c r="H596" s="1">
        <v>45463</v>
      </c>
      <c r="I596" s="1">
        <v>45485</v>
      </c>
      <c r="J596" t="s">
        <v>39</v>
      </c>
      <c r="K596" t="b">
        <f>Table1[[#This Row],[CurrentStock]]&lt;Table1[[#This Row],[ReorderLevel]]</f>
        <v>0</v>
      </c>
      <c r="L596" s="9">
        <f>Table1[[#This Row],[CurrentStock]]*Table1[[#This Row],[UnitPrice]]</f>
        <v>4351.01</v>
      </c>
      <c r="M596" t="str">
        <f>IF(Table1[[#This Row],[ReorderLevel]]-Table1[[#This Row],[CurrentStock]]&gt;0,Table1[[#This Row],[ReorderLevel]]-Table1[[#This Row],[CurrentStock]],"")</f>
        <v/>
      </c>
      <c r="N596" t="str">
        <f>IF(Table1[[#This Row],[CurrentStock]]&gt;Table1[[#This Row],[ReorderLevel]]*3,"Over Stock","Okay")</f>
        <v>Over Stock</v>
      </c>
      <c r="O596" t="str">
        <f>IF(Table1[[#This Row],[CurrentStock]]&lt;Table1[[#This Row],[ReorderLevel]],"Reorder","Okay")</f>
        <v>Okay</v>
      </c>
    </row>
    <row r="597" spans="1:15" x14ac:dyDescent="0.3">
      <c r="A597">
        <v>80211</v>
      </c>
      <c r="B597" t="s">
        <v>14</v>
      </c>
      <c r="C597" t="s">
        <v>27</v>
      </c>
      <c r="D597">
        <v>420</v>
      </c>
      <c r="E597">
        <v>30</v>
      </c>
      <c r="F597">
        <v>224.08</v>
      </c>
      <c r="G597" t="s">
        <v>32</v>
      </c>
      <c r="H597" s="1">
        <v>45386</v>
      </c>
      <c r="I597" s="1">
        <v>45401</v>
      </c>
      <c r="J597" t="s">
        <v>39</v>
      </c>
      <c r="K597" t="b">
        <f>Table1[[#This Row],[CurrentStock]]&lt;Table1[[#This Row],[ReorderLevel]]</f>
        <v>0</v>
      </c>
      <c r="L597" s="9">
        <f>Table1[[#This Row],[CurrentStock]]*Table1[[#This Row],[UnitPrice]]</f>
        <v>94113.600000000006</v>
      </c>
      <c r="M597" t="str">
        <f>IF(Table1[[#This Row],[ReorderLevel]]-Table1[[#This Row],[CurrentStock]]&gt;0,Table1[[#This Row],[ReorderLevel]]-Table1[[#This Row],[CurrentStock]],"")</f>
        <v/>
      </c>
      <c r="N597" t="str">
        <f>IF(Table1[[#This Row],[CurrentStock]]&gt;Table1[[#This Row],[ReorderLevel]]*3,"Over Stock","Okay")</f>
        <v>Over Stock</v>
      </c>
      <c r="O597" t="str">
        <f>IF(Table1[[#This Row],[CurrentStock]]&lt;Table1[[#This Row],[ReorderLevel]],"Reorder","Okay")</f>
        <v>Okay</v>
      </c>
    </row>
    <row r="598" spans="1:15" x14ac:dyDescent="0.3">
      <c r="A598">
        <v>62248</v>
      </c>
      <c r="B598" t="s">
        <v>10</v>
      </c>
      <c r="C598" t="s">
        <v>27</v>
      </c>
      <c r="D598">
        <v>97</v>
      </c>
      <c r="E598">
        <v>80</v>
      </c>
      <c r="F598">
        <v>38.71</v>
      </c>
      <c r="G598" t="s">
        <v>35</v>
      </c>
      <c r="H598" s="1">
        <v>45463</v>
      </c>
      <c r="I598" s="1">
        <v>45473</v>
      </c>
      <c r="J598" t="s">
        <v>37</v>
      </c>
      <c r="K598" t="b">
        <f>Table1[[#This Row],[CurrentStock]]&lt;Table1[[#This Row],[ReorderLevel]]</f>
        <v>0</v>
      </c>
      <c r="L598" s="9">
        <f>Table1[[#This Row],[CurrentStock]]*Table1[[#This Row],[UnitPrice]]</f>
        <v>3754.87</v>
      </c>
      <c r="M598" t="str">
        <f>IF(Table1[[#This Row],[ReorderLevel]]-Table1[[#This Row],[CurrentStock]]&gt;0,Table1[[#This Row],[ReorderLevel]]-Table1[[#This Row],[CurrentStock]],"")</f>
        <v/>
      </c>
      <c r="N598" t="str">
        <f>IF(Table1[[#This Row],[CurrentStock]]&gt;Table1[[#This Row],[ReorderLevel]]*3,"Over Stock","Okay")</f>
        <v>Okay</v>
      </c>
      <c r="O598" t="str">
        <f>IF(Table1[[#This Row],[CurrentStock]]&lt;Table1[[#This Row],[ReorderLevel]],"Reorder","Okay")</f>
        <v>Okay</v>
      </c>
    </row>
    <row r="599" spans="1:15" x14ac:dyDescent="0.3">
      <c r="A599">
        <v>82095</v>
      </c>
      <c r="B599" t="s">
        <v>13</v>
      </c>
      <c r="C599" t="s">
        <v>29</v>
      </c>
      <c r="D599">
        <v>397</v>
      </c>
      <c r="E599">
        <v>150</v>
      </c>
      <c r="F599">
        <v>304.52</v>
      </c>
      <c r="G599" t="s">
        <v>36</v>
      </c>
      <c r="H599" s="1">
        <v>45511</v>
      </c>
      <c r="I599" s="1">
        <v>45524</v>
      </c>
      <c r="J599" t="s">
        <v>38</v>
      </c>
      <c r="K599" t="b">
        <f>Table1[[#This Row],[CurrentStock]]&lt;Table1[[#This Row],[ReorderLevel]]</f>
        <v>0</v>
      </c>
      <c r="L599" s="9">
        <f>Table1[[#This Row],[CurrentStock]]*Table1[[#This Row],[UnitPrice]]</f>
        <v>120894.43999999999</v>
      </c>
      <c r="M599" t="str">
        <f>IF(Table1[[#This Row],[ReorderLevel]]-Table1[[#This Row],[CurrentStock]]&gt;0,Table1[[#This Row],[ReorderLevel]]-Table1[[#This Row],[CurrentStock]],"")</f>
        <v/>
      </c>
      <c r="N599" t="str">
        <f>IF(Table1[[#This Row],[CurrentStock]]&gt;Table1[[#This Row],[ReorderLevel]]*3,"Over Stock","Okay")</f>
        <v>Okay</v>
      </c>
      <c r="O599" t="str">
        <f>IF(Table1[[#This Row],[CurrentStock]]&lt;Table1[[#This Row],[ReorderLevel]],"Reorder","Okay")</f>
        <v>Okay</v>
      </c>
    </row>
    <row r="600" spans="1:15" x14ac:dyDescent="0.3">
      <c r="A600">
        <v>10924</v>
      </c>
      <c r="B600" t="s">
        <v>23</v>
      </c>
      <c r="C600" t="s">
        <v>30</v>
      </c>
      <c r="D600">
        <v>52</v>
      </c>
      <c r="E600">
        <v>40</v>
      </c>
      <c r="F600">
        <v>117.25</v>
      </c>
      <c r="G600" t="s">
        <v>32</v>
      </c>
      <c r="H600" s="1">
        <v>45586</v>
      </c>
      <c r="I600" s="1">
        <v>45605</v>
      </c>
      <c r="J600" t="s">
        <v>38</v>
      </c>
      <c r="K600" t="b">
        <f>Table1[[#This Row],[CurrentStock]]&lt;Table1[[#This Row],[ReorderLevel]]</f>
        <v>0</v>
      </c>
      <c r="L600" s="9">
        <f>Table1[[#This Row],[CurrentStock]]*Table1[[#This Row],[UnitPrice]]</f>
        <v>6097</v>
      </c>
      <c r="M600" t="str">
        <f>IF(Table1[[#This Row],[ReorderLevel]]-Table1[[#This Row],[CurrentStock]]&gt;0,Table1[[#This Row],[ReorderLevel]]-Table1[[#This Row],[CurrentStock]],"")</f>
        <v/>
      </c>
      <c r="N600" t="str">
        <f>IF(Table1[[#This Row],[CurrentStock]]&gt;Table1[[#This Row],[ReorderLevel]]*3,"Over Stock","Okay")</f>
        <v>Okay</v>
      </c>
      <c r="O600" t="str">
        <f>IF(Table1[[#This Row],[CurrentStock]]&lt;Table1[[#This Row],[ReorderLevel]],"Reorder","Okay")</f>
        <v>Okay</v>
      </c>
    </row>
    <row r="601" spans="1:15" x14ac:dyDescent="0.3">
      <c r="A601">
        <v>15515</v>
      </c>
      <c r="B601" t="s">
        <v>13</v>
      </c>
      <c r="C601" t="s">
        <v>29</v>
      </c>
      <c r="D601">
        <v>265</v>
      </c>
      <c r="E601">
        <v>50</v>
      </c>
      <c r="F601">
        <v>125.86</v>
      </c>
      <c r="G601" t="s">
        <v>36</v>
      </c>
      <c r="H601" s="1">
        <v>45326</v>
      </c>
      <c r="I601" s="1">
        <v>45336</v>
      </c>
      <c r="J601" t="s">
        <v>37</v>
      </c>
      <c r="K601" t="b">
        <f>Table1[[#This Row],[CurrentStock]]&lt;Table1[[#This Row],[ReorderLevel]]</f>
        <v>0</v>
      </c>
      <c r="L601" s="9">
        <f>Table1[[#This Row],[CurrentStock]]*Table1[[#This Row],[UnitPrice]]</f>
        <v>33352.9</v>
      </c>
      <c r="M601" t="str">
        <f>IF(Table1[[#This Row],[ReorderLevel]]-Table1[[#This Row],[CurrentStock]]&gt;0,Table1[[#This Row],[ReorderLevel]]-Table1[[#This Row],[CurrentStock]],"")</f>
        <v/>
      </c>
      <c r="N601" t="str">
        <f>IF(Table1[[#This Row],[CurrentStock]]&gt;Table1[[#This Row],[ReorderLevel]]*3,"Over Stock","Okay")</f>
        <v>Over Stock</v>
      </c>
      <c r="O601" t="str">
        <f>IF(Table1[[#This Row],[CurrentStock]]&lt;Table1[[#This Row],[ReorderLevel]],"Reorder","Okay")</f>
        <v>Okay</v>
      </c>
    </row>
    <row r="602" spans="1:15" x14ac:dyDescent="0.3">
      <c r="A602">
        <v>52674</v>
      </c>
      <c r="B602" t="s">
        <v>13</v>
      </c>
      <c r="C602" t="s">
        <v>29</v>
      </c>
      <c r="D602">
        <v>391</v>
      </c>
      <c r="E602">
        <v>150</v>
      </c>
      <c r="F602">
        <v>101.11</v>
      </c>
      <c r="G602" t="s">
        <v>36</v>
      </c>
      <c r="H602" s="1">
        <v>45466</v>
      </c>
      <c r="I602" s="1">
        <v>45474</v>
      </c>
      <c r="J602" t="s">
        <v>38</v>
      </c>
      <c r="K602" t="b">
        <f>Table1[[#This Row],[CurrentStock]]&lt;Table1[[#This Row],[ReorderLevel]]</f>
        <v>0</v>
      </c>
      <c r="L602" s="9">
        <f>Table1[[#This Row],[CurrentStock]]*Table1[[#This Row],[UnitPrice]]</f>
        <v>39534.01</v>
      </c>
      <c r="M602" t="str">
        <f>IF(Table1[[#This Row],[ReorderLevel]]-Table1[[#This Row],[CurrentStock]]&gt;0,Table1[[#This Row],[ReorderLevel]]-Table1[[#This Row],[CurrentStock]],"")</f>
        <v/>
      </c>
      <c r="N602" t="str">
        <f>IF(Table1[[#This Row],[CurrentStock]]&gt;Table1[[#This Row],[ReorderLevel]]*3,"Over Stock","Okay")</f>
        <v>Okay</v>
      </c>
      <c r="O602" t="str">
        <f>IF(Table1[[#This Row],[CurrentStock]]&lt;Table1[[#This Row],[ReorderLevel]],"Reorder","Okay")</f>
        <v>Okay</v>
      </c>
    </row>
    <row r="603" spans="1:15" x14ac:dyDescent="0.3">
      <c r="A603">
        <v>66652</v>
      </c>
      <c r="B603" t="s">
        <v>17</v>
      </c>
      <c r="C603" t="s">
        <v>30</v>
      </c>
      <c r="D603">
        <v>342</v>
      </c>
      <c r="E603">
        <v>80</v>
      </c>
      <c r="F603">
        <v>497.32</v>
      </c>
      <c r="G603" t="s">
        <v>36</v>
      </c>
      <c r="H603" s="1">
        <v>45300</v>
      </c>
      <c r="I603" s="1">
        <v>45318</v>
      </c>
      <c r="J603" t="s">
        <v>37</v>
      </c>
      <c r="K603" t="b">
        <f>Table1[[#This Row],[CurrentStock]]&lt;Table1[[#This Row],[ReorderLevel]]</f>
        <v>0</v>
      </c>
      <c r="L603" s="9">
        <f>Table1[[#This Row],[CurrentStock]]*Table1[[#This Row],[UnitPrice]]</f>
        <v>170083.44</v>
      </c>
      <c r="M603" t="str">
        <f>IF(Table1[[#This Row],[ReorderLevel]]-Table1[[#This Row],[CurrentStock]]&gt;0,Table1[[#This Row],[ReorderLevel]]-Table1[[#This Row],[CurrentStock]],"")</f>
        <v/>
      </c>
      <c r="N603" t="str">
        <f>IF(Table1[[#This Row],[CurrentStock]]&gt;Table1[[#This Row],[ReorderLevel]]*3,"Over Stock","Okay")</f>
        <v>Over Stock</v>
      </c>
      <c r="O603" t="str">
        <f>IF(Table1[[#This Row],[CurrentStock]]&lt;Table1[[#This Row],[ReorderLevel]],"Reorder","Okay")</f>
        <v>Okay</v>
      </c>
    </row>
    <row r="604" spans="1:15" x14ac:dyDescent="0.3">
      <c r="A604">
        <v>85242</v>
      </c>
      <c r="B604" t="s">
        <v>24</v>
      </c>
      <c r="C604" t="s">
        <v>31</v>
      </c>
      <c r="D604">
        <v>277</v>
      </c>
      <c r="E604">
        <v>20</v>
      </c>
      <c r="F604">
        <v>324.56</v>
      </c>
      <c r="G604" t="s">
        <v>35</v>
      </c>
      <c r="H604" s="1">
        <v>45292</v>
      </c>
      <c r="I604" s="1">
        <v>45306</v>
      </c>
      <c r="J604" t="s">
        <v>37</v>
      </c>
      <c r="K604" t="b">
        <f>Table1[[#This Row],[CurrentStock]]&lt;Table1[[#This Row],[ReorderLevel]]</f>
        <v>0</v>
      </c>
      <c r="L604" s="9">
        <f>Table1[[#This Row],[CurrentStock]]*Table1[[#This Row],[UnitPrice]]</f>
        <v>89903.12</v>
      </c>
      <c r="M604" t="str">
        <f>IF(Table1[[#This Row],[ReorderLevel]]-Table1[[#This Row],[CurrentStock]]&gt;0,Table1[[#This Row],[ReorderLevel]]-Table1[[#This Row],[CurrentStock]],"")</f>
        <v/>
      </c>
      <c r="N604" t="str">
        <f>IF(Table1[[#This Row],[CurrentStock]]&gt;Table1[[#This Row],[ReorderLevel]]*3,"Over Stock","Okay")</f>
        <v>Over Stock</v>
      </c>
      <c r="O604" t="str">
        <f>IF(Table1[[#This Row],[CurrentStock]]&lt;Table1[[#This Row],[ReorderLevel]],"Reorder","Okay")</f>
        <v>Okay</v>
      </c>
    </row>
    <row r="605" spans="1:15" x14ac:dyDescent="0.3">
      <c r="A605">
        <v>24506</v>
      </c>
      <c r="B605" t="s">
        <v>24</v>
      </c>
      <c r="C605" t="s">
        <v>31</v>
      </c>
      <c r="D605">
        <v>464</v>
      </c>
      <c r="E605">
        <v>50</v>
      </c>
      <c r="F605">
        <v>66.03</v>
      </c>
      <c r="G605" t="s">
        <v>36</v>
      </c>
      <c r="H605" s="1">
        <v>45625</v>
      </c>
      <c r="I605" s="1">
        <v>45652</v>
      </c>
      <c r="J605" t="s">
        <v>38</v>
      </c>
      <c r="K605" t="b">
        <f>Table1[[#This Row],[CurrentStock]]&lt;Table1[[#This Row],[ReorderLevel]]</f>
        <v>0</v>
      </c>
      <c r="L605" s="9">
        <f>Table1[[#This Row],[CurrentStock]]*Table1[[#This Row],[UnitPrice]]</f>
        <v>30637.920000000002</v>
      </c>
      <c r="M605" t="str">
        <f>IF(Table1[[#This Row],[ReorderLevel]]-Table1[[#This Row],[CurrentStock]]&gt;0,Table1[[#This Row],[ReorderLevel]]-Table1[[#This Row],[CurrentStock]],"")</f>
        <v/>
      </c>
      <c r="N605" t="str">
        <f>IF(Table1[[#This Row],[CurrentStock]]&gt;Table1[[#This Row],[ReorderLevel]]*3,"Over Stock","Okay")</f>
        <v>Over Stock</v>
      </c>
      <c r="O605" t="str">
        <f>IF(Table1[[#This Row],[CurrentStock]]&lt;Table1[[#This Row],[ReorderLevel]],"Reorder","Okay")</f>
        <v>Okay</v>
      </c>
    </row>
    <row r="606" spans="1:15" x14ac:dyDescent="0.3">
      <c r="A606">
        <v>38091</v>
      </c>
      <c r="B606" t="s">
        <v>12</v>
      </c>
      <c r="C606" t="s">
        <v>28</v>
      </c>
      <c r="D606">
        <v>189</v>
      </c>
      <c r="E606">
        <v>80</v>
      </c>
      <c r="F606">
        <v>50.11</v>
      </c>
      <c r="G606" t="s">
        <v>35</v>
      </c>
      <c r="H606" s="1">
        <v>45575</v>
      </c>
      <c r="I606" s="1">
        <v>45597</v>
      </c>
      <c r="J606" t="s">
        <v>38</v>
      </c>
      <c r="K606" t="b">
        <f>Table1[[#This Row],[CurrentStock]]&lt;Table1[[#This Row],[ReorderLevel]]</f>
        <v>0</v>
      </c>
      <c r="L606" s="9">
        <f>Table1[[#This Row],[CurrentStock]]*Table1[[#This Row],[UnitPrice]]</f>
        <v>9470.7899999999991</v>
      </c>
      <c r="M606" t="str">
        <f>IF(Table1[[#This Row],[ReorderLevel]]-Table1[[#This Row],[CurrentStock]]&gt;0,Table1[[#This Row],[ReorderLevel]]-Table1[[#This Row],[CurrentStock]],"")</f>
        <v/>
      </c>
      <c r="N606" t="str">
        <f>IF(Table1[[#This Row],[CurrentStock]]&gt;Table1[[#This Row],[ReorderLevel]]*3,"Over Stock","Okay")</f>
        <v>Okay</v>
      </c>
      <c r="O606" t="str">
        <f>IF(Table1[[#This Row],[CurrentStock]]&lt;Table1[[#This Row],[ReorderLevel]],"Reorder","Okay")</f>
        <v>Okay</v>
      </c>
    </row>
    <row r="607" spans="1:15" x14ac:dyDescent="0.3">
      <c r="A607">
        <v>77567</v>
      </c>
      <c r="B607" t="s">
        <v>13</v>
      </c>
      <c r="C607" t="s">
        <v>29</v>
      </c>
      <c r="D607">
        <v>136</v>
      </c>
      <c r="E607">
        <v>50</v>
      </c>
      <c r="F607">
        <v>291.91000000000003</v>
      </c>
      <c r="G607" t="s">
        <v>32</v>
      </c>
      <c r="H607" s="1">
        <v>45359</v>
      </c>
      <c r="I607" s="1">
        <v>45397</v>
      </c>
      <c r="J607" t="s">
        <v>39</v>
      </c>
      <c r="K607" t="b">
        <f>Table1[[#This Row],[CurrentStock]]&lt;Table1[[#This Row],[ReorderLevel]]</f>
        <v>0</v>
      </c>
      <c r="L607" s="9">
        <f>Table1[[#This Row],[CurrentStock]]*Table1[[#This Row],[UnitPrice]]</f>
        <v>39699.760000000002</v>
      </c>
      <c r="M607" t="str">
        <f>IF(Table1[[#This Row],[ReorderLevel]]-Table1[[#This Row],[CurrentStock]]&gt;0,Table1[[#This Row],[ReorderLevel]]-Table1[[#This Row],[CurrentStock]],"")</f>
        <v/>
      </c>
      <c r="N607" t="str">
        <f>IF(Table1[[#This Row],[CurrentStock]]&gt;Table1[[#This Row],[ReorderLevel]]*3,"Over Stock","Okay")</f>
        <v>Okay</v>
      </c>
      <c r="O607" t="str">
        <f>IF(Table1[[#This Row],[CurrentStock]]&lt;Table1[[#This Row],[ReorderLevel]],"Reorder","Okay")</f>
        <v>Okay</v>
      </c>
    </row>
    <row r="608" spans="1:15" x14ac:dyDescent="0.3">
      <c r="A608">
        <v>95961</v>
      </c>
      <c r="B608" t="s">
        <v>26</v>
      </c>
      <c r="C608" t="s">
        <v>30</v>
      </c>
      <c r="D608">
        <v>196</v>
      </c>
      <c r="E608">
        <v>20</v>
      </c>
      <c r="F608">
        <v>30.23</v>
      </c>
      <c r="G608" t="s">
        <v>36</v>
      </c>
      <c r="H608" s="1">
        <v>45629</v>
      </c>
      <c r="I608" s="1">
        <v>45651</v>
      </c>
      <c r="J608" t="s">
        <v>39</v>
      </c>
      <c r="K608" t="b">
        <f>Table1[[#This Row],[CurrentStock]]&lt;Table1[[#This Row],[ReorderLevel]]</f>
        <v>0</v>
      </c>
      <c r="L608" s="9">
        <f>Table1[[#This Row],[CurrentStock]]*Table1[[#This Row],[UnitPrice]]</f>
        <v>5925.08</v>
      </c>
      <c r="M608" t="str">
        <f>IF(Table1[[#This Row],[ReorderLevel]]-Table1[[#This Row],[CurrentStock]]&gt;0,Table1[[#This Row],[ReorderLevel]]-Table1[[#This Row],[CurrentStock]],"")</f>
        <v/>
      </c>
      <c r="N608" t="str">
        <f>IF(Table1[[#This Row],[CurrentStock]]&gt;Table1[[#This Row],[ReorderLevel]]*3,"Over Stock","Okay")</f>
        <v>Over Stock</v>
      </c>
      <c r="O608" t="str">
        <f>IF(Table1[[#This Row],[CurrentStock]]&lt;Table1[[#This Row],[ReorderLevel]],"Reorder","Okay")</f>
        <v>Okay</v>
      </c>
    </row>
    <row r="609" spans="1:15" x14ac:dyDescent="0.3">
      <c r="A609">
        <v>19190</v>
      </c>
      <c r="B609" t="s">
        <v>22</v>
      </c>
      <c r="C609" t="s">
        <v>27</v>
      </c>
      <c r="D609">
        <v>460</v>
      </c>
      <c r="E609">
        <v>30</v>
      </c>
      <c r="F609">
        <v>315.73</v>
      </c>
      <c r="G609" t="s">
        <v>36</v>
      </c>
      <c r="H609" s="1">
        <v>45494</v>
      </c>
      <c r="I609" s="1">
        <v>45517</v>
      </c>
      <c r="J609" t="s">
        <v>39</v>
      </c>
      <c r="K609" t="b">
        <f>Table1[[#This Row],[CurrentStock]]&lt;Table1[[#This Row],[ReorderLevel]]</f>
        <v>0</v>
      </c>
      <c r="L609" s="9">
        <f>Table1[[#This Row],[CurrentStock]]*Table1[[#This Row],[UnitPrice]]</f>
        <v>145235.80000000002</v>
      </c>
      <c r="M609" t="str">
        <f>IF(Table1[[#This Row],[ReorderLevel]]-Table1[[#This Row],[CurrentStock]]&gt;0,Table1[[#This Row],[ReorderLevel]]-Table1[[#This Row],[CurrentStock]],"")</f>
        <v/>
      </c>
      <c r="N609" t="str">
        <f>IF(Table1[[#This Row],[CurrentStock]]&gt;Table1[[#This Row],[ReorderLevel]]*3,"Over Stock","Okay")</f>
        <v>Over Stock</v>
      </c>
      <c r="O609" t="str">
        <f>IF(Table1[[#This Row],[CurrentStock]]&lt;Table1[[#This Row],[ReorderLevel]],"Reorder","Okay")</f>
        <v>Okay</v>
      </c>
    </row>
    <row r="610" spans="1:15" x14ac:dyDescent="0.3">
      <c r="A610">
        <v>66759</v>
      </c>
      <c r="B610" t="s">
        <v>17</v>
      </c>
      <c r="C610" t="s">
        <v>30</v>
      </c>
      <c r="D610">
        <v>215</v>
      </c>
      <c r="E610">
        <v>20</v>
      </c>
      <c r="F610">
        <v>317.20999999999998</v>
      </c>
      <c r="G610" t="s">
        <v>32</v>
      </c>
      <c r="H610" s="1">
        <v>45505</v>
      </c>
      <c r="I610" s="1">
        <v>45532</v>
      </c>
      <c r="J610" t="s">
        <v>39</v>
      </c>
      <c r="K610" t="b">
        <f>Table1[[#This Row],[CurrentStock]]&lt;Table1[[#This Row],[ReorderLevel]]</f>
        <v>0</v>
      </c>
      <c r="L610" s="9">
        <f>Table1[[#This Row],[CurrentStock]]*Table1[[#This Row],[UnitPrice]]</f>
        <v>68200.149999999994</v>
      </c>
      <c r="M610" t="str">
        <f>IF(Table1[[#This Row],[ReorderLevel]]-Table1[[#This Row],[CurrentStock]]&gt;0,Table1[[#This Row],[ReorderLevel]]-Table1[[#This Row],[CurrentStock]],"")</f>
        <v/>
      </c>
      <c r="N610" t="str">
        <f>IF(Table1[[#This Row],[CurrentStock]]&gt;Table1[[#This Row],[ReorderLevel]]*3,"Over Stock","Okay")</f>
        <v>Over Stock</v>
      </c>
      <c r="O610" t="str">
        <f>IF(Table1[[#This Row],[CurrentStock]]&lt;Table1[[#This Row],[ReorderLevel]],"Reorder","Okay")</f>
        <v>Okay</v>
      </c>
    </row>
    <row r="611" spans="1:15" x14ac:dyDescent="0.3">
      <c r="A611">
        <v>23851</v>
      </c>
      <c r="B611" t="s">
        <v>22</v>
      </c>
      <c r="C611" t="s">
        <v>27</v>
      </c>
      <c r="D611">
        <v>219</v>
      </c>
      <c r="E611">
        <v>50</v>
      </c>
      <c r="F611">
        <v>367.12</v>
      </c>
      <c r="G611" t="s">
        <v>32</v>
      </c>
      <c r="H611" s="1">
        <v>45580</v>
      </c>
      <c r="I611" s="1">
        <v>45603</v>
      </c>
      <c r="J611" t="s">
        <v>37</v>
      </c>
      <c r="K611" t="b">
        <f>Table1[[#This Row],[CurrentStock]]&lt;Table1[[#This Row],[ReorderLevel]]</f>
        <v>0</v>
      </c>
      <c r="L611" s="9">
        <f>Table1[[#This Row],[CurrentStock]]*Table1[[#This Row],[UnitPrice]]</f>
        <v>80399.28</v>
      </c>
      <c r="M611" t="str">
        <f>IF(Table1[[#This Row],[ReorderLevel]]-Table1[[#This Row],[CurrentStock]]&gt;0,Table1[[#This Row],[ReorderLevel]]-Table1[[#This Row],[CurrentStock]],"")</f>
        <v/>
      </c>
      <c r="N611" t="str">
        <f>IF(Table1[[#This Row],[CurrentStock]]&gt;Table1[[#This Row],[ReorderLevel]]*3,"Over Stock","Okay")</f>
        <v>Over Stock</v>
      </c>
      <c r="O611" t="str">
        <f>IF(Table1[[#This Row],[CurrentStock]]&lt;Table1[[#This Row],[ReorderLevel]],"Reorder","Okay")</f>
        <v>Okay</v>
      </c>
    </row>
    <row r="612" spans="1:15" x14ac:dyDescent="0.3">
      <c r="A612">
        <v>55349</v>
      </c>
      <c r="B612" t="s">
        <v>18</v>
      </c>
      <c r="C612" t="s">
        <v>28</v>
      </c>
      <c r="D612">
        <v>409</v>
      </c>
      <c r="E612">
        <v>40</v>
      </c>
      <c r="F612">
        <v>74.290000000000006</v>
      </c>
      <c r="G612" t="s">
        <v>36</v>
      </c>
      <c r="H612" s="1">
        <v>45459</v>
      </c>
      <c r="I612" s="1">
        <v>45479</v>
      </c>
      <c r="J612" t="s">
        <v>39</v>
      </c>
      <c r="K612" t="b">
        <f>Table1[[#This Row],[CurrentStock]]&lt;Table1[[#This Row],[ReorderLevel]]</f>
        <v>0</v>
      </c>
      <c r="L612" s="9">
        <f>Table1[[#This Row],[CurrentStock]]*Table1[[#This Row],[UnitPrice]]</f>
        <v>30384.610000000004</v>
      </c>
      <c r="M612" t="str">
        <f>IF(Table1[[#This Row],[ReorderLevel]]-Table1[[#This Row],[CurrentStock]]&gt;0,Table1[[#This Row],[ReorderLevel]]-Table1[[#This Row],[CurrentStock]],"")</f>
        <v/>
      </c>
      <c r="N612" t="str">
        <f>IF(Table1[[#This Row],[CurrentStock]]&gt;Table1[[#This Row],[ReorderLevel]]*3,"Over Stock","Okay")</f>
        <v>Over Stock</v>
      </c>
      <c r="O612" t="str">
        <f>IF(Table1[[#This Row],[CurrentStock]]&lt;Table1[[#This Row],[ReorderLevel]],"Reorder","Okay")</f>
        <v>Okay</v>
      </c>
    </row>
    <row r="613" spans="1:15" x14ac:dyDescent="0.3">
      <c r="A613">
        <v>73723</v>
      </c>
      <c r="B613" t="s">
        <v>14</v>
      </c>
      <c r="C613" t="s">
        <v>27</v>
      </c>
      <c r="D613">
        <v>149</v>
      </c>
      <c r="E613">
        <v>50</v>
      </c>
      <c r="F613">
        <v>339.35</v>
      </c>
      <c r="G613" t="s">
        <v>36</v>
      </c>
      <c r="H613" s="1">
        <v>45464</v>
      </c>
      <c r="I613" s="1">
        <v>45476</v>
      </c>
      <c r="J613" t="s">
        <v>39</v>
      </c>
      <c r="K613" t="b">
        <f>Table1[[#This Row],[CurrentStock]]&lt;Table1[[#This Row],[ReorderLevel]]</f>
        <v>0</v>
      </c>
      <c r="L613" s="9">
        <f>Table1[[#This Row],[CurrentStock]]*Table1[[#This Row],[UnitPrice]]</f>
        <v>50563.15</v>
      </c>
      <c r="M613" t="str">
        <f>IF(Table1[[#This Row],[ReorderLevel]]-Table1[[#This Row],[CurrentStock]]&gt;0,Table1[[#This Row],[ReorderLevel]]-Table1[[#This Row],[CurrentStock]],"")</f>
        <v/>
      </c>
      <c r="N613" t="str">
        <f>IF(Table1[[#This Row],[CurrentStock]]&gt;Table1[[#This Row],[ReorderLevel]]*3,"Over Stock","Okay")</f>
        <v>Okay</v>
      </c>
      <c r="O613" t="str">
        <f>IF(Table1[[#This Row],[CurrentStock]]&lt;Table1[[#This Row],[ReorderLevel]],"Reorder","Okay")</f>
        <v>Okay</v>
      </c>
    </row>
    <row r="614" spans="1:15" x14ac:dyDescent="0.3">
      <c r="A614">
        <v>41658</v>
      </c>
      <c r="B614" t="s">
        <v>26</v>
      </c>
      <c r="C614" t="s">
        <v>30</v>
      </c>
      <c r="D614">
        <v>488</v>
      </c>
      <c r="E614">
        <v>20</v>
      </c>
      <c r="F614">
        <v>180.42</v>
      </c>
      <c r="G614" t="s">
        <v>32</v>
      </c>
      <c r="H614" s="1">
        <v>45406</v>
      </c>
      <c r="I614" s="1">
        <v>45433</v>
      </c>
      <c r="J614" t="s">
        <v>38</v>
      </c>
      <c r="K614" t="b">
        <f>Table1[[#This Row],[CurrentStock]]&lt;Table1[[#This Row],[ReorderLevel]]</f>
        <v>0</v>
      </c>
      <c r="L614" s="9">
        <f>Table1[[#This Row],[CurrentStock]]*Table1[[#This Row],[UnitPrice]]</f>
        <v>88044.959999999992</v>
      </c>
      <c r="M614" t="str">
        <f>IF(Table1[[#This Row],[ReorderLevel]]-Table1[[#This Row],[CurrentStock]]&gt;0,Table1[[#This Row],[ReorderLevel]]-Table1[[#This Row],[CurrentStock]],"")</f>
        <v/>
      </c>
      <c r="N614" t="str">
        <f>IF(Table1[[#This Row],[CurrentStock]]&gt;Table1[[#This Row],[ReorderLevel]]*3,"Over Stock","Okay")</f>
        <v>Over Stock</v>
      </c>
      <c r="O614" t="str">
        <f>IF(Table1[[#This Row],[CurrentStock]]&lt;Table1[[#This Row],[ReorderLevel]],"Reorder","Okay")</f>
        <v>Okay</v>
      </c>
    </row>
    <row r="615" spans="1:15" x14ac:dyDescent="0.3">
      <c r="A615">
        <v>44650</v>
      </c>
      <c r="B615" t="s">
        <v>16</v>
      </c>
      <c r="C615" t="s">
        <v>30</v>
      </c>
      <c r="D615">
        <v>145</v>
      </c>
      <c r="E615">
        <v>150</v>
      </c>
      <c r="F615">
        <v>125.68</v>
      </c>
      <c r="G615" t="s">
        <v>36</v>
      </c>
      <c r="H615" s="1">
        <v>45604</v>
      </c>
      <c r="I615" s="1">
        <v>45631</v>
      </c>
      <c r="J615" t="s">
        <v>39</v>
      </c>
      <c r="K615" t="b">
        <f>Table1[[#This Row],[CurrentStock]]&lt;Table1[[#This Row],[ReorderLevel]]</f>
        <v>1</v>
      </c>
      <c r="L615" s="9">
        <f>Table1[[#This Row],[CurrentStock]]*Table1[[#This Row],[UnitPrice]]</f>
        <v>18223.600000000002</v>
      </c>
      <c r="M615">
        <f>IF(Table1[[#This Row],[ReorderLevel]]-Table1[[#This Row],[CurrentStock]]&gt;0,Table1[[#This Row],[ReorderLevel]]-Table1[[#This Row],[CurrentStock]],"")</f>
        <v>5</v>
      </c>
      <c r="N615" t="str">
        <f>IF(Table1[[#This Row],[CurrentStock]]&gt;Table1[[#This Row],[ReorderLevel]]*3,"Over Stock","Okay")</f>
        <v>Okay</v>
      </c>
      <c r="O615" t="str">
        <f>IF(Table1[[#This Row],[CurrentStock]]&lt;Table1[[#This Row],[ReorderLevel]],"Reorder","Okay")</f>
        <v>Reorder</v>
      </c>
    </row>
    <row r="616" spans="1:15" x14ac:dyDescent="0.3">
      <c r="A616">
        <v>39320</v>
      </c>
      <c r="B616" t="s">
        <v>13</v>
      </c>
      <c r="C616" t="s">
        <v>29</v>
      </c>
      <c r="D616">
        <v>167</v>
      </c>
      <c r="E616">
        <v>40</v>
      </c>
      <c r="F616">
        <v>180.64</v>
      </c>
      <c r="G616" t="s">
        <v>36</v>
      </c>
      <c r="H616" s="1">
        <v>45341</v>
      </c>
      <c r="I616" s="1">
        <v>45365</v>
      </c>
      <c r="J616" t="s">
        <v>37</v>
      </c>
      <c r="K616" t="b">
        <f>Table1[[#This Row],[CurrentStock]]&lt;Table1[[#This Row],[ReorderLevel]]</f>
        <v>0</v>
      </c>
      <c r="L616" s="9">
        <f>Table1[[#This Row],[CurrentStock]]*Table1[[#This Row],[UnitPrice]]</f>
        <v>30166.879999999997</v>
      </c>
      <c r="M616" t="str">
        <f>IF(Table1[[#This Row],[ReorderLevel]]-Table1[[#This Row],[CurrentStock]]&gt;0,Table1[[#This Row],[ReorderLevel]]-Table1[[#This Row],[CurrentStock]],"")</f>
        <v/>
      </c>
      <c r="N616" t="str">
        <f>IF(Table1[[#This Row],[CurrentStock]]&gt;Table1[[#This Row],[ReorderLevel]]*3,"Over Stock","Okay")</f>
        <v>Over Stock</v>
      </c>
      <c r="O616" t="str">
        <f>IF(Table1[[#This Row],[CurrentStock]]&lt;Table1[[#This Row],[ReorderLevel]],"Reorder","Okay")</f>
        <v>Okay</v>
      </c>
    </row>
    <row r="617" spans="1:15" x14ac:dyDescent="0.3">
      <c r="A617">
        <v>86976</v>
      </c>
      <c r="B617" t="s">
        <v>19</v>
      </c>
      <c r="C617" t="s">
        <v>28</v>
      </c>
      <c r="D617">
        <v>20</v>
      </c>
      <c r="E617">
        <v>30</v>
      </c>
      <c r="F617">
        <v>259.02</v>
      </c>
      <c r="G617" t="s">
        <v>34</v>
      </c>
      <c r="H617" s="1">
        <v>45592</v>
      </c>
      <c r="I617" s="1">
        <v>45609</v>
      </c>
      <c r="J617" t="s">
        <v>37</v>
      </c>
      <c r="K617" t="b">
        <f>Table1[[#This Row],[CurrentStock]]&lt;Table1[[#This Row],[ReorderLevel]]</f>
        <v>1</v>
      </c>
      <c r="L617" s="9">
        <f>Table1[[#This Row],[CurrentStock]]*Table1[[#This Row],[UnitPrice]]</f>
        <v>5180.3999999999996</v>
      </c>
      <c r="M617">
        <f>IF(Table1[[#This Row],[ReorderLevel]]-Table1[[#This Row],[CurrentStock]]&gt;0,Table1[[#This Row],[ReorderLevel]]-Table1[[#This Row],[CurrentStock]],"")</f>
        <v>10</v>
      </c>
      <c r="N617" t="str">
        <f>IF(Table1[[#This Row],[CurrentStock]]&gt;Table1[[#This Row],[ReorderLevel]]*3,"Over Stock","Okay")</f>
        <v>Okay</v>
      </c>
      <c r="O617" t="str">
        <f>IF(Table1[[#This Row],[CurrentStock]]&lt;Table1[[#This Row],[ReorderLevel]],"Reorder","Okay")</f>
        <v>Reorder</v>
      </c>
    </row>
    <row r="618" spans="1:15" x14ac:dyDescent="0.3">
      <c r="A618">
        <v>61448</v>
      </c>
      <c r="B618" t="s">
        <v>17</v>
      </c>
      <c r="C618" t="s">
        <v>30</v>
      </c>
      <c r="D618">
        <v>400</v>
      </c>
      <c r="E618">
        <v>50</v>
      </c>
      <c r="F618">
        <v>259.29000000000002</v>
      </c>
      <c r="G618" t="s">
        <v>36</v>
      </c>
      <c r="H618" s="1">
        <v>45316</v>
      </c>
      <c r="I618" s="1">
        <v>45326</v>
      </c>
      <c r="J618" t="s">
        <v>39</v>
      </c>
      <c r="K618" t="b">
        <f>Table1[[#This Row],[CurrentStock]]&lt;Table1[[#This Row],[ReorderLevel]]</f>
        <v>0</v>
      </c>
      <c r="L618" s="9">
        <f>Table1[[#This Row],[CurrentStock]]*Table1[[#This Row],[UnitPrice]]</f>
        <v>103716.00000000001</v>
      </c>
      <c r="M618" t="str">
        <f>IF(Table1[[#This Row],[ReorderLevel]]-Table1[[#This Row],[CurrentStock]]&gt;0,Table1[[#This Row],[ReorderLevel]]-Table1[[#This Row],[CurrentStock]],"")</f>
        <v/>
      </c>
      <c r="N618" t="str">
        <f>IF(Table1[[#This Row],[CurrentStock]]&gt;Table1[[#This Row],[ReorderLevel]]*3,"Over Stock","Okay")</f>
        <v>Over Stock</v>
      </c>
      <c r="O618" t="str">
        <f>IF(Table1[[#This Row],[CurrentStock]]&lt;Table1[[#This Row],[ReorderLevel]],"Reorder","Okay")</f>
        <v>Okay</v>
      </c>
    </row>
    <row r="619" spans="1:15" x14ac:dyDescent="0.3">
      <c r="A619">
        <v>81186</v>
      </c>
      <c r="B619" t="s">
        <v>16</v>
      </c>
      <c r="C619" t="s">
        <v>30</v>
      </c>
      <c r="D619">
        <v>141</v>
      </c>
      <c r="E619">
        <v>30</v>
      </c>
      <c r="F619">
        <v>471.03</v>
      </c>
      <c r="G619" t="s">
        <v>33</v>
      </c>
      <c r="H619" s="1">
        <v>45646</v>
      </c>
      <c r="I619" s="1">
        <v>45683</v>
      </c>
      <c r="J619" t="s">
        <v>37</v>
      </c>
      <c r="K619" t="b">
        <f>Table1[[#This Row],[CurrentStock]]&lt;Table1[[#This Row],[ReorderLevel]]</f>
        <v>0</v>
      </c>
      <c r="L619" s="9">
        <f>Table1[[#This Row],[CurrentStock]]*Table1[[#This Row],[UnitPrice]]</f>
        <v>66415.23</v>
      </c>
      <c r="M619" t="str">
        <f>IF(Table1[[#This Row],[ReorderLevel]]-Table1[[#This Row],[CurrentStock]]&gt;0,Table1[[#This Row],[ReorderLevel]]-Table1[[#This Row],[CurrentStock]],"")</f>
        <v/>
      </c>
      <c r="N619" t="str">
        <f>IF(Table1[[#This Row],[CurrentStock]]&gt;Table1[[#This Row],[ReorderLevel]]*3,"Over Stock","Okay")</f>
        <v>Over Stock</v>
      </c>
      <c r="O619" t="str">
        <f>IF(Table1[[#This Row],[CurrentStock]]&lt;Table1[[#This Row],[ReorderLevel]],"Reorder","Okay")</f>
        <v>Okay</v>
      </c>
    </row>
    <row r="620" spans="1:15" x14ac:dyDescent="0.3">
      <c r="A620">
        <v>61628</v>
      </c>
      <c r="B620" t="s">
        <v>10</v>
      </c>
      <c r="C620" t="s">
        <v>27</v>
      </c>
      <c r="D620">
        <v>343</v>
      </c>
      <c r="E620">
        <v>80</v>
      </c>
      <c r="F620">
        <v>130.54</v>
      </c>
      <c r="G620" t="s">
        <v>35</v>
      </c>
      <c r="H620" s="1">
        <v>45292</v>
      </c>
      <c r="I620" s="1">
        <v>45321</v>
      </c>
      <c r="J620" t="s">
        <v>39</v>
      </c>
      <c r="K620" t="b">
        <f>Table1[[#This Row],[CurrentStock]]&lt;Table1[[#This Row],[ReorderLevel]]</f>
        <v>0</v>
      </c>
      <c r="L620" s="9">
        <f>Table1[[#This Row],[CurrentStock]]*Table1[[#This Row],[UnitPrice]]</f>
        <v>44775.219999999994</v>
      </c>
      <c r="M620" t="str">
        <f>IF(Table1[[#This Row],[ReorderLevel]]-Table1[[#This Row],[CurrentStock]]&gt;0,Table1[[#This Row],[ReorderLevel]]-Table1[[#This Row],[CurrentStock]],"")</f>
        <v/>
      </c>
      <c r="N620" t="str">
        <f>IF(Table1[[#This Row],[CurrentStock]]&gt;Table1[[#This Row],[ReorderLevel]]*3,"Over Stock","Okay")</f>
        <v>Over Stock</v>
      </c>
      <c r="O620" t="str">
        <f>IF(Table1[[#This Row],[CurrentStock]]&lt;Table1[[#This Row],[ReorderLevel]],"Reorder","Okay")</f>
        <v>Okay</v>
      </c>
    </row>
    <row r="621" spans="1:15" x14ac:dyDescent="0.3">
      <c r="A621">
        <v>63775</v>
      </c>
      <c r="B621" t="s">
        <v>15</v>
      </c>
      <c r="C621" t="s">
        <v>29</v>
      </c>
      <c r="D621">
        <v>344</v>
      </c>
      <c r="E621">
        <v>30</v>
      </c>
      <c r="F621">
        <v>315.35000000000002</v>
      </c>
      <c r="G621" t="s">
        <v>32</v>
      </c>
      <c r="H621" s="1">
        <v>45502</v>
      </c>
      <c r="I621" s="1">
        <v>45531</v>
      </c>
      <c r="J621" t="s">
        <v>37</v>
      </c>
      <c r="K621" t="b">
        <f>Table1[[#This Row],[CurrentStock]]&lt;Table1[[#This Row],[ReorderLevel]]</f>
        <v>0</v>
      </c>
      <c r="L621" s="9">
        <f>Table1[[#This Row],[CurrentStock]]*Table1[[#This Row],[UnitPrice]]</f>
        <v>108480.40000000001</v>
      </c>
      <c r="M621" t="str">
        <f>IF(Table1[[#This Row],[ReorderLevel]]-Table1[[#This Row],[CurrentStock]]&gt;0,Table1[[#This Row],[ReorderLevel]]-Table1[[#This Row],[CurrentStock]],"")</f>
        <v/>
      </c>
      <c r="N621" t="str">
        <f>IF(Table1[[#This Row],[CurrentStock]]&gt;Table1[[#This Row],[ReorderLevel]]*3,"Over Stock","Okay")</f>
        <v>Over Stock</v>
      </c>
      <c r="O621" t="str">
        <f>IF(Table1[[#This Row],[CurrentStock]]&lt;Table1[[#This Row],[ReorderLevel]],"Reorder","Okay")</f>
        <v>Okay</v>
      </c>
    </row>
    <row r="622" spans="1:15" x14ac:dyDescent="0.3">
      <c r="A622">
        <v>91441</v>
      </c>
      <c r="B622" t="s">
        <v>12</v>
      </c>
      <c r="C622" t="s">
        <v>28</v>
      </c>
      <c r="D622">
        <v>402</v>
      </c>
      <c r="E622">
        <v>20</v>
      </c>
      <c r="F622">
        <v>138.05000000000001</v>
      </c>
      <c r="G622" t="s">
        <v>35</v>
      </c>
      <c r="H622" s="1">
        <v>45527</v>
      </c>
      <c r="I622" s="1">
        <v>45549</v>
      </c>
      <c r="J622" t="s">
        <v>37</v>
      </c>
      <c r="K622" t="b">
        <f>Table1[[#This Row],[CurrentStock]]&lt;Table1[[#This Row],[ReorderLevel]]</f>
        <v>0</v>
      </c>
      <c r="L622" s="9">
        <f>Table1[[#This Row],[CurrentStock]]*Table1[[#This Row],[UnitPrice]]</f>
        <v>55496.100000000006</v>
      </c>
      <c r="M622" t="str">
        <f>IF(Table1[[#This Row],[ReorderLevel]]-Table1[[#This Row],[CurrentStock]]&gt;0,Table1[[#This Row],[ReorderLevel]]-Table1[[#This Row],[CurrentStock]],"")</f>
        <v/>
      </c>
      <c r="N622" t="str">
        <f>IF(Table1[[#This Row],[CurrentStock]]&gt;Table1[[#This Row],[ReorderLevel]]*3,"Over Stock","Okay")</f>
        <v>Over Stock</v>
      </c>
      <c r="O622" t="str">
        <f>IF(Table1[[#This Row],[CurrentStock]]&lt;Table1[[#This Row],[ReorderLevel]],"Reorder","Okay")</f>
        <v>Okay</v>
      </c>
    </row>
    <row r="623" spans="1:15" x14ac:dyDescent="0.3">
      <c r="A623">
        <v>76537</v>
      </c>
      <c r="B623" t="s">
        <v>23</v>
      </c>
      <c r="C623" t="s">
        <v>30</v>
      </c>
      <c r="D623">
        <v>20</v>
      </c>
      <c r="E623">
        <v>30</v>
      </c>
      <c r="F623">
        <v>38.35</v>
      </c>
      <c r="G623" t="s">
        <v>33</v>
      </c>
      <c r="H623" s="1">
        <v>45652</v>
      </c>
      <c r="I623" s="1">
        <v>45687</v>
      </c>
      <c r="J623" t="s">
        <v>39</v>
      </c>
      <c r="K623" t="b">
        <f>Table1[[#This Row],[CurrentStock]]&lt;Table1[[#This Row],[ReorderLevel]]</f>
        <v>1</v>
      </c>
      <c r="L623" s="9">
        <f>Table1[[#This Row],[CurrentStock]]*Table1[[#This Row],[UnitPrice]]</f>
        <v>767</v>
      </c>
      <c r="M623">
        <f>IF(Table1[[#This Row],[ReorderLevel]]-Table1[[#This Row],[CurrentStock]]&gt;0,Table1[[#This Row],[ReorderLevel]]-Table1[[#This Row],[CurrentStock]],"")</f>
        <v>10</v>
      </c>
      <c r="N623" t="str">
        <f>IF(Table1[[#This Row],[CurrentStock]]&gt;Table1[[#This Row],[ReorderLevel]]*3,"Over Stock","Okay")</f>
        <v>Okay</v>
      </c>
      <c r="O623" t="str">
        <f>IF(Table1[[#This Row],[CurrentStock]]&lt;Table1[[#This Row],[ReorderLevel]],"Reorder","Okay")</f>
        <v>Reorder</v>
      </c>
    </row>
    <row r="624" spans="1:15" x14ac:dyDescent="0.3">
      <c r="A624">
        <v>76727</v>
      </c>
      <c r="B624" t="s">
        <v>12</v>
      </c>
      <c r="C624" t="s">
        <v>28</v>
      </c>
      <c r="D624">
        <v>443</v>
      </c>
      <c r="E624">
        <v>50</v>
      </c>
      <c r="F624">
        <v>183.39</v>
      </c>
      <c r="G624" t="s">
        <v>35</v>
      </c>
      <c r="H624" s="1">
        <v>45306</v>
      </c>
      <c r="I624" s="1">
        <v>45314</v>
      </c>
      <c r="J624" t="s">
        <v>37</v>
      </c>
      <c r="K624" t="b">
        <f>Table1[[#This Row],[CurrentStock]]&lt;Table1[[#This Row],[ReorderLevel]]</f>
        <v>0</v>
      </c>
      <c r="L624" s="9">
        <f>Table1[[#This Row],[CurrentStock]]*Table1[[#This Row],[UnitPrice]]</f>
        <v>81241.76999999999</v>
      </c>
      <c r="M624" t="str">
        <f>IF(Table1[[#This Row],[ReorderLevel]]-Table1[[#This Row],[CurrentStock]]&gt;0,Table1[[#This Row],[ReorderLevel]]-Table1[[#This Row],[CurrentStock]],"")</f>
        <v/>
      </c>
      <c r="N624" t="str">
        <f>IF(Table1[[#This Row],[CurrentStock]]&gt;Table1[[#This Row],[ReorderLevel]]*3,"Over Stock","Okay")</f>
        <v>Over Stock</v>
      </c>
      <c r="O624" t="str">
        <f>IF(Table1[[#This Row],[CurrentStock]]&lt;Table1[[#This Row],[ReorderLevel]],"Reorder","Okay")</f>
        <v>Okay</v>
      </c>
    </row>
    <row r="625" spans="1:15" x14ac:dyDescent="0.3">
      <c r="A625">
        <v>13332</v>
      </c>
      <c r="B625" t="s">
        <v>12</v>
      </c>
      <c r="C625" t="s">
        <v>28</v>
      </c>
      <c r="D625">
        <v>387</v>
      </c>
      <c r="E625">
        <v>20</v>
      </c>
      <c r="F625">
        <v>14.97</v>
      </c>
      <c r="G625" t="s">
        <v>34</v>
      </c>
      <c r="H625" s="1">
        <v>45390</v>
      </c>
      <c r="I625" s="1">
        <v>45399</v>
      </c>
      <c r="J625" t="s">
        <v>38</v>
      </c>
      <c r="K625" t="b">
        <f>Table1[[#This Row],[CurrentStock]]&lt;Table1[[#This Row],[ReorderLevel]]</f>
        <v>0</v>
      </c>
      <c r="L625" s="9">
        <f>Table1[[#This Row],[CurrentStock]]*Table1[[#This Row],[UnitPrice]]</f>
        <v>5793.39</v>
      </c>
      <c r="M625" t="str">
        <f>IF(Table1[[#This Row],[ReorderLevel]]-Table1[[#This Row],[CurrentStock]]&gt;0,Table1[[#This Row],[ReorderLevel]]-Table1[[#This Row],[CurrentStock]],"")</f>
        <v/>
      </c>
      <c r="N625" t="str">
        <f>IF(Table1[[#This Row],[CurrentStock]]&gt;Table1[[#This Row],[ReorderLevel]]*3,"Over Stock","Okay")</f>
        <v>Over Stock</v>
      </c>
      <c r="O625" t="str">
        <f>IF(Table1[[#This Row],[CurrentStock]]&lt;Table1[[#This Row],[ReorderLevel]],"Reorder","Okay")</f>
        <v>Okay</v>
      </c>
    </row>
    <row r="626" spans="1:15" x14ac:dyDescent="0.3">
      <c r="A626">
        <v>97134</v>
      </c>
      <c r="B626" t="s">
        <v>25</v>
      </c>
      <c r="C626" t="s">
        <v>31</v>
      </c>
      <c r="D626">
        <v>257</v>
      </c>
      <c r="E626">
        <v>80</v>
      </c>
      <c r="F626">
        <v>466.21</v>
      </c>
      <c r="G626" t="s">
        <v>35</v>
      </c>
      <c r="H626" s="1">
        <v>45400</v>
      </c>
      <c r="I626" s="1">
        <v>45414</v>
      </c>
      <c r="J626" t="s">
        <v>38</v>
      </c>
      <c r="K626" t="b">
        <f>Table1[[#This Row],[CurrentStock]]&lt;Table1[[#This Row],[ReorderLevel]]</f>
        <v>0</v>
      </c>
      <c r="L626" s="9">
        <f>Table1[[#This Row],[CurrentStock]]*Table1[[#This Row],[UnitPrice]]</f>
        <v>119815.97</v>
      </c>
      <c r="M626" t="str">
        <f>IF(Table1[[#This Row],[ReorderLevel]]-Table1[[#This Row],[CurrentStock]]&gt;0,Table1[[#This Row],[ReorderLevel]]-Table1[[#This Row],[CurrentStock]],"")</f>
        <v/>
      </c>
      <c r="N626" t="str">
        <f>IF(Table1[[#This Row],[CurrentStock]]&gt;Table1[[#This Row],[ReorderLevel]]*3,"Over Stock","Okay")</f>
        <v>Over Stock</v>
      </c>
      <c r="O626" t="str">
        <f>IF(Table1[[#This Row],[CurrentStock]]&lt;Table1[[#This Row],[ReorderLevel]],"Reorder","Okay")</f>
        <v>Okay</v>
      </c>
    </row>
    <row r="627" spans="1:15" x14ac:dyDescent="0.3">
      <c r="A627">
        <v>68531</v>
      </c>
      <c r="B627" t="s">
        <v>12</v>
      </c>
      <c r="C627" t="s">
        <v>28</v>
      </c>
      <c r="D627">
        <v>116</v>
      </c>
      <c r="E627">
        <v>40</v>
      </c>
      <c r="F627">
        <v>114.22</v>
      </c>
      <c r="G627" t="s">
        <v>36</v>
      </c>
      <c r="H627" s="1">
        <v>45589</v>
      </c>
      <c r="I627" s="1">
        <v>45606</v>
      </c>
      <c r="J627" t="s">
        <v>37</v>
      </c>
      <c r="K627" t="b">
        <f>Table1[[#This Row],[CurrentStock]]&lt;Table1[[#This Row],[ReorderLevel]]</f>
        <v>0</v>
      </c>
      <c r="L627" s="9">
        <f>Table1[[#This Row],[CurrentStock]]*Table1[[#This Row],[UnitPrice]]</f>
        <v>13249.52</v>
      </c>
      <c r="M627" t="str">
        <f>IF(Table1[[#This Row],[ReorderLevel]]-Table1[[#This Row],[CurrentStock]]&gt;0,Table1[[#This Row],[ReorderLevel]]-Table1[[#This Row],[CurrentStock]],"")</f>
        <v/>
      </c>
      <c r="N627" t="str">
        <f>IF(Table1[[#This Row],[CurrentStock]]&gt;Table1[[#This Row],[ReorderLevel]]*3,"Over Stock","Okay")</f>
        <v>Okay</v>
      </c>
      <c r="O627" t="str">
        <f>IF(Table1[[#This Row],[CurrentStock]]&lt;Table1[[#This Row],[ReorderLevel]],"Reorder","Okay")</f>
        <v>Okay</v>
      </c>
    </row>
    <row r="628" spans="1:15" x14ac:dyDescent="0.3">
      <c r="A628">
        <v>52598</v>
      </c>
      <c r="B628" t="s">
        <v>24</v>
      </c>
      <c r="C628" t="s">
        <v>31</v>
      </c>
      <c r="D628">
        <v>307</v>
      </c>
      <c r="E628">
        <v>150</v>
      </c>
      <c r="F628">
        <v>159.74</v>
      </c>
      <c r="G628" t="s">
        <v>36</v>
      </c>
      <c r="H628" s="1">
        <v>45603</v>
      </c>
      <c r="I628" s="1">
        <v>45630</v>
      </c>
      <c r="J628" t="s">
        <v>38</v>
      </c>
      <c r="K628" t="b">
        <f>Table1[[#This Row],[CurrentStock]]&lt;Table1[[#This Row],[ReorderLevel]]</f>
        <v>0</v>
      </c>
      <c r="L628" s="9">
        <f>Table1[[#This Row],[CurrentStock]]*Table1[[#This Row],[UnitPrice]]</f>
        <v>49040.18</v>
      </c>
      <c r="M628" t="str">
        <f>IF(Table1[[#This Row],[ReorderLevel]]-Table1[[#This Row],[CurrentStock]]&gt;0,Table1[[#This Row],[ReorderLevel]]-Table1[[#This Row],[CurrentStock]],"")</f>
        <v/>
      </c>
      <c r="N628" t="str">
        <f>IF(Table1[[#This Row],[CurrentStock]]&gt;Table1[[#This Row],[ReorderLevel]]*3,"Over Stock","Okay")</f>
        <v>Okay</v>
      </c>
      <c r="O628" t="str">
        <f>IF(Table1[[#This Row],[CurrentStock]]&lt;Table1[[#This Row],[ReorderLevel]],"Reorder","Okay")</f>
        <v>Okay</v>
      </c>
    </row>
    <row r="629" spans="1:15" x14ac:dyDescent="0.3">
      <c r="A629">
        <v>10798</v>
      </c>
      <c r="B629" t="s">
        <v>23</v>
      </c>
      <c r="C629" t="s">
        <v>30</v>
      </c>
      <c r="D629">
        <v>473</v>
      </c>
      <c r="E629">
        <v>40</v>
      </c>
      <c r="F629">
        <v>443.71</v>
      </c>
      <c r="G629" t="s">
        <v>33</v>
      </c>
      <c r="H629" s="1">
        <v>45514</v>
      </c>
      <c r="I629" s="1">
        <v>45543</v>
      </c>
      <c r="J629" t="s">
        <v>38</v>
      </c>
      <c r="K629" t="b">
        <f>Table1[[#This Row],[CurrentStock]]&lt;Table1[[#This Row],[ReorderLevel]]</f>
        <v>0</v>
      </c>
      <c r="L629" s="9">
        <f>Table1[[#This Row],[CurrentStock]]*Table1[[#This Row],[UnitPrice]]</f>
        <v>209874.83</v>
      </c>
      <c r="M629" t="str">
        <f>IF(Table1[[#This Row],[ReorderLevel]]-Table1[[#This Row],[CurrentStock]]&gt;0,Table1[[#This Row],[ReorderLevel]]-Table1[[#This Row],[CurrentStock]],"")</f>
        <v/>
      </c>
      <c r="N629" t="str">
        <f>IF(Table1[[#This Row],[CurrentStock]]&gt;Table1[[#This Row],[ReorderLevel]]*3,"Over Stock","Okay")</f>
        <v>Over Stock</v>
      </c>
      <c r="O629" t="str">
        <f>IF(Table1[[#This Row],[CurrentStock]]&lt;Table1[[#This Row],[ReorderLevel]],"Reorder","Okay")</f>
        <v>Okay</v>
      </c>
    </row>
    <row r="630" spans="1:15" x14ac:dyDescent="0.3">
      <c r="A630">
        <v>11129</v>
      </c>
      <c r="B630" t="s">
        <v>18</v>
      </c>
      <c r="C630" t="s">
        <v>28</v>
      </c>
      <c r="D630">
        <v>129</v>
      </c>
      <c r="E630">
        <v>20</v>
      </c>
      <c r="F630">
        <v>366.01</v>
      </c>
      <c r="G630" t="s">
        <v>32</v>
      </c>
      <c r="H630" s="1">
        <v>45650</v>
      </c>
      <c r="I630" s="1">
        <v>45682</v>
      </c>
      <c r="J630" t="s">
        <v>39</v>
      </c>
      <c r="K630" t="b">
        <f>Table1[[#This Row],[CurrentStock]]&lt;Table1[[#This Row],[ReorderLevel]]</f>
        <v>0</v>
      </c>
      <c r="L630" s="9">
        <f>Table1[[#This Row],[CurrentStock]]*Table1[[#This Row],[UnitPrice]]</f>
        <v>47215.29</v>
      </c>
      <c r="M630" t="str">
        <f>IF(Table1[[#This Row],[ReorderLevel]]-Table1[[#This Row],[CurrentStock]]&gt;0,Table1[[#This Row],[ReorderLevel]]-Table1[[#This Row],[CurrentStock]],"")</f>
        <v/>
      </c>
      <c r="N630" t="str">
        <f>IF(Table1[[#This Row],[CurrentStock]]&gt;Table1[[#This Row],[ReorderLevel]]*3,"Over Stock","Okay")</f>
        <v>Over Stock</v>
      </c>
      <c r="O630" t="str">
        <f>IF(Table1[[#This Row],[CurrentStock]]&lt;Table1[[#This Row],[ReorderLevel]],"Reorder","Okay")</f>
        <v>Okay</v>
      </c>
    </row>
    <row r="631" spans="1:15" x14ac:dyDescent="0.3">
      <c r="A631">
        <v>49867</v>
      </c>
      <c r="B631" t="s">
        <v>15</v>
      </c>
      <c r="C631" t="s">
        <v>29</v>
      </c>
      <c r="D631">
        <v>74</v>
      </c>
      <c r="E631">
        <v>100</v>
      </c>
      <c r="F631">
        <v>160.07</v>
      </c>
      <c r="G631" t="s">
        <v>32</v>
      </c>
      <c r="H631" s="1">
        <v>45616</v>
      </c>
      <c r="I631" s="1">
        <v>45639</v>
      </c>
      <c r="J631" t="s">
        <v>39</v>
      </c>
      <c r="K631" t="b">
        <f>Table1[[#This Row],[CurrentStock]]&lt;Table1[[#This Row],[ReorderLevel]]</f>
        <v>1</v>
      </c>
      <c r="L631" s="9">
        <f>Table1[[#This Row],[CurrentStock]]*Table1[[#This Row],[UnitPrice]]</f>
        <v>11845.18</v>
      </c>
      <c r="M631">
        <f>IF(Table1[[#This Row],[ReorderLevel]]-Table1[[#This Row],[CurrentStock]]&gt;0,Table1[[#This Row],[ReorderLevel]]-Table1[[#This Row],[CurrentStock]],"")</f>
        <v>26</v>
      </c>
      <c r="N631" t="str">
        <f>IF(Table1[[#This Row],[CurrentStock]]&gt;Table1[[#This Row],[ReorderLevel]]*3,"Over Stock","Okay")</f>
        <v>Okay</v>
      </c>
      <c r="O631" t="str">
        <f>IF(Table1[[#This Row],[CurrentStock]]&lt;Table1[[#This Row],[ReorderLevel]],"Reorder","Okay")</f>
        <v>Reorder</v>
      </c>
    </row>
    <row r="632" spans="1:15" x14ac:dyDescent="0.3">
      <c r="A632">
        <v>66240</v>
      </c>
      <c r="B632" t="s">
        <v>19</v>
      </c>
      <c r="C632" t="s">
        <v>28</v>
      </c>
      <c r="D632">
        <v>216</v>
      </c>
      <c r="E632">
        <v>50</v>
      </c>
      <c r="F632">
        <v>449.01</v>
      </c>
      <c r="G632" t="s">
        <v>32</v>
      </c>
      <c r="H632" s="1">
        <v>45474</v>
      </c>
      <c r="I632" s="1">
        <v>45492</v>
      </c>
      <c r="J632" t="s">
        <v>39</v>
      </c>
      <c r="K632" t="b">
        <f>Table1[[#This Row],[CurrentStock]]&lt;Table1[[#This Row],[ReorderLevel]]</f>
        <v>0</v>
      </c>
      <c r="L632" s="9">
        <f>Table1[[#This Row],[CurrentStock]]*Table1[[#This Row],[UnitPrice]]</f>
        <v>96986.16</v>
      </c>
      <c r="M632" t="str">
        <f>IF(Table1[[#This Row],[ReorderLevel]]-Table1[[#This Row],[CurrentStock]]&gt;0,Table1[[#This Row],[ReorderLevel]]-Table1[[#This Row],[CurrentStock]],"")</f>
        <v/>
      </c>
      <c r="N632" t="str">
        <f>IF(Table1[[#This Row],[CurrentStock]]&gt;Table1[[#This Row],[ReorderLevel]]*3,"Over Stock","Okay")</f>
        <v>Over Stock</v>
      </c>
      <c r="O632" t="str">
        <f>IF(Table1[[#This Row],[CurrentStock]]&lt;Table1[[#This Row],[ReorderLevel]],"Reorder","Okay")</f>
        <v>Okay</v>
      </c>
    </row>
    <row r="633" spans="1:15" x14ac:dyDescent="0.3">
      <c r="A633">
        <v>46561</v>
      </c>
      <c r="B633" t="s">
        <v>22</v>
      </c>
      <c r="C633" t="s">
        <v>27</v>
      </c>
      <c r="D633">
        <v>29</v>
      </c>
      <c r="E633">
        <v>40</v>
      </c>
      <c r="F633">
        <v>395.05</v>
      </c>
      <c r="G633" t="s">
        <v>34</v>
      </c>
      <c r="H633" s="1">
        <v>45435</v>
      </c>
      <c r="I633" s="1">
        <v>45447</v>
      </c>
      <c r="J633" t="s">
        <v>38</v>
      </c>
      <c r="K633" t="b">
        <f>Table1[[#This Row],[CurrentStock]]&lt;Table1[[#This Row],[ReorderLevel]]</f>
        <v>1</v>
      </c>
      <c r="L633" s="9">
        <f>Table1[[#This Row],[CurrentStock]]*Table1[[#This Row],[UnitPrice]]</f>
        <v>11456.45</v>
      </c>
      <c r="M633">
        <f>IF(Table1[[#This Row],[ReorderLevel]]-Table1[[#This Row],[CurrentStock]]&gt;0,Table1[[#This Row],[ReorderLevel]]-Table1[[#This Row],[CurrentStock]],"")</f>
        <v>11</v>
      </c>
      <c r="N633" t="str">
        <f>IF(Table1[[#This Row],[CurrentStock]]&gt;Table1[[#This Row],[ReorderLevel]]*3,"Over Stock","Okay")</f>
        <v>Okay</v>
      </c>
      <c r="O633" t="str">
        <f>IF(Table1[[#This Row],[CurrentStock]]&lt;Table1[[#This Row],[ReorderLevel]],"Reorder","Okay")</f>
        <v>Reorder</v>
      </c>
    </row>
    <row r="634" spans="1:15" x14ac:dyDescent="0.3">
      <c r="A634">
        <v>20785</v>
      </c>
      <c r="B634" t="s">
        <v>24</v>
      </c>
      <c r="C634" t="s">
        <v>31</v>
      </c>
      <c r="D634">
        <v>190</v>
      </c>
      <c r="E634">
        <v>80</v>
      </c>
      <c r="F634">
        <v>430.06</v>
      </c>
      <c r="G634" t="s">
        <v>34</v>
      </c>
      <c r="H634" s="1">
        <v>45446</v>
      </c>
      <c r="I634" s="1">
        <v>45460</v>
      </c>
      <c r="J634" t="s">
        <v>37</v>
      </c>
      <c r="K634" t="b">
        <f>Table1[[#This Row],[CurrentStock]]&lt;Table1[[#This Row],[ReorderLevel]]</f>
        <v>0</v>
      </c>
      <c r="L634" s="9">
        <f>Table1[[#This Row],[CurrentStock]]*Table1[[#This Row],[UnitPrice]]</f>
        <v>81711.399999999994</v>
      </c>
      <c r="M634" t="str">
        <f>IF(Table1[[#This Row],[ReorderLevel]]-Table1[[#This Row],[CurrentStock]]&gt;0,Table1[[#This Row],[ReorderLevel]]-Table1[[#This Row],[CurrentStock]],"")</f>
        <v/>
      </c>
      <c r="N634" t="str">
        <f>IF(Table1[[#This Row],[CurrentStock]]&gt;Table1[[#This Row],[ReorderLevel]]*3,"Over Stock","Okay")</f>
        <v>Okay</v>
      </c>
      <c r="O634" t="str">
        <f>IF(Table1[[#This Row],[CurrentStock]]&lt;Table1[[#This Row],[ReorderLevel]],"Reorder","Okay")</f>
        <v>Okay</v>
      </c>
    </row>
    <row r="635" spans="1:15" x14ac:dyDescent="0.3">
      <c r="A635">
        <v>86106</v>
      </c>
      <c r="B635" t="s">
        <v>25</v>
      </c>
      <c r="C635" t="s">
        <v>31</v>
      </c>
      <c r="D635">
        <v>133</v>
      </c>
      <c r="E635">
        <v>80</v>
      </c>
      <c r="F635">
        <v>167.44</v>
      </c>
      <c r="G635" t="s">
        <v>33</v>
      </c>
      <c r="H635" s="1">
        <v>45628</v>
      </c>
      <c r="I635" s="1">
        <v>45656</v>
      </c>
      <c r="J635" t="s">
        <v>38</v>
      </c>
      <c r="K635" t="b">
        <f>Table1[[#This Row],[CurrentStock]]&lt;Table1[[#This Row],[ReorderLevel]]</f>
        <v>0</v>
      </c>
      <c r="L635" s="9">
        <f>Table1[[#This Row],[CurrentStock]]*Table1[[#This Row],[UnitPrice]]</f>
        <v>22269.52</v>
      </c>
      <c r="M635" t="str">
        <f>IF(Table1[[#This Row],[ReorderLevel]]-Table1[[#This Row],[CurrentStock]]&gt;0,Table1[[#This Row],[ReorderLevel]]-Table1[[#This Row],[CurrentStock]],"")</f>
        <v/>
      </c>
      <c r="N635" t="str">
        <f>IF(Table1[[#This Row],[CurrentStock]]&gt;Table1[[#This Row],[ReorderLevel]]*3,"Over Stock","Okay")</f>
        <v>Okay</v>
      </c>
      <c r="O635" t="str">
        <f>IF(Table1[[#This Row],[CurrentStock]]&lt;Table1[[#This Row],[ReorderLevel]],"Reorder","Okay")</f>
        <v>Okay</v>
      </c>
    </row>
    <row r="636" spans="1:15" x14ac:dyDescent="0.3">
      <c r="A636">
        <v>33474</v>
      </c>
      <c r="B636" t="s">
        <v>15</v>
      </c>
      <c r="C636" t="s">
        <v>29</v>
      </c>
      <c r="D636">
        <v>481</v>
      </c>
      <c r="E636">
        <v>50</v>
      </c>
      <c r="F636">
        <v>402.19</v>
      </c>
      <c r="G636" t="s">
        <v>33</v>
      </c>
      <c r="H636" s="1">
        <v>45457</v>
      </c>
      <c r="I636" s="1">
        <v>45475</v>
      </c>
      <c r="J636" t="s">
        <v>37</v>
      </c>
      <c r="K636" t="b">
        <f>Table1[[#This Row],[CurrentStock]]&lt;Table1[[#This Row],[ReorderLevel]]</f>
        <v>0</v>
      </c>
      <c r="L636" s="9">
        <f>Table1[[#This Row],[CurrentStock]]*Table1[[#This Row],[UnitPrice]]</f>
        <v>193453.38999999998</v>
      </c>
      <c r="M636" t="str">
        <f>IF(Table1[[#This Row],[ReorderLevel]]-Table1[[#This Row],[CurrentStock]]&gt;0,Table1[[#This Row],[ReorderLevel]]-Table1[[#This Row],[CurrentStock]],"")</f>
        <v/>
      </c>
      <c r="N636" t="str">
        <f>IF(Table1[[#This Row],[CurrentStock]]&gt;Table1[[#This Row],[ReorderLevel]]*3,"Over Stock","Okay")</f>
        <v>Over Stock</v>
      </c>
      <c r="O636" t="str">
        <f>IF(Table1[[#This Row],[CurrentStock]]&lt;Table1[[#This Row],[ReorderLevel]],"Reorder","Okay")</f>
        <v>Okay</v>
      </c>
    </row>
    <row r="637" spans="1:15" x14ac:dyDescent="0.3">
      <c r="A637">
        <v>12716</v>
      </c>
      <c r="B637" t="s">
        <v>13</v>
      </c>
      <c r="C637" t="s">
        <v>29</v>
      </c>
      <c r="D637">
        <v>275</v>
      </c>
      <c r="E637">
        <v>100</v>
      </c>
      <c r="F637">
        <v>429.96</v>
      </c>
      <c r="G637" t="s">
        <v>34</v>
      </c>
      <c r="H637" s="1">
        <v>45400</v>
      </c>
      <c r="I637" s="1">
        <v>45405</v>
      </c>
      <c r="J637" t="s">
        <v>38</v>
      </c>
      <c r="K637" t="b">
        <f>Table1[[#This Row],[CurrentStock]]&lt;Table1[[#This Row],[ReorderLevel]]</f>
        <v>0</v>
      </c>
      <c r="L637" s="9">
        <f>Table1[[#This Row],[CurrentStock]]*Table1[[#This Row],[UnitPrice]]</f>
        <v>118239</v>
      </c>
      <c r="M637" t="str">
        <f>IF(Table1[[#This Row],[ReorderLevel]]-Table1[[#This Row],[CurrentStock]]&gt;0,Table1[[#This Row],[ReorderLevel]]-Table1[[#This Row],[CurrentStock]],"")</f>
        <v/>
      </c>
      <c r="N637" t="str">
        <f>IF(Table1[[#This Row],[CurrentStock]]&gt;Table1[[#This Row],[ReorderLevel]]*3,"Over Stock","Okay")</f>
        <v>Okay</v>
      </c>
      <c r="O637" t="str">
        <f>IF(Table1[[#This Row],[CurrentStock]]&lt;Table1[[#This Row],[ReorderLevel]],"Reorder","Okay")</f>
        <v>Okay</v>
      </c>
    </row>
    <row r="638" spans="1:15" x14ac:dyDescent="0.3">
      <c r="A638">
        <v>60906</v>
      </c>
      <c r="B638" t="s">
        <v>13</v>
      </c>
      <c r="C638" t="s">
        <v>29</v>
      </c>
      <c r="D638">
        <v>245</v>
      </c>
      <c r="E638">
        <v>80</v>
      </c>
      <c r="F638">
        <v>31.55</v>
      </c>
      <c r="G638" t="s">
        <v>34</v>
      </c>
      <c r="H638" s="1">
        <v>45574</v>
      </c>
      <c r="I638" s="1">
        <v>45579</v>
      </c>
      <c r="J638" t="s">
        <v>38</v>
      </c>
      <c r="K638" t="b">
        <f>Table1[[#This Row],[CurrentStock]]&lt;Table1[[#This Row],[ReorderLevel]]</f>
        <v>0</v>
      </c>
      <c r="L638" s="9">
        <f>Table1[[#This Row],[CurrentStock]]*Table1[[#This Row],[UnitPrice]]</f>
        <v>7729.75</v>
      </c>
      <c r="M638" t="str">
        <f>IF(Table1[[#This Row],[ReorderLevel]]-Table1[[#This Row],[CurrentStock]]&gt;0,Table1[[#This Row],[ReorderLevel]]-Table1[[#This Row],[CurrentStock]],"")</f>
        <v/>
      </c>
      <c r="N638" t="str">
        <f>IF(Table1[[#This Row],[CurrentStock]]&gt;Table1[[#This Row],[ReorderLevel]]*3,"Over Stock","Okay")</f>
        <v>Over Stock</v>
      </c>
      <c r="O638" t="str">
        <f>IF(Table1[[#This Row],[CurrentStock]]&lt;Table1[[#This Row],[ReorderLevel]],"Reorder","Okay")</f>
        <v>Okay</v>
      </c>
    </row>
    <row r="639" spans="1:15" x14ac:dyDescent="0.3">
      <c r="A639">
        <v>21695</v>
      </c>
      <c r="B639" t="s">
        <v>19</v>
      </c>
      <c r="C639" t="s">
        <v>28</v>
      </c>
      <c r="D639">
        <v>330</v>
      </c>
      <c r="E639">
        <v>30</v>
      </c>
      <c r="F639">
        <v>276.70999999999998</v>
      </c>
      <c r="G639" t="s">
        <v>36</v>
      </c>
      <c r="H639" s="1">
        <v>45469</v>
      </c>
      <c r="I639" s="1">
        <v>45490</v>
      </c>
      <c r="J639" t="s">
        <v>38</v>
      </c>
      <c r="K639" t="b">
        <f>Table1[[#This Row],[CurrentStock]]&lt;Table1[[#This Row],[ReorderLevel]]</f>
        <v>0</v>
      </c>
      <c r="L639" s="9">
        <f>Table1[[#This Row],[CurrentStock]]*Table1[[#This Row],[UnitPrice]]</f>
        <v>91314.299999999988</v>
      </c>
      <c r="M639" t="str">
        <f>IF(Table1[[#This Row],[ReorderLevel]]-Table1[[#This Row],[CurrentStock]]&gt;0,Table1[[#This Row],[ReorderLevel]]-Table1[[#This Row],[CurrentStock]],"")</f>
        <v/>
      </c>
      <c r="N639" t="str">
        <f>IF(Table1[[#This Row],[CurrentStock]]&gt;Table1[[#This Row],[ReorderLevel]]*3,"Over Stock","Okay")</f>
        <v>Over Stock</v>
      </c>
      <c r="O639" t="str">
        <f>IF(Table1[[#This Row],[CurrentStock]]&lt;Table1[[#This Row],[ReorderLevel]],"Reorder","Okay")</f>
        <v>Okay</v>
      </c>
    </row>
    <row r="640" spans="1:15" x14ac:dyDescent="0.3">
      <c r="A640">
        <v>40480</v>
      </c>
      <c r="B640" t="s">
        <v>22</v>
      </c>
      <c r="C640" t="s">
        <v>27</v>
      </c>
      <c r="D640">
        <v>445</v>
      </c>
      <c r="E640">
        <v>40</v>
      </c>
      <c r="F640">
        <v>420.23</v>
      </c>
      <c r="G640" t="s">
        <v>34</v>
      </c>
      <c r="H640" s="1">
        <v>45544</v>
      </c>
      <c r="I640" s="1">
        <v>45579</v>
      </c>
      <c r="J640" t="s">
        <v>38</v>
      </c>
      <c r="K640" t="b">
        <f>Table1[[#This Row],[CurrentStock]]&lt;Table1[[#This Row],[ReorderLevel]]</f>
        <v>0</v>
      </c>
      <c r="L640" s="9">
        <f>Table1[[#This Row],[CurrentStock]]*Table1[[#This Row],[UnitPrice]]</f>
        <v>187002.35</v>
      </c>
      <c r="M640" t="str">
        <f>IF(Table1[[#This Row],[ReorderLevel]]-Table1[[#This Row],[CurrentStock]]&gt;0,Table1[[#This Row],[ReorderLevel]]-Table1[[#This Row],[CurrentStock]],"")</f>
        <v/>
      </c>
      <c r="N640" t="str">
        <f>IF(Table1[[#This Row],[CurrentStock]]&gt;Table1[[#This Row],[ReorderLevel]]*3,"Over Stock","Okay")</f>
        <v>Over Stock</v>
      </c>
      <c r="O640" t="str">
        <f>IF(Table1[[#This Row],[CurrentStock]]&lt;Table1[[#This Row],[ReorderLevel]],"Reorder","Okay")</f>
        <v>Okay</v>
      </c>
    </row>
    <row r="641" spans="1:15" x14ac:dyDescent="0.3">
      <c r="A641">
        <v>47425</v>
      </c>
      <c r="B641" t="s">
        <v>21</v>
      </c>
      <c r="C641" t="s">
        <v>31</v>
      </c>
      <c r="D641">
        <v>205</v>
      </c>
      <c r="E641">
        <v>30</v>
      </c>
      <c r="F641">
        <v>28.36</v>
      </c>
      <c r="G641" t="s">
        <v>34</v>
      </c>
      <c r="H641" s="1">
        <v>45361</v>
      </c>
      <c r="I641" s="1">
        <v>45392</v>
      </c>
      <c r="J641" t="s">
        <v>38</v>
      </c>
      <c r="K641" t="b">
        <f>Table1[[#This Row],[CurrentStock]]&lt;Table1[[#This Row],[ReorderLevel]]</f>
        <v>0</v>
      </c>
      <c r="L641" s="9">
        <f>Table1[[#This Row],[CurrentStock]]*Table1[[#This Row],[UnitPrice]]</f>
        <v>5813.8</v>
      </c>
      <c r="M641" t="str">
        <f>IF(Table1[[#This Row],[ReorderLevel]]-Table1[[#This Row],[CurrentStock]]&gt;0,Table1[[#This Row],[ReorderLevel]]-Table1[[#This Row],[CurrentStock]],"")</f>
        <v/>
      </c>
      <c r="N641" t="str">
        <f>IF(Table1[[#This Row],[CurrentStock]]&gt;Table1[[#This Row],[ReorderLevel]]*3,"Over Stock","Okay")</f>
        <v>Over Stock</v>
      </c>
      <c r="O641" t="str">
        <f>IF(Table1[[#This Row],[CurrentStock]]&lt;Table1[[#This Row],[ReorderLevel]],"Reorder","Okay")</f>
        <v>Okay</v>
      </c>
    </row>
    <row r="642" spans="1:15" x14ac:dyDescent="0.3">
      <c r="A642">
        <v>25581</v>
      </c>
      <c r="B642" t="s">
        <v>15</v>
      </c>
      <c r="C642" t="s">
        <v>29</v>
      </c>
      <c r="D642">
        <v>46</v>
      </c>
      <c r="E642">
        <v>80</v>
      </c>
      <c r="F642">
        <v>152.63999999999999</v>
      </c>
      <c r="G642" t="s">
        <v>34</v>
      </c>
      <c r="H642" s="1">
        <v>45643</v>
      </c>
      <c r="I642" s="1">
        <v>45679</v>
      </c>
      <c r="J642" t="s">
        <v>37</v>
      </c>
      <c r="K642" t="b">
        <f>Table1[[#This Row],[CurrentStock]]&lt;Table1[[#This Row],[ReorderLevel]]</f>
        <v>1</v>
      </c>
      <c r="L642" s="9">
        <f>Table1[[#This Row],[CurrentStock]]*Table1[[#This Row],[UnitPrice]]</f>
        <v>7021.44</v>
      </c>
      <c r="M642">
        <f>IF(Table1[[#This Row],[ReorderLevel]]-Table1[[#This Row],[CurrentStock]]&gt;0,Table1[[#This Row],[ReorderLevel]]-Table1[[#This Row],[CurrentStock]],"")</f>
        <v>34</v>
      </c>
      <c r="N642" t="str">
        <f>IF(Table1[[#This Row],[CurrentStock]]&gt;Table1[[#This Row],[ReorderLevel]]*3,"Over Stock","Okay")</f>
        <v>Okay</v>
      </c>
      <c r="O642" t="str">
        <f>IF(Table1[[#This Row],[CurrentStock]]&lt;Table1[[#This Row],[ReorderLevel]],"Reorder","Okay")</f>
        <v>Reorder</v>
      </c>
    </row>
    <row r="643" spans="1:15" x14ac:dyDescent="0.3">
      <c r="A643">
        <v>33649</v>
      </c>
      <c r="B643" t="s">
        <v>26</v>
      </c>
      <c r="C643" t="s">
        <v>30</v>
      </c>
      <c r="D643">
        <v>33</v>
      </c>
      <c r="E643">
        <v>100</v>
      </c>
      <c r="F643">
        <v>131.54</v>
      </c>
      <c r="G643" t="s">
        <v>33</v>
      </c>
      <c r="H643" s="1">
        <v>45625</v>
      </c>
      <c r="I643" s="1">
        <v>45658</v>
      </c>
      <c r="J643" t="s">
        <v>39</v>
      </c>
      <c r="K643" t="b">
        <f>Table1[[#This Row],[CurrentStock]]&lt;Table1[[#This Row],[ReorderLevel]]</f>
        <v>1</v>
      </c>
      <c r="L643" s="9">
        <f>Table1[[#This Row],[CurrentStock]]*Table1[[#This Row],[UnitPrice]]</f>
        <v>4340.82</v>
      </c>
      <c r="M643">
        <f>IF(Table1[[#This Row],[ReorderLevel]]-Table1[[#This Row],[CurrentStock]]&gt;0,Table1[[#This Row],[ReorderLevel]]-Table1[[#This Row],[CurrentStock]],"")</f>
        <v>67</v>
      </c>
      <c r="N643" t="str">
        <f>IF(Table1[[#This Row],[CurrentStock]]&gt;Table1[[#This Row],[ReorderLevel]]*3,"Over Stock","Okay")</f>
        <v>Okay</v>
      </c>
      <c r="O643" t="str">
        <f>IF(Table1[[#This Row],[CurrentStock]]&lt;Table1[[#This Row],[ReorderLevel]],"Reorder","Okay")</f>
        <v>Reorder</v>
      </c>
    </row>
    <row r="644" spans="1:15" x14ac:dyDescent="0.3">
      <c r="A644">
        <v>24645</v>
      </c>
      <c r="B644" t="s">
        <v>16</v>
      </c>
      <c r="C644" t="s">
        <v>30</v>
      </c>
      <c r="D644">
        <v>414</v>
      </c>
      <c r="E644">
        <v>80</v>
      </c>
      <c r="F644">
        <v>210.85</v>
      </c>
      <c r="G644" t="s">
        <v>33</v>
      </c>
      <c r="H644" s="1">
        <v>45305</v>
      </c>
      <c r="I644" s="1">
        <v>45317</v>
      </c>
      <c r="J644" t="s">
        <v>37</v>
      </c>
      <c r="K644" t="b">
        <f>Table1[[#This Row],[CurrentStock]]&lt;Table1[[#This Row],[ReorderLevel]]</f>
        <v>0</v>
      </c>
      <c r="L644" s="9">
        <f>Table1[[#This Row],[CurrentStock]]*Table1[[#This Row],[UnitPrice]]</f>
        <v>87291.9</v>
      </c>
      <c r="M644" t="str">
        <f>IF(Table1[[#This Row],[ReorderLevel]]-Table1[[#This Row],[CurrentStock]]&gt;0,Table1[[#This Row],[ReorderLevel]]-Table1[[#This Row],[CurrentStock]],"")</f>
        <v/>
      </c>
      <c r="N644" t="str">
        <f>IF(Table1[[#This Row],[CurrentStock]]&gt;Table1[[#This Row],[ReorderLevel]]*3,"Over Stock","Okay")</f>
        <v>Over Stock</v>
      </c>
      <c r="O644" t="str">
        <f>IF(Table1[[#This Row],[CurrentStock]]&lt;Table1[[#This Row],[ReorderLevel]],"Reorder","Okay")</f>
        <v>Okay</v>
      </c>
    </row>
    <row r="645" spans="1:15" x14ac:dyDescent="0.3">
      <c r="A645">
        <v>24626</v>
      </c>
      <c r="B645" t="s">
        <v>23</v>
      </c>
      <c r="C645" t="s">
        <v>30</v>
      </c>
      <c r="D645">
        <v>88</v>
      </c>
      <c r="E645">
        <v>100</v>
      </c>
      <c r="F645">
        <v>210.5</v>
      </c>
      <c r="G645" t="s">
        <v>36</v>
      </c>
      <c r="H645" s="1">
        <v>45376</v>
      </c>
      <c r="I645" s="1">
        <v>45402</v>
      </c>
      <c r="J645" t="s">
        <v>39</v>
      </c>
      <c r="K645" t="b">
        <f>Table1[[#This Row],[CurrentStock]]&lt;Table1[[#This Row],[ReorderLevel]]</f>
        <v>1</v>
      </c>
      <c r="L645" s="9">
        <f>Table1[[#This Row],[CurrentStock]]*Table1[[#This Row],[UnitPrice]]</f>
        <v>18524</v>
      </c>
      <c r="M645">
        <f>IF(Table1[[#This Row],[ReorderLevel]]-Table1[[#This Row],[CurrentStock]]&gt;0,Table1[[#This Row],[ReorderLevel]]-Table1[[#This Row],[CurrentStock]],"")</f>
        <v>12</v>
      </c>
      <c r="N645" t="str">
        <f>IF(Table1[[#This Row],[CurrentStock]]&gt;Table1[[#This Row],[ReorderLevel]]*3,"Over Stock","Okay")</f>
        <v>Okay</v>
      </c>
      <c r="O645" t="str">
        <f>IF(Table1[[#This Row],[CurrentStock]]&lt;Table1[[#This Row],[ReorderLevel]],"Reorder","Okay")</f>
        <v>Reorder</v>
      </c>
    </row>
    <row r="646" spans="1:15" x14ac:dyDescent="0.3">
      <c r="A646">
        <v>16054</v>
      </c>
      <c r="B646" t="s">
        <v>24</v>
      </c>
      <c r="C646" t="s">
        <v>31</v>
      </c>
      <c r="D646">
        <v>426</v>
      </c>
      <c r="E646">
        <v>20</v>
      </c>
      <c r="F646">
        <v>142.05000000000001</v>
      </c>
      <c r="G646" t="s">
        <v>33</v>
      </c>
      <c r="H646" s="1">
        <v>45421</v>
      </c>
      <c r="I646" s="1">
        <v>45429</v>
      </c>
      <c r="J646" t="s">
        <v>39</v>
      </c>
      <c r="K646" t="b">
        <f>Table1[[#This Row],[CurrentStock]]&lt;Table1[[#This Row],[ReorderLevel]]</f>
        <v>0</v>
      </c>
      <c r="L646" s="9">
        <f>Table1[[#This Row],[CurrentStock]]*Table1[[#This Row],[UnitPrice]]</f>
        <v>60513.3</v>
      </c>
      <c r="M646" t="str">
        <f>IF(Table1[[#This Row],[ReorderLevel]]-Table1[[#This Row],[CurrentStock]]&gt;0,Table1[[#This Row],[ReorderLevel]]-Table1[[#This Row],[CurrentStock]],"")</f>
        <v/>
      </c>
      <c r="N646" t="str">
        <f>IF(Table1[[#This Row],[CurrentStock]]&gt;Table1[[#This Row],[ReorderLevel]]*3,"Over Stock","Okay")</f>
        <v>Over Stock</v>
      </c>
      <c r="O646" t="str">
        <f>IF(Table1[[#This Row],[CurrentStock]]&lt;Table1[[#This Row],[ReorderLevel]],"Reorder","Okay")</f>
        <v>Okay</v>
      </c>
    </row>
    <row r="647" spans="1:15" x14ac:dyDescent="0.3">
      <c r="A647">
        <v>76985</v>
      </c>
      <c r="B647" t="s">
        <v>19</v>
      </c>
      <c r="C647" t="s">
        <v>28</v>
      </c>
      <c r="D647">
        <v>472</v>
      </c>
      <c r="E647">
        <v>80</v>
      </c>
      <c r="F647">
        <v>133.5</v>
      </c>
      <c r="G647" t="s">
        <v>35</v>
      </c>
      <c r="H647" s="1">
        <v>45307</v>
      </c>
      <c r="I647" s="1">
        <v>45320</v>
      </c>
      <c r="J647" t="s">
        <v>39</v>
      </c>
      <c r="K647" t="b">
        <f>Table1[[#This Row],[CurrentStock]]&lt;Table1[[#This Row],[ReorderLevel]]</f>
        <v>0</v>
      </c>
      <c r="L647" s="9">
        <f>Table1[[#This Row],[CurrentStock]]*Table1[[#This Row],[UnitPrice]]</f>
        <v>63012</v>
      </c>
      <c r="M647" t="str">
        <f>IF(Table1[[#This Row],[ReorderLevel]]-Table1[[#This Row],[CurrentStock]]&gt;0,Table1[[#This Row],[ReorderLevel]]-Table1[[#This Row],[CurrentStock]],"")</f>
        <v/>
      </c>
      <c r="N647" t="str">
        <f>IF(Table1[[#This Row],[CurrentStock]]&gt;Table1[[#This Row],[ReorderLevel]]*3,"Over Stock","Okay")</f>
        <v>Over Stock</v>
      </c>
      <c r="O647" t="str">
        <f>IF(Table1[[#This Row],[CurrentStock]]&lt;Table1[[#This Row],[ReorderLevel]],"Reorder","Okay")</f>
        <v>Okay</v>
      </c>
    </row>
    <row r="648" spans="1:15" x14ac:dyDescent="0.3">
      <c r="A648">
        <v>55212</v>
      </c>
      <c r="B648" t="s">
        <v>19</v>
      </c>
      <c r="C648" t="s">
        <v>28</v>
      </c>
      <c r="D648">
        <v>99</v>
      </c>
      <c r="E648">
        <v>100</v>
      </c>
      <c r="F648">
        <v>422.72</v>
      </c>
      <c r="G648" t="s">
        <v>32</v>
      </c>
      <c r="H648" s="1">
        <v>45569</v>
      </c>
      <c r="I648" s="1">
        <v>45607</v>
      </c>
      <c r="J648" t="s">
        <v>39</v>
      </c>
      <c r="K648" t="b">
        <f>Table1[[#This Row],[CurrentStock]]&lt;Table1[[#This Row],[ReorderLevel]]</f>
        <v>1</v>
      </c>
      <c r="L648" s="9">
        <f>Table1[[#This Row],[CurrentStock]]*Table1[[#This Row],[UnitPrice]]</f>
        <v>41849.280000000006</v>
      </c>
      <c r="M648">
        <f>IF(Table1[[#This Row],[ReorderLevel]]-Table1[[#This Row],[CurrentStock]]&gt;0,Table1[[#This Row],[ReorderLevel]]-Table1[[#This Row],[CurrentStock]],"")</f>
        <v>1</v>
      </c>
      <c r="N648" t="str">
        <f>IF(Table1[[#This Row],[CurrentStock]]&gt;Table1[[#This Row],[ReorderLevel]]*3,"Over Stock","Okay")</f>
        <v>Okay</v>
      </c>
      <c r="O648" t="str">
        <f>IF(Table1[[#This Row],[CurrentStock]]&lt;Table1[[#This Row],[ReorderLevel]],"Reorder","Okay")</f>
        <v>Reorder</v>
      </c>
    </row>
    <row r="649" spans="1:15" x14ac:dyDescent="0.3">
      <c r="A649">
        <v>21523</v>
      </c>
      <c r="B649" t="s">
        <v>12</v>
      </c>
      <c r="C649" t="s">
        <v>28</v>
      </c>
      <c r="D649">
        <v>326</v>
      </c>
      <c r="E649">
        <v>20</v>
      </c>
      <c r="F649">
        <v>119.76</v>
      </c>
      <c r="G649" t="s">
        <v>36</v>
      </c>
      <c r="H649" s="1">
        <v>45292</v>
      </c>
      <c r="I649" s="1">
        <v>45320</v>
      </c>
      <c r="J649" t="s">
        <v>39</v>
      </c>
      <c r="K649" t="b">
        <f>Table1[[#This Row],[CurrentStock]]&lt;Table1[[#This Row],[ReorderLevel]]</f>
        <v>0</v>
      </c>
      <c r="L649" s="9">
        <f>Table1[[#This Row],[CurrentStock]]*Table1[[#This Row],[UnitPrice]]</f>
        <v>39041.760000000002</v>
      </c>
      <c r="M649" t="str">
        <f>IF(Table1[[#This Row],[ReorderLevel]]-Table1[[#This Row],[CurrentStock]]&gt;0,Table1[[#This Row],[ReorderLevel]]-Table1[[#This Row],[CurrentStock]],"")</f>
        <v/>
      </c>
      <c r="N649" t="str">
        <f>IF(Table1[[#This Row],[CurrentStock]]&gt;Table1[[#This Row],[ReorderLevel]]*3,"Over Stock","Okay")</f>
        <v>Over Stock</v>
      </c>
      <c r="O649" t="str">
        <f>IF(Table1[[#This Row],[CurrentStock]]&lt;Table1[[#This Row],[ReorderLevel]],"Reorder","Okay")</f>
        <v>Okay</v>
      </c>
    </row>
    <row r="650" spans="1:15" x14ac:dyDescent="0.3">
      <c r="A650">
        <v>15583</v>
      </c>
      <c r="B650" t="s">
        <v>13</v>
      </c>
      <c r="C650" t="s">
        <v>29</v>
      </c>
      <c r="D650">
        <v>58</v>
      </c>
      <c r="E650">
        <v>20</v>
      </c>
      <c r="F650">
        <v>360.77</v>
      </c>
      <c r="G650" t="s">
        <v>33</v>
      </c>
      <c r="H650" s="1">
        <v>45396</v>
      </c>
      <c r="I650" s="1">
        <v>45406</v>
      </c>
      <c r="J650" t="s">
        <v>38</v>
      </c>
      <c r="K650" t="b">
        <f>Table1[[#This Row],[CurrentStock]]&lt;Table1[[#This Row],[ReorderLevel]]</f>
        <v>0</v>
      </c>
      <c r="L650" s="9">
        <f>Table1[[#This Row],[CurrentStock]]*Table1[[#This Row],[UnitPrice]]</f>
        <v>20924.66</v>
      </c>
      <c r="M650" t="str">
        <f>IF(Table1[[#This Row],[ReorderLevel]]-Table1[[#This Row],[CurrentStock]]&gt;0,Table1[[#This Row],[ReorderLevel]]-Table1[[#This Row],[CurrentStock]],"")</f>
        <v/>
      </c>
      <c r="N650" t="str">
        <f>IF(Table1[[#This Row],[CurrentStock]]&gt;Table1[[#This Row],[ReorderLevel]]*3,"Over Stock","Okay")</f>
        <v>Okay</v>
      </c>
      <c r="O650" t="str">
        <f>IF(Table1[[#This Row],[CurrentStock]]&lt;Table1[[#This Row],[ReorderLevel]],"Reorder","Okay")</f>
        <v>Okay</v>
      </c>
    </row>
    <row r="651" spans="1:15" x14ac:dyDescent="0.3">
      <c r="A651">
        <v>81792</v>
      </c>
      <c r="B651" t="s">
        <v>21</v>
      </c>
      <c r="C651" t="s">
        <v>31</v>
      </c>
      <c r="D651">
        <v>471</v>
      </c>
      <c r="E651">
        <v>20</v>
      </c>
      <c r="F651">
        <v>198.95</v>
      </c>
      <c r="G651" t="s">
        <v>36</v>
      </c>
      <c r="H651" s="1">
        <v>45309</v>
      </c>
      <c r="I651" s="1">
        <v>45326</v>
      </c>
      <c r="J651" t="s">
        <v>38</v>
      </c>
      <c r="K651" t="b">
        <f>Table1[[#This Row],[CurrentStock]]&lt;Table1[[#This Row],[ReorderLevel]]</f>
        <v>0</v>
      </c>
      <c r="L651" s="9">
        <f>Table1[[#This Row],[CurrentStock]]*Table1[[#This Row],[UnitPrice]]</f>
        <v>93705.45</v>
      </c>
      <c r="M651" t="str">
        <f>IF(Table1[[#This Row],[ReorderLevel]]-Table1[[#This Row],[CurrentStock]]&gt;0,Table1[[#This Row],[ReorderLevel]]-Table1[[#This Row],[CurrentStock]],"")</f>
        <v/>
      </c>
      <c r="N651" t="str">
        <f>IF(Table1[[#This Row],[CurrentStock]]&gt;Table1[[#This Row],[ReorderLevel]]*3,"Over Stock","Okay")</f>
        <v>Over Stock</v>
      </c>
      <c r="O651" t="str">
        <f>IF(Table1[[#This Row],[CurrentStock]]&lt;Table1[[#This Row],[ReorderLevel]],"Reorder","Okay")</f>
        <v>Okay</v>
      </c>
    </row>
    <row r="652" spans="1:15" x14ac:dyDescent="0.3">
      <c r="A652">
        <v>12809</v>
      </c>
      <c r="B652" t="s">
        <v>23</v>
      </c>
      <c r="C652" t="s">
        <v>30</v>
      </c>
      <c r="D652">
        <v>464</v>
      </c>
      <c r="E652">
        <v>150</v>
      </c>
      <c r="F652">
        <v>387.73</v>
      </c>
      <c r="G652" t="s">
        <v>33</v>
      </c>
      <c r="H652" s="1">
        <v>45473</v>
      </c>
      <c r="I652" s="1">
        <v>45507</v>
      </c>
      <c r="J652" t="s">
        <v>39</v>
      </c>
      <c r="K652" t="b">
        <f>Table1[[#This Row],[CurrentStock]]&lt;Table1[[#This Row],[ReorderLevel]]</f>
        <v>0</v>
      </c>
      <c r="L652" s="9">
        <f>Table1[[#This Row],[CurrentStock]]*Table1[[#This Row],[UnitPrice]]</f>
        <v>179906.72</v>
      </c>
      <c r="M652" t="str">
        <f>IF(Table1[[#This Row],[ReorderLevel]]-Table1[[#This Row],[CurrentStock]]&gt;0,Table1[[#This Row],[ReorderLevel]]-Table1[[#This Row],[CurrentStock]],"")</f>
        <v/>
      </c>
      <c r="N652" t="str">
        <f>IF(Table1[[#This Row],[CurrentStock]]&gt;Table1[[#This Row],[ReorderLevel]]*3,"Over Stock","Okay")</f>
        <v>Over Stock</v>
      </c>
      <c r="O652" t="str">
        <f>IF(Table1[[#This Row],[CurrentStock]]&lt;Table1[[#This Row],[ReorderLevel]],"Reorder","Okay")</f>
        <v>Okay</v>
      </c>
    </row>
    <row r="653" spans="1:15" x14ac:dyDescent="0.3">
      <c r="A653">
        <v>47333</v>
      </c>
      <c r="B653" t="s">
        <v>22</v>
      </c>
      <c r="C653" t="s">
        <v>27</v>
      </c>
      <c r="D653">
        <v>70</v>
      </c>
      <c r="E653">
        <v>30</v>
      </c>
      <c r="F653">
        <v>493.51</v>
      </c>
      <c r="G653" t="s">
        <v>33</v>
      </c>
      <c r="H653" s="1">
        <v>45587</v>
      </c>
      <c r="I653" s="1">
        <v>45597</v>
      </c>
      <c r="J653" t="s">
        <v>37</v>
      </c>
      <c r="K653" t="b">
        <f>Table1[[#This Row],[CurrentStock]]&lt;Table1[[#This Row],[ReorderLevel]]</f>
        <v>0</v>
      </c>
      <c r="L653" s="9">
        <f>Table1[[#This Row],[CurrentStock]]*Table1[[#This Row],[UnitPrice]]</f>
        <v>34545.699999999997</v>
      </c>
      <c r="M653" t="str">
        <f>IF(Table1[[#This Row],[ReorderLevel]]-Table1[[#This Row],[CurrentStock]]&gt;0,Table1[[#This Row],[ReorderLevel]]-Table1[[#This Row],[CurrentStock]],"")</f>
        <v/>
      </c>
      <c r="N653" t="str">
        <f>IF(Table1[[#This Row],[CurrentStock]]&gt;Table1[[#This Row],[ReorderLevel]]*3,"Over Stock","Okay")</f>
        <v>Okay</v>
      </c>
      <c r="O653" t="str">
        <f>IF(Table1[[#This Row],[CurrentStock]]&lt;Table1[[#This Row],[ReorderLevel]],"Reorder","Okay")</f>
        <v>Okay</v>
      </c>
    </row>
    <row r="654" spans="1:15" x14ac:dyDescent="0.3">
      <c r="A654">
        <v>72894</v>
      </c>
      <c r="B654" t="s">
        <v>14</v>
      </c>
      <c r="C654" t="s">
        <v>27</v>
      </c>
      <c r="D654">
        <v>304</v>
      </c>
      <c r="E654">
        <v>50</v>
      </c>
      <c r="F654">
        <v>432.15</v>
      </c>
      <c r="G654" t="s">
        <v>34</v>
      </c>
      <c r="H654" s="1">
        <v>45576</v>
      </c>
      <c r="I654" s="1">
        <v>45601</v>
      </c>
      <c r="J654" t="s">
        <v>39</v>
      </c>
      <c r="K654" t="b">
        <f>Table1[[#This Row],[CurrentStock]]&lt;Table1[[#This Row],[ReorderLevel]]</f>
        <v>0</v>
      </c>
      <c r="L654" s="9">
        <f>Table1[[#This Row],[CurrentStock]]*Table1[[#This Row],[UnitPrice]]</f>
        <v>131373.6</v>
      </c>
      <c r="M654" t="str">
        <f>IF(Table1[[#This Row],[ReorderLevel]]-Table1[[#This Row],[CurrentStock]]&gt;0,Table1[[#This Row],[ReorderLevel]]-Table1[[#This Row],[CurrentStock]],"")</f>
        <v/>
      </c>
      <c r="N654" t="str">
        <f>IF(Table1[[#This Row],[CurrentStock]]&gt;Table1[[#This Row],[ReorderLevel]]*3,"Over Stock","Okay")</f>
        <v>Over Stock</v>
      </c>
      <c r="O654" t="str">
        <f>IF(Table1[[#This Row],[CurrentStock]]&lt;Table1[[#This Row],[ReorderLevel]],"Reorder","Okay")</f>
        <v>Okay</v>
      </c>
    </row>
    <row r="655" spans="1:15" x14ac:dyDescent="0.3">
      <c r="A655">
        <v>58821</v>
      </c>
      <c r="B655" t="s">
        <v>13</v>
      </c>
      <c r="C655" t="s">
        <v>29</v>
      </c>
      <c r="D655">
        <v>197</v>
      </c>
      <c r="E655">
        <v>50</v>
      </c>
      <c r="F655">
        <v>414.62</v>
      </c>
      <c r="G655" t="s">
        <v>35</v>
      </c>
      <c r="H655" s="1">
        <v>45619</v>
      </c>
      <c r="I655" s="1">
        <v>45624</v>
      </c>
      <c r="J655" t="s">
        <v>37</v>
      </c>
      <c r="K655" t="b">
        <f>Table1[[#This Row],[CurrentStock]]&lt;Table1[[#This Row],[ReorderLevel]]</f>
        <v>0</v>
      </c>
      <c r="L655" s="9">
        <f>Table1[[#This Row],[CurrentStock]]*Table1[[#This Row],[UnitPrice]]</f>
        <v>81680.14</v>
      </c>
      <c r="M655" t="str">
        <f>IF(Table1[[#This Row],[ReorderLevel]]-Table1[[#This Row],[CurrentStock]]&gt;0,Table1[[#This Row],[ReorderLevel]]-Table1[[#This Row],[CurrentStock]],"")</f>
        <v/>
      </c>
      <c r="N655" t="str">
        <f>IF(Table1[[#This Row],[CurrentStock]]&gt;Table1[[#This Row],[ReorderLevel]]*3,"Over Stock","Okay")</f>
        <v>Over Stock</v>
      </c>
      <c r="O655" t="str">
        <f>IF(Table1[[#This Row],[CurrentStock]]&lt;Table1[[#This Row],[ReorderLevel]],"Reorder","Okay")</f>
        <v>Okay</v>
      </c>
    </row>
    <row r="656" spans="1:15" x14ac:dyDescent="0.3">
      <c r="A656">
        <v>88812</v>
      </c>
      <c r="B656" t="s">
        <v>15</v>
      </c>
      <c r="C656" t="s">
        <v>29</v>
      </c>
      <c r="D656">
        <v>318</v>
      </c>
      <c r="E656">
        <v>20</v>
      </c>
      <c r="F656">
        <v>149.22</v>
      </c>
      <c r="G656" t="s">
        <v>32</v>
      </c>
      <c r="H656" s="1">
        <v>45390</v>
      </c>
      <c r="I656" s="1">
        <v>45424</v>
      </c>
      <c r="J656" t="s">
        <v>39</v>
      </c>
      <c r="K656" t="b">
        <f>Table1[[#This Row],[CurrentStock]]&lt;Table1[[#This Row],[ReorderLevel]]</f>
        <v>0</v>
      </c>
      <c r="L656" s="9">
        <f>Table1[[#This Row],[CurrentStock]]*Table1[[#This Row],[UnitPrice]]</f>
        <v>47451.96</v>
      </c>
      <c r="M656" t="str">
        <f>IF(Table1[[#This Row],[ReorderLevel]]-Table1[[#This Row],[CurrentStock]]&gt;0,Table1[[#This Row],[ReorderLevel]]-Table1[[#This Row],[CurrentStock]],"")</f>
        <v/>
      </c>
      <c r="N656" t="str">
        <f>IF(Table1[[#This Row],[CurrentStock]]&gt;Table1[[#This Row],[ReorderLevel]]*3,"Over Stock","Okay")</f>
        <v>Over Stock</v>
      </c>
      <c r="O656" t="str">
        <f>IF(Table1[[#This Row],[CurrentStock]]&lt;Table1[[#This Row],[ReorderLevel]],"Reorder","Okay")</f>
        <v>Okay</v>
      </c>
    </row>
    <row r="657" spans="1:15" x14ac:dyDescent="0.3">
      <c r="A657">
        <v>77695</v>
      </c>
      <c r="B657" t="s">
        <v>16</v>
      </c>
      <c r="C657" t="s">
        <v>30</v>
      </c>
      <c r="D657">
        <v>424</v>
      </c>
      <c r="E657">
        <v>30</v>
      </c>
      <c r="F657">
        <v>57.87</v>
      </c>
      <c r="G657" t="s">
        <v>33</v>
      </c>
      <c r="H657" s="1">
        <v>45322</v>
      </c>
      <c r="I657" s="1">
        <v>45356</v>
      </c>
      <c r="J657" t="s">
        <v>38</v>
      </c>
      <c r="K657" t="b">
        <f>Table1[[#This Row],[CurrentStock]]&lt;Table1[[#This Row],[ReorderLevel]]</f>
        <v>0</v>
      </c>
      <c r="L657" s="9">
        <f>Table1[[#This Row],[CurrentStock]]*Table1[[#This Row],[UnitPrice]]</f>
        <v>24536.879999999997</v>
      </c>
      <c r="M657" t="str">
        <f>IF(Table1[[#This Row],[ReorderLevel]]-Table1[[#This Row],[CurrentStock]]&gt;0,Table1[[#This Row],[ReorderLevel]]-Table1[[#This Row],[CurrentStock]],"")</f>
        <v/>
      </c>
      <c r="N657" t="str">
        <f>IF(Table1[[#This Row],[CurrentStock]]&gt;Table1[[#This Row],[ReorderLevel]]*3,"Over Stock","Okay")</f>
        <v>Over Stock</v>
      </c>
      <c r="O657" t="str">
        <f>IF(Table1[[#This Row],[CurrentStock]]&lt;Table1[[#This Row],[ReorderLevel]],"Reorder","Okay")</f>
        <v>Okay</v>
      </c>
    </row>
    <row r="658" spans="1:15" x14ac:dyDescent="0.3">
      <c r="A658">
        <v>38610</v>
      </c>
      <c r="B658" t="s">
        <v>24</v>
      </c>
      <c r="C658" t="s">
        <v>31</v>
      </c>
      <c r="D658">
        <v>293</v>
      </c>
      <c r="E658">
        <v>100</v>
      </c>
      <c r="F658">
        <v>338.64</v>
      </c>
      <c r="G658" t="s">
        <v>32</v>
      </c>
      <c r="H658" s="1">
        <v>45498</v>
      </c>
      <c r="I658" s="1">
        <v>45524</v>
      </c>
      <c r="J658" t="s">
        <v>37</v>
      </c>
      <c r="K658" t="b">
        <f>Table1[[#This Row],[CurrentStock]]&lt;Table1[[#This Row],[ReorderLevel]]</f>
        <v>0</v>
      </c>
      <c r="L658" s="9">
        <f>Table1[[#This Row],[CurrentStock]]*Table1[[#This Row],[UnitPrice]]</f>
        <v>99221.51999999999</v>
      </c>
      <c r="M658" t="str">
        <f>IF(Table1[[#This Row],[ReorderLevel]]-Table1[[#This Row],[CurrentStock]]&gt;0,Table1[[#This Row],[ReorderLevel]]-Table1[[#This Row],[CurrentStock]],"")</f>
        <v/>
      </c>
      <c r="N658" t="str">
        <f>IF(Table1[[#This Row],[CurrentStock]]&gt;Table1[[#This Row],[ReorderLevel]]*3,"Over Stock","Okay")</f>
        <v>Okay</v>
      </c>
      <c r="O658" t="str">
        <f>IF(Table1[[#This Row],[CurrentStock]]&lt;Table1[[#This Row],[ReorderLevel]],"Reorder","Okay")</f>
        <v>Okay</v>
      </c>
    </row>
    <row r="659" spans="1:15" x14ac:dyDescent="0.3">
      <c r="A659">
        <v>70892</v>
      </c>
      <c r="B659" t="s">
        <v>14</v>
      </c>
      <c r="C659" t="s">
        <v>27</v>
      </c>
      <c r="D659">
        <v>290</v>
      </c>
      <c r="E659">
        <v>30</v>
      </c>
      <c r="F659">
        <v>99.11</v>
      </c>
      <c r="G659" t="s">
        <v>36</v>
      </c>
      <c r="H659" s="1">
        <v>45599</v>
      </c>
      <c r="I659" s="1">
        <v>45624</v>
      </c>
      <c r="J659" t="s">
        <v>37</v>
      </c>
      <c r="K659" t="b">
        <f>Table1[[#This Row],[CurrentStock]]&lt;Table1[[#This Row],[ReorderLevel]]</f>
        <v>0</v>
      </c>
      <c r="L659" s="9">
        <f>Table1[[#This Row],[CurrentStock]]*Table1[[#This Row],[UnitPrice]]</f>
        <v>28741.9</v>
      </c>
      <c r="M659" t="str">
        <f>IF(Table1[[#This Row],[ReorderLevel]]-Table1[[#This Row],[CurrentStock]]&gt;0,Table1[[#This Row],[ReorderLevel]]-Table1[[#This Row],[CurrentStock]],"")</f>
        <v/>
      </c>
      <c r="N659" t="str">
        <f>IF(Table1[[#This Row],[CurrentStock]]&gt;Table1[[#This Row],[ReorderLevel]]*3,"Over Stock","Okay")</f>
        <v>Over Stock</v>
      </c>
      <c r="O659" t="str">
        <f>IF(Table1[[#This Row],[CurrentStock]]&lt;Table1[[#This Row],[ReorderLevel]],"Reorder","Okay")</f>
        <v>Okay</v>
      </c>
    </row>
    <row r="660" spans="1:15" x14ac:dyDescent="0.3">
      <c r="A660">
        <v>12895</v>
      </c>
      <c r="B660" t="s">
        <v>20</v>
      </c>
      <c r="C660" t="s">
        <v>29</v>
      </c>
      <c r="D660">
        <v>218</v>
      </c>
      <c r="E660">
        <v>80</v>
      </c>
      <c r="F660">
        <v>430.52</v>
      </c>
      <c r="G660" t="s">
        <v>34</v>
      </c>
      <c r="H660" s="1">
        <v>45352</v>
      </c>
      <c r="I660" s="1">
        <v>45382</v>
      </c>
      <c r="J660" t="s">
        <v>37</v>
      </c>
      <c r="K660" t="b">
        <f>Table1[[#This Row],[CurrentStock]]&lt;Table1[[#This Row],[ReorderLevel]]</f>
        <v>0</v>
      </c>
      <c r="L660" s="9">
        <f>Table1[[#This Row],[CurrentStock]]*Table1[[#This Row],[UnitPrice]]</f>
        <v>93853.36</v>
      </c>
      <c r="M660" t="str">
        <f>IF(Table1[[#This Row],[ReorderLevel]]-Table1[[#This Row],[CurrentStock]]&gt;0,Table1[[#This Row],[ReorderLevel]]-Table1[[#This Row],[CurrentStock]],"")</f>
        <v/>
      </c>
      <c r="N660" t="str">
        <f>IF(Table1[[#This Row],[CurrentStock]]&gt;Table1[[#This Row],[ReorderLevel]]*3,"Over Stock","Okay")</f>
        <v>Okay</v>
      </c>
      <c r="O660" t="str">
        <f>IF(Table1[[#This Row],[CurrentStock]]&lt;Table1[[#This Row],[ReorderLevel]],"Reorder","Okay")</f>
        <v>Okay</v>
      </c>
    </row>
    <row r="661" spans="1:15" x14ac:dyDescent="0.3">
      <c r="A661">
        <v>95382</v>
      </c>
      <c r="B661" t="s">
        <v>14</v>
      </c>
      <c r="C661" t="s">
        <v>27</v>
      </c>
      <c r="D661">
        <v>191</v>
      </c>
      <c r="E661">
        <v>40</v>
      </c>
      <c r="F661">
        <v>12.12</v>
      </c>
      <c r="G661" t="s">
        <v>34</v>
      </c>
      <c r="H661" s="1">
        <v>45478</v>
      </c>
      <c r="I661" s="1">
        <v>45505</v>
      </c>
      <c r="J661" t="s">
        <v>37</v>
      </c>
      <c r="K661" t="b">
        <f>Table1[[#This Row],[CurrentStock]]&lt;Table1[[#This Row],[ReorderLevel]]</f>
        <v>0</v>
      </c>
      <c r="L661" s="9">
        <f>Table1[[#This Row],[CurrentStock]]*Table1[[#This Row],[UnitPrice]]</f>
        <v>2314.92</v>
      </c>
      <c r="M661" t="str">
        <f>IF(Table1[[#This Row],[ReorderLevel]]-Table1[[#This Row],[CurrentStock]]&gt;0,Table1[[#This Row],[ReorderLevel]]-Table1[[#This Row],[CurrentStock]],"")</f>
        <v/>
      </c>
      <c r="N661" t="str">
        <f>IF(Table1[[#This Row],[CurrentStock]]&gt;Table1[[#This Row],[ReorderLevel]]*3,"Over Stock","Okay")</f>
        <v>Over Stock</v>
      </c>
      <c r="O661" t="str">
        <f>IF(Table1[[#This Row],[CurrentStock]]&lt;Table1[[#This Row],[ReorderLevel]],"Reorder","Okay")</f>
        <v>Okay</v>
      </c>
    </row>
    <row r="662" spans="1:15" x14ac:dyDescent="0.3">
      <c r="A662">
        <v>88863</v>
      </c>
      <c r="B662" t="s">
        <v>22</v>
      </c>
      <c r="C662" t="s">
        <v>27</v>
      </c>
      <c r="D662">
        <v>161</v>
      </c>
      <c r="E662">
        <v>100</v>
      </c>
      <c r="F662">
        <v>476.5</v>
      </c>
      <c r="G662" t="s">
        <v>32</v>
      </c>
      <c r="H662" s="1">
        <v>45497</v>
      </c>
      <c r="I662" s="1">
        <v>45515</v>
      </c>
      <c r="J662" t="s">
        <v>39</v>
      </c>
      <c r="K662" t="b">
        <f>Table1[[#This Row],[CurrentStock]]&lt;Table1[[#This Row],[ReorderLevel]]</f>
        <v>0</v>
      </c>
      <c r="L662" s="9">
        <f>Table1[[#This Row],[CurrentStock]]*Table1[[#This Row],[UnitPrice]]</f>
        <v>76716.5</v>
      </c>
      <c r="M662" t="str">
        <f>IF(Table1[[#This Row],[ReorderLevel]]-Table1[[#This Row],[CurrentStock]]&gt;0,Table1[[#This Row],[ReorderLevel]]-Table1[[#This Row],[CurrentStock]],"")</f>
        <v/>
      </c>
      <c r="N662" t="str">
        <f>IF(Table1[[#This Row],[CurrentStock]]&gt;Table1[[#This Row],[ReorderLevel]]*3,"Over Stock","Okay")</f>
        <v>Okay</v>
      </c>
      <c r="O662" t="str">
        <f>IF(Table1[[#This Row],[CurrentStock]]&lt;Table1[[#This Row],[ReorderLevel]],"Reorder","Okay")</f>
        <v>Okay</v>
      </c>
    </row>
    <row r="663" spans="1:15" x14ac:dyDescent="0.3">
      <c r="A663">
        <v>53880</v>
      </c>
      <c r="B663" t="s">
        <v>21</v>
      </c>
      <c r="C663" t="s">
        <v>31</v>
      </c>
      <c r="D663">
        <v>124</v>
      </c>
      <c r="E663">
        <v>20</v>
      </c>
      <c r="F663">
        <v>254.16</v>
      </c>
      <c r="G663" t="s">
        <v>34</v>
      </c>
      <c r="H663" s="1">
        <v>45617</v>
      </c>
      <c r="I663" s="1">
        <v>45643</v>
      </c>
      <c r="J663" t="s">
        <v>37</v>
      </c>
      <c r="K663" t="b">
        <f>Table1[[#This Row],[CurrentStock]]&lt;Table1[[#This Row],[ReorderLevel]]</f>
        <v>0</v>
      </c>
      <c r="L663" s="9">
        <f>Table1[[#This Row],[CurrentStock]]*Table1[[#This Row],[UnitPrice]]</f>
        <v>31515.84</v>
      </c>
      <c r="M663" t="str">
        <f>IF(Table1[[#This Row],[ReorderLevel]]-Table1[[#This Row],[CurrentStock]]&gt;0,Table1[[#This Row],[ReorderLevel]]-Table1[[#This Row],[CurrentStock]],"")</f>
        <v/>
      </c>
      <c r="N663" t="str">
        <f>IF(Table1[[#This Row],[CurrentStock]]&gt;Table1[[#This Row],[ReorderLevel]]*3,"Over Stock","Okay")</f>
        <v>Over Stock</v>
      </c>
      <c r="O663" t="str">
        <f>IF(Table1[[#This Row],[CurrentStock]]&lt;Table1[[#This Row],[ReorderLevel]],"Reorder","Okay")</f>
        <v>Okay</v>
      </c>
    </row>
    <row r="664" spans="1:15" x14ac:dyDescent="0.3">
      <c r="A664">
        <v>80934</v>
      </c>
      <c r="B664" t="s">
        <v>23</v>
      </c>
      <c r="C664" t="s">
        <v>30</v>
      </c>
      <c r="D664">
        <v>197</v>
      </c>
      <c r="E664">
        <v>40</v>
      </c>
      <c r="F664">
        <v>191.79</v>
      </c>
      <c r="G664" t="s">
        <v>33</v>
      </c>
      <c r="H664" s="1">
        <v>45336</v>
      </c>
      <c r="I664" s="1">
        <v>45373</v>
      </c>
      <c r="J664" t="s">
        <v>37</v>
      </c>
      <c r="K664" t="b">
        <f>Table1[[#This Row],[CurrentStock]]&lt;Table1[[#This Row],[ReorderLevel]]</f>
        <v>0</v>
      </c>
      <c r="L664" s="9">
        <f>Table1[[#This Row],[CurrentStock]]*Table1[[#This Row],[UnitPrice]]</f>
        <v>37782.629999999997</v>
      </c>
      <c r="M664" t="str">
        <f>IF(Table1[[#This Row],[ReorderLevel]]-Table1[[#This Row],[CurrentStock]]&gt;0,Table1[[#This Row],[ReorderLevel]]-Table1[[#This Row],[CurrentStock]],"")</f>
        <v/>
      </c>
      <c r="N664" t="str">
        <f>IF(Table1[[#This Row],[CurrentStock]]&gt;Table1[[#This Row],[ReorderLevel]]*3,"Over Stock","Okay")</f>
        <v>Over Stock</v>
      </c>
      <c r="O664" t="str">
        <f>IF(Table1[[#This Row],[CurrentStock]]&lt;Table1[[#This Row],[ReorderLevel]],"Reorder","Okay")</f>
        <v>Okay</v>
      </c>
    </row>
    <row r="665" spans="1:15" x14ac:dyDescent="0.3">
      <c r="A665">
        <v>89737</v>
      </c>
      <c r="B665" t="s">
        <v>22</v>
      </c>
      <c r="C665" t="s">
        <v>27</v>
      </c>
      <c r="D665">
        <v>281</v>
      </c>
      <c r="E665">
        <v>20</v>
      </c>
      <c r="F665">
        <v>26.33</v>
      </c>
      <c r="G665" t="s">
        <v>35</v>
      </c>
      <c r="H665" s="1">
        <v>45400</v>
      </c>
      <c r="I665" s="1">
        <v>45431</v>
      </c>
      <c r="J665" t="s">
        <v>38</v>
      </c>
      <c r="K665" t="b">
        <f>Table1[[#This Row],[CurrentStock]]&lt;Table1[[#This Row],[ReorderLevel]]</f>
        <v>0</v>
      </c>
      <c r="L665" s="9">
        <f>Table1[[#This Row],[CurrentStock]]*Table1[[#This Row],[UnitPrice]]</f>
        <v>7398.73</v>
      </c>
      <c r="M665" t="str">
        <f>IF(Table1[[#This Row],[ReorderLevel]]-Table1[[#This Row],[CurrentStock]]&gt;0,Table1[[#This Row],[ReorderLevel]]-Table1[[#This Row],[CurrentStock]],"")</f>
        <v/>
      </c>
      <c r="N665" t="str">
        <f>IF(Table1[[#This Row],[CurrentStock]]&gt;Table1[[#This Row],[ReorderLevel]]*3,"Over Stock","Okay")</f>
        <v>Over Stock</v>
      </c>
      <c r="O665" t="str">
        <f>IF(Table1[[#This Row],[CurrentStock]]&lt;Table1[[#This Row],[ReorderLevel]],"Reorder","Okay")</f>
        <v>Okay</v>
      </c>
    </row>
    <row r="666" spans="1:15" x14ac:dyDescent="0.3">
      <c r="A666">
        <v>73656</v>
      </c>
      <c r="B666" t="s">
        <v>23</v>
      </c>
      <c r="C666" t="s">
        <v>30</v>
      </c>
      <c r="D666">
        <v>34</v>
      </c>
      <c r="E666">
        <v>150</v>
      </c>
      <c r="F666">
        <v>316.14</v>
      </c>
      <c r="G666" t="s">
        <v>35</v>
      </c>
      <c r="H666" s="1">
        <v>45325</v>
      </c>
      <c r="I666" s="1">
        <v>45362</v>
      </c>
      <c r="J666" t="s">
        <v>38</v>
      </c>
      <c r="K666" t="b">
        <f>Table1[[#This Row],[CurrentStock]]&lt;Table1[[#This Row],[ReorderLevel]]</f>
        <v>1</v>
      </c>
      <c r="L666" s="9">
        <f>Table1[[#This Row],[CurrentStock]]*Table1[[#This Row],[UnitPrice]]</f>
        <v>10748.76</v>
      </c>
      <c r="M666">
        <f>IF(Table1[[#This Row],[ReorderLevel]]-Table1[[#This Row],[CurrentStock]]&gt;0,Table1[[#This Row],[ReorderLevel]]-Table1[[#This Row],[CurrentStock]],"")</f>
        <v>116</v>
      </c>
      <c r="N666" t="str">
        <f>IF(Table1[[#This Row],[CurrentStock]]&gt;Table1[[#This Row],[ReorderLevel]]*3,"Over Stock","Okay")</f>
        <v>Okay</v>
      </c>
      <c r="O666" t="str">
        <f>IF(Table1[[#This Row],[CurrentStock]]&lt;Table1[[#This Row],[ReorderLevel]],"Reorder","Okay")</f>
        <v>Reorder</v>
      </c>
    </row>
    <row r="667" spans="1:15" x14ac:dyDescent="0.3">
      <c r="A667">
        <v>30028</v>
      </c>
      <c r="B667" t="s">
        <v>15</v>
      </c>
      <c r="C667" t="s">
        <v>29</v>
      </c>
      <c r="D667">
        <v>31</v>
      </c>
      <c r="E667">
        <v>150</v>
      </c>
      <c r="F667">
        <v>405.09</v>
      </c>
      <c r="G667" t="s">
        <v>34</v>
      </c>
      <c r="H667" s="1">
        <v>45396</v>
      </c>
      <c r="I667" s="1">
        <v>45401</v>
      </c>
      <c r="J667" t="s">
        <v>39</v>
      </c>
      <c r="K667" t="b">
        <f>Table1[[#This Row],[CurrentStock]]&lt;Table1[[#This Row],[ReorderLevel]]</f>
        <v>1</v>
      </c>
      <c r="L667" s="9">
        <f>Table1[[#This Row],[CurrentStock]]*Table1[[#This Row],[UnitPrice]]</f>
        <v>12557.789999999999</v>
      </c>
      <c r="M667">
        <f>IF(Table1[[#This Row],[ReorderLevel]]-Table1[[#This Row],[CurrentStock]]&gt;0,Table1[[#This Row],[ReorderLevel]]-Table1[[#This Row],[CurrentStock]],"")</f>
        <v>119</v>
      </c>
      <c r="N667" t="str">
        <f>IF(Table1[[#This Row],[CurrentStock]]&gt;Table1[[#This Row],[ReorderLevel]]*3,"Over Stock","Okay")</f>
        <v>Okay</v>
      </c>
      <c r="O667" t="str">
        <f>IF(Table1[[#This Row],[CurrentStock]]&lt;Table1[[#This Row],[ReorderLevel]],"Reorder","Okay")</f>
        <v>Reorder</v>
      </c>
    </row>
    <row r="668" spans="1:15" x14ac:dyDescent="0.3">
      <c r="A668">
        <v>21360</v>
      </c>
      <c r="B668" t="s">
        <v>25</v>
      </c>
      <c r="C668" t="s">
        <v>31</v>
      </c>
      <c r="D668">
        <v>89</v>
      </c>
      <c r="E668">
        <v>30</v>
      </c>
      <c r="F668">
        <v>345.96</v>
      </c>
      <c r="G668" t="s">
        <v>33</v>
      </c>
      <c r="H668" s="1">
        <v>45417</v>
      </c>
      <c r="I668" s="1">
        <v>45438</v>
      </c>
      <c r="J668" t="s">
        <v>38</v>
      </c>
      <c r="K668" t="b">
        <f>Table1[[#This Row],[CurrentStock]]&lt;Table1[[#This Row],[ReorderLevel]]</f>
        <v>0</v>
      </c>
      <c r="L668" s="9">
        <f>Table1[[#This Row],[CurrentStock]]*Table1[[#This Row],[UnitPrice]]</f>
        <v>30790.44</v>
      </c>
      <c r="M668" t="str">
        <f>IF(Table1[[#This Row],[ReorderLevel]]-Table1[[#This Row],[CurrentStock]]&gt;0,Table1[[#This Row],[ReorderLevel]]-Table1[[#This Row],[CurrentStock]],"")</f>
        <v/>
      </c>
      <c r="N668" t="str">
        <f>IF(Table1[[#This Row],[CurrentStock]]&gt;Table1[[#This Row],[ReorderLevel]]*3,"Over Stock","Okay")</f>
        <v>Okay</v>
      </c>
      <c r="O668" t="str">
        <f>IF(Table1[[#This Row],[CurrentStock]]&lt;Table1[[#This Row],[ReorderLevel]],"Reorder","Okay")</f>
        <v>Okay</v>
      </c>
    </row>
    <row r="669" spans="1:15" x14ac:dyDescent="0.3">
      <c r="A669">
        <v>70942</v>
      </c>
      <c r="B669" t="s">
        <v>25</v>
      </c>
      <c r="C669" t="s">
        <v>31</v>
      </c>
      <c r="D669">
        <v>447</v>
      </c>
      <c r="E669">
        <v>50</v>
      </c>
      <c r="F669">
        <v>302.47000000000003</v>
      </c>
      <c r="G669" t="s">
        <v>32</v>
      </c>
      <c r="H669" s="1">
        <v>45332</v>
      </c>
      <c r="I669" s="1">
        <v>45368</v>
      </c>
      <c r="J669" t="s">
        <v>37</v>
      </c>
      <c r="K669" t="b">
        <f>Table1[[#This Row],[CurrentStock]]&lt;Table1[[#This Row],[ReorderLevel]]</f>
        <v>0</v>
      </c>
      <c r="L669" s="9">
        <f>Table1[[#This Row],[CurrentStock]]*Table1[[#This Row],[UnitPrice]]</f>
        <v>135204.09000000003</v>
      </c>
      <c r="M669" t="str">
        <f>IF(Table1[[#This Row],[ReorderLevel]]-Table1[[#This Row],[CurrentStock]]&gt;0,Table1[[#This Row],[ReorderLevel]]-Table1[[#This Row],[CurrentStock]],"")</f>
        <v/>
      </c>
      <c r="N669" t="str">
        <f>IF(Table1[[#This Row],[CurrentStock]]&gt;Table1[[#This Row],[ReorderLevel]]*3,"Over Stock","Okay")</f>
        <v>Over Stock</v>
      </c>
      <c r="O669" t="str">
        <f>IF(Table1[[#This Row],[CurrentStock]]&lt;Table1[[#This Row],[ReorderLevel]],"Reorder","Okay")</f>
        <v>Okay</v>
      </c>
    </row>
    <row r="670" spans="1:15" x14ac:dyDescent="0.3">
      <c r="A670">
        <v>25630</v>
      </c>
      <c r="B670" t="s">
        <v>15</v>
      </c>
      <c r="C670" t="s">
        <v>29</v>
      </c>
      <c r="D670">
        <v>441</v>
      </c>
      <c r="E670">
        <v>30</v>
      </c>
      <c r="F670">
        <v>192.22</v>
      </c>
      <c r="G670" t="s">
        <v>35</v>
      </c>
      <c r="H670" s="1">
        <v>45405</v>
      </c>
      <c r="I670" s="1">
        <v>45416</v>
      </c>
      <c r="J670" t="s">
        <v>38</v>
      </c>
      <c r="K670" t="b">
        <f>Table1[[#This Row],[CurrentStock]]&lt;Table1[[#This Row],[ReorderLevel]]</f>
        <v>0</v>
      </c>
      <c r="L670" s="9">
        <f>Table1[[#This Row],[CurrentStock]]*Table1[[#This Row],[UnitPrice]]</f>
        <v>84769.02</v>
      </c>
      <c r="M670" t="str">
        <f>IF(Table1[[#This Row],[ReorderLevel]]-Table1[[#This Row],[CurrentStock]]&gt;0,Table1[[#This Row],[ReorderLevel]]-Table1[[#This Row],[CurrentStock]],"")</f>
        <v/>
      </c>
      <c r="N670" t="str">
        <f>IF(Table1[[#This Row],[CurrentStock]]&gt;Table1[[#This Row],[ReorderLevel]]*3,"Over Stock","Okay")</f>
        <v>Over Stock</v>
      </c>
      <c r="O670" t="str">
        <f>IF(Table1[[#This Row],[CurrentStock]]&lt;Table1[[#This Row],[ReorderLevel]],"Reorder","Okay")</f>
        <v>Okay</v>
      </c>
    </row>
    <row r="671" spans="1:15" x14ac:dyDescent="0.3">
      <c r="A671">
        <v>55156</v>
      </c>
      <c r="B671" t="s">
        <v>14</v>
      </c>
      <c r="C671" t="s">
        <v>27</v>
      </c>
      <c r="D671">
        <v>446</v>
      </c>
      <c r="E671">
        <v>30</v>
      </c>
      <c r="F671">
        <v>161.47</v>
      </c>
      <c r="G671" t="s">
        <v>32</v>
      </c>
      <c r="H671" s="1">
        <v>45365</v>
      </c>
      <c r="I671" s="1">
        <v>45394</v>
      </c>
      <c r="J671" t="s">
        <v>37</v>
      </c>
      <c r="K671" t="b">
        <f>Table1[[#This Row],[CurrentStock]]&lt;Table1[[#This Row],[ReorderLevel]]</f>
        <v>0</v>
      </c>
      <c r="L671" s="9">
        <f>Table1[[#This Row],[CurrentStock]]*Table1[[#This Row],[UnitPrice]]</f>
        <v>72015.62</v>
      </c>
      <c r="M671" t="str">
        <f>IF(Table1[[#This Row],[ReorderLevel]]-Table1[[#This Row],[CurrentStock]]&gt;0,Table1[[#This Row],[ReorderLevel]]-Table1[[#This Row],[CurrentStock]],"")</f>
        <v/>
      </c>
      <c r="N671" t="str">
        <f>IF(Table1[[#This Row],[CurrentStock]]&gt;Table1[[#This Row],[ReorderLevel]]*3,"Over Stock","Okay")</f>
        <v>Over Stock</v>
      </c>
      <c r="O671" t="str">
        <f>IF(Table1[[#This Row],[CurrentStock]]&lt;Table1[[#This Row],[ReorderLevel]],"Reorder","Okay")</f>
        <v>Okay</v>
      </c>
    </row>
    <row r="672" spans="1:15" x14ac:dyDescent="0.3">
      <c r="A672">
        <v>80456</v>
      </c>
      <c r="B672" t="s">
        <v>18</v>
      </c>
      <c r="C672" t="s">
        <v>28</v>
      </c>
      <c r="D672">
        <v>343</v>
      </c>
      <c r="E672">
        <v>100</v>
      </c>
      <c r="F672">
        <v>152.5</v>
      </c>
      <c r="G672" t="s">
        <v>33</v>
      </c>
      <c r="H672" s="1">
        <v>45436</v>
      </c>
      <c r="I672" s="1">
        <v>45464</v>
      </c>
      <c r="J672" t="s">
        <v>37</v>
      </c>
      <c r="K672" t="b">
        <f>Table1[[#This Row],[CurrentStock]]&lt;Table1[[#This Row],[ReorderLevel]]</f>
        <v>0</v>
      </c>
      <c r="L672" s="9">
        <f>Table1[[#This Row],[CurrentStock]]*Table1[[#This Row],[UnitPrice]]</f>
        <v>52307.5</v>
      </c>
      <c r="M672" t="str">
        <f>IF(Table1[[#This Row],[ReorderLevel]]-Table1[[#This Row],[CurrentStock]]&gt;0,Table1[[#This Row],[ReorderLevel]]-Table1[[#This Row],[CurrentStock]],"")</f>
        <v/>
      </c>
      <c r="N672" t="str">
        <f>IF(Table1[[#This Row],[CurrentStock]]&gt;Table1[[#This Row],[ReorderLevel]]*3,"Over Stock","Okay")</f>
        <v>Over Stock</v>
      </c>
      <c r="O672" t="str">
        <f>IF(Table1[[#This Row],[CurrentStock]]&lt;Table1[[#This Row],[ReorderLevel]],"Reorder","Okay")</f>
        <v>Okay</v>
      </c>
    </row>
    <row r="673" spans="1:15" x14ac:dyDescent="0.3">
      <c r="A673">
        <v>71607</v>
      </c>
      <c r="B673" t="s">
        <v>14</v>
      </c>
      <c r="C673" t="s">
        <v>27</v>
      </c>
      <c r="D673">
        <v>471</v>
      </c>
      <c r="E673">
        <v>20</v>
      </c>
      <c r="F673">
        <v>174.71</v>
      </c>
      <c r="G673" t="s">
        <v>33</v>
      </c>
      <c r="H673" s="1">
        <v>45564</v>
      </c>
      <c r="I673" s="1">
        <v>45598</v>
      </c>
      <c r="J673" t="s">
        <v>38</v>
      </c>
      <c r="K673" t="b">
        <f>Table1[[#This Row],[CurrentStock]]&lt;Table1[[#This Row],[ReorderLevel]]</f>
        <v>0</v>
      </c>
      <c r="L673" s="9">
        <f>Table1[[#This Row],[CurrentStock]]*Table1[[#This Row],[UnitPrice]]</f>
        <v>82288.41</v>
      </c>
      <c r="M673" t="str">
        <f>IF(Table1[[#This Row],[ReorderLevel]]-Table1[[#This Row],[CurrentStock]]&gt;0,Table1[[#This Row],[ReorderLevel]]-Table1[[#This Row],[CurrentStock]],"")</f>
        <v/>
      </c>
      <c r="N673" t="str">
        <f>IF(Table1[[#This Row],[CurrentStock]]&gt;Table1[[#This Row],[ReorderLevel]]*3,"Over Stock","Okay")</f>
        <v>Over Stock</v>
      </c>
      <c r="O673" t="str">
        <f>IF(Table1[[#This Row],[CurrentStock]]&lt;Table1[[#This Row],[ReorderLevel]],"Reorder","Okay")</f>
        <v>Okay</v>
      </c>
    </row>
    <row r="674" spans="1:15" x14ac:dyDescent="0.3">
      <c r="A674">
        <v>89401</v>
      </c>
      <c r="B674" t="s">
        <v>26</v>
      </c>
      <c r="C674" t="s">
        <v>30</v>
      </c>
      <c r="D674">
        <v>401</v>
      </c>
      <c r="E674">
        <v>150</v>
      </c>
      <c r="F674">
        <v>144.77000000000001</v>
      </c>
      <c r="G674" t="s">
        <v>34</v>
      </c>
      <c r="H674" s="1">
        <v>45365</v>
      </c>
      <c r="I674" s="1">
        <v>45386</v>
      </c>
      <c r="J674" t="s">
        <v>37</v>
      </c>
      <c r="K674" t="b">
        <f>Table1[[#This Row],[CurrentStock]]&lt;Table1[[#This Row],[ReorderLevel]]</f>
        <v>0</v>
      </c>
      <c r="L674" s="9">
        <f>Table1[[#This Row],[CurrentStock]]*Table1[[#This Row],[UnitPrice]]</f>
        <v>58052.770000000004</v>
      </c>
      <c r="M674" t="str">
        <f>IF(Table1[[#This Row],[ReorderLevel]]-Table1[[#This Row],[CurrentStock]]&gt;0,Table1[[#This Row],[ReorderLevel]]-Table1[[#This Row],[CurrentStock]],"")</f>
        <v/>
      </c>
      <c r="N674" t="str">
        <f>IF(Table1[[#This Row],[CurrentStock]]&gt;Table1[[#This Row],[ReorderLevel]]*3,"Over Stock","Okay")</f>
        <v>Okay</v>
      </c>
      <c r="O674" t="str">
        <f>IF(Table1[[#This Row],[CurrentStock]]&lt;Table1[[#This Row],[ReorderLevel]],"Reorder","Okay")</f>
        <v>Okay</v>
      </c>
    </row>
    <row r="675" spans="1:15" x14ac:dyDescent="0.3">
      <c r="A675">
        <v>33889</v>
      </c>
      <c r="B675" t="s">
        <v>23</v>
      </c>
      <c r="C675" t="s">
        <v>30</v>
      </c>
      <c r="D675">
        <v>16</v>
      </c>
      <c r="E675">
        <v>20</v>
      </c>
      <c r="F675">
        <v>445.67</v>
      </c>
      <c r="G675" t="s">
        <v>32</v>
      </c>
      <c r="H675" s="1">
        <v>45448</v>
      </c>
      <c r="I675" s="1">
        <v>45483</v>
      </c>
      <c r="J675" t="s">
        <v>38</v>
      </c>
      <c r="K675" t="b">
        <f>Table1[[#This Row],[CurrentStock]]&lt;Table1[[#This Row],[ReorderLevel]]</f>
        <v>1</v>
      </c>
      <c r="L675" s="9">
        <f>Table1[[#This Row],[CurrentStock]]*Table1[[#This Row],[UnitPrice]]</f>
        <v>7130.72</v>
      </c>
      <c r="M675">
        <f>IF(Table1[[#This Row],[ReorderLevel]]-Table1[[#This Row],[CurrentStock]]&gt;0,Table1[[#This Row],[ReorderLevel]]-Table1[[#This Row],[CurrentStock]],"")</f>
        <v>4</v>
      </c>
      <c r="N675" t="str">
        <f>IF(Table1[[#This Row],[CurrentStock]]&gt;Table1[[#This Row],[ReorderLevel]]*3,"Over Stock","Okay")</f>
        <v>Okay</v>
      </c>
      <c r="O675" t="str">
        <f>IF(Table1[[#This Row],[CurrentStock]]&lt;Table1[[#This Row],[ReorderLevel]],"Reorder","Okay")</f>
        <v>Reorder</v>
      </c>
    </row>
    <row r="676" spans="1:15" x14ac:dyDescent="0.3">
      <c r="A676">
        <v>62057</v>
      </c>
      <c r="B676" t="s">
        <v>20</v>
      </c>
      <c r="C676" t="s">
        <v>29</v>
      </c>
      <c r="D676">
        <v>204</v>
      </c>
      <c r="E676">
        <v>150</v>
      </c>
      <c r="F676">
        <v>252.1</v>
      </c>
      <c r="G676" t="s">
        <v>34</v>
      </c>
      <c r="H676" s="1">
        <v>45538</v>
      </c>
      <c r="I676" s="1">
        <v>45561</v>
      </c>
      <c r="J676" t="s">
        <v>39</v>
      </c>
      <c r="K676" t="b">
        <f>Table1[[#This Row],[CurrentStock]]&lt;Table1[[#This Row],[ReorderLevel]]</f>
        <v>0</v>
      </c>
      <c r="L676" s="9">
        <f>Table1[[#This Row],[CurrentStock]]*Table1[[#This Row],[UnitPrice]]</f>
        <v>51428.4</v>
      </c>
      <c r="M676" t="str">
        <f>IF(Table1[[#This Row],[ReorderLevel]]-Table1[[#This Row],[CurrentStock]]&gt;0,Table1[[#This Row],[ReorderLevel]]-Table1[[#This Row],[CurrentStock]],"")</f>
        <v/>
      </c>
      <c r="N676" t="str">
        <f>IF(Table1[[#This Row],[CurrentStock]]&gt;Table1[[#This Row],[ReorderLevel]]*3,"Over Stock","Okay")</f>
        <v>Okay</v>
      </c>
      <c r="O676" t="str">
        <f>IF(Table1[[#This Row],[CurrentStock]]&lt;Table1[[#This Row],[ReorderLevel]],"Reorder","Okay")</f>
        <v>Okay</v>
      </c>
    </row>
    <row r="677" spans="1:15" x14ac:dyDescent="0.3">
      <c r="A677">
        <v>28100</v>
      </c>
      <c r="B677" t="s">
        <v>12</v>
      </c>
      <c r="C677" t="s">
        <v>28</v>
      </c>
      <c r="D677">
        <v>153</v>
      </c>
      <c r="E677">
        <v>100</v>
      </c>
      <c r="F677">
        <v>480.97</v>
      </c>
      <c r="G677" t="s">
        <v>32</v>
      </c>
      <c r="H677" s="1">
        <v>45629</v>
      </c>
      <c r="I677" s="1">
        <v>45665</v>
      </c>
      <c r="J677" t="s">
        <v>39</v>
      </c>
      <c r="K677" t="b">
        <f>Table1[[#This Row],[CurrentStock]]&lt;Table1[[#This Row],[ReorderLevel]]</f>
        <v>0</v>
      </c>
      <c r="L677" s="9">
        <f>Table1[[#This Row],[CurrentStock]]*Table1[[#This Row],[UnitPrice]]</f>
        <v>73588.41</v>
      </c>
      <c r="M677" t="str">
        <f>IF(Table1[[#This Row],[ReorderLevel]]-Table1[[#This Row],[CurrentStock]]&gt;0,Table1[[#This Row],[ReorderLevel]]-Table1[[#This Row],[CurrentStock]],"")</f>
        <v/>
      </c>
      <c r="N677" t="str">
        <f>IF(Table1[[#This Row],[CurrentStock]]&gt;Table1[[#This Row],[ReorderLevel]]*3,"Over Stock","Okay")</f>
        <v>Okay</v>
      </c>
      <c r="O677" t="str">
        <f>IF(Table1[[#This Row],[CurrentStock]]&lt;Table1[[#This Row],[ReorderLevel]],"Reorder","Okay")</f>
        <v>Okay</v>
      </c>
    </row>
    <row r="678" spans="1:15" x14ac:dyDescent="0.3">
      <c r="A678">
        <v>48762</v>
      </c>
      <c r="B678" t="s">
        <v>12</v>
      </c>
      <c r="C678" t="s">
        <v>28</v>
      </c>
      <c r="D678">
        <v>274</v>
      </c>
      <c r="E678">
        <v>20</v>
      </c>
      <c r="F678">
        <v>153.12</v>
      </c>
      <c r="G678" t="s">
        <v>35</v>
      </c>
      <c r="H678" s="1">
        <v>45367</v>
      </c>
      <c r="I678" s="1">
        <v>45374</v>
      </c>
      <c r="J678" t="s">
        <v>38</v>
      </c>
      <c r="K678" t="b">
        <f>Table1[[#This Row],[CurrentStock]]&lt;Table1[[#This Row],[ReorderLevel]]</f>
        <v>0</v>
      </c>
      <c r="L678" s="9">
        <f>Table1[[#This Row],[CurrentStock]]*Table1[[#This Row],[UnitPrice]]</f>
        <v>41954.880000000005</v>
      </c>
      <c r="M678" t="str">
        <f>IF(Table1[[#This Row],[ReorderLevel]]-Table1[[#This Row],[CurrentStock]]&gt;0,Table1[[#This Row],[ReorderLevel]]-Table1[[#This Row],[CurrentStock]],"")</f>
        <v/>
      </c>
      <c r="N678" t="str">
        <f>IF(Table1[[#This Row],[CurrentStock]]&gt;Table1[[#This Row],[ReorderLevel]]*3,"Over Stock","Okay")</f>
        <v>Over Stock</v>
      </c>
      <c r="O678" t="str">
        <f>IF(Table1[[#This Row],[CurrentStock]]&lt;Table1[[#This Row],[ReorderLevel]],"Reorder","Okay")</f>
        <v>Okay</v>
      </c>
    </row>
    <row r="679" spans="1:15" x14ac:dyDescent="0.3">
      <c r="A679">
        <v>84797</v>
      </c>
      <c r="B679" t="s">
        <v>25</v>
      </c>
      <c r="C679" t="s">
        <v>31</v>
      </c>
      <c r="D679">
        <v>199</v>
      </c>
      <c r="E679">
        <v>50</v>
      </c>
      <c r="F679">
        <v>396.69</v>
      </c>
      <c r="G679" t="s">
        <v>34</v>
      </c>
      <c r="H679" s="1">
        <v>45409</v>
      </c>
      <c r="I679" s="1">
        <v>45420</v>
      </c>
      <c r="J679" t="s">
        <v>37</v>
      </c>
      <c r="K679" t="b">
        <f>Table1[[#This Row],[CurrentStock]]&lt;Table1[[#This Row],[ReorderLevel]]</f>
        <v>0</v>
      </c>
      <c r="L679" s="9">
        <f>Table1[[#This Row],[CurrentStock]]*Table1[[#This Row],[UnitPrice]]</f>
        <v>78941.31</v>
      </c>
      <c r="M679" t="str">
        <f>IF(Table1[[#This Row],[ReorderLevel]]-Table1[[#This Row],[CurrentStock]]&gt;0,Table1[[#This Row],[ReorderLevel]]-Table1[[#This Row],[CurrentStock]],"")</f>
        <v/>
      </c>
      <c r="N679" t="str">
        <f>IF(Table1[[#This Row],[CurrentStock]]&gt;Table1[[#This Row],[ReorderLevel]]*3,"Over Stock","Okay")</f>
        <v>Over Stock</v>
      </c>
      <c r="O679" t="str">
        <f>IF(Table1[[#This Row],[CurrentStock]]&lt;Table1[[#This Row],[ReorderLevel]],"Reorder","Okay")</f>
        <v>Okay</v>
      </c>
    </row>
    <row r="680" spans="1:15" x14ac:dyDescent="0.3">
      <c r="A680">
        <v>13228</v>
      </c>
      <c r="B680" t="s">
        <v>18</v>
      </c>
      <c r="C680" t="s">
        <v>28</v>
      </c>
      <c r="D680">
        <v>24</v>
      </c>
      <c r="E680">
        <v>30</v>
      </c>
      <c r="F680">
        <v>35.94</v>
      </c>
      <c r="G680" t="s">
        <v>34</v>
      </c>
      <c r="H680" s="1">
        <v>45435</v>
      </c>
      <c r="I680" s="1">
        <v>45447</v>
      </c>
      <c r="J680" t="s">
        <v>39</v>
      </c>
      <c r="K680" t="b">
        <f>Table1[[#This Row],[CurrentStock]]&lt;Table1[[#This Row],[ReorderLevel]]</f>
        <v>1</v>
      </c>
      <c r="L680" s="9">
        <f>Table1[[#This Row],[CurrentStock]]*Table1[[#This Row],[UnitPrice]]</f>
        <v>862.56</v>
      </c>
      <c r="M680">
        <f>IF(Table1[[#This Row],[ReorderLevel]]-Table1[[#This Row],[CurrentStock]]&gt;0,Table1[[#This Row],[ReorderLevel]]-Table1[[#This Row],[CurrentStock]],"")</f>
        <v>6</v>
      </c>
      <c r="N680" t="str">
        <f>IF(Table1[[#This Row],[CurrentStock]]&gt;Table1[[#This Row],[ReorderLevel]]*3,"Over Stock","Okay")</f>
        <v>Okay</v>
      </c>
      <c r="O680" t="str">
        <f>IF(Table1[[#This Row],[CurrentStock]]&lt;Table1[[#This Row],[ReorderLevel]],"Reorder","Okay")</f>
        <v>Reorder</v>
      </c>
    </row>
    <row r="681" spans="1:15" x14ac:dyDescent="0.3">
      <c r="A681">
        <v>55254</v>
      </c>
      <c r="B681" t="s">
        <v>11</v>
      </c>
      <c r="C681" t="s">
        <v>27</v>
      </c>
      <c r="D681">
        <v>70</v>
      </c>
      <c r="E681">
        <v>20</v>
      </c>
      <c r="F681">
        <v>113.47</v>
      </c>
      <c r="G681" t="s">
        <v>35</v>
      </c>
      <c r="H681" s="1">
        <v>45445</v>
      </c>
      <c r="I681" s="1">
        <v>45475</v>
      </c>
      <c r="J681" t="s">
        <v>39</v>
      </c>
      <c r="K681" t="b">
        <f>Table1[[#This Row],[CurrentStock]]&lt;Table1[[#This Row],[ReorderLevel]]</f>
        <v>0</v>
      </c>
      <c r="L681" s="9">
        <f>Table1[[#This Row],[CurrentStock]]*Table1[[#This Row],[UnitPrice]]</f>
        <v>7942.9</v>
      </c>
      <c r="M681" t="str">
        <f>IF(Table1[[#This Row],[ReorderLevel]]-Table1[[#This Row],[CurrentStock]]&gt;0,Table1[[#This Row],[ReorderLevel]]-Table1[[#This Row],[CurrentStock]],"")</f>
        <v/>
      </c>
      <c r="N681" t="str">
        <f>IF(Table1[[#This Row],[CurrentStock]]&gt;Table1[[#This Row],[ReorderLevel]]*3,"Over Stock","Okay")</f>
        <v>Over Stock</v>
      </c>
      <c r="O681" t="str">
        <f>IF(Table1[[#This Row],[CurrentStock]]&lt;Table1[[#This Row],[ReorderLevel]],"Reorder","Okay")</f>
        <v>Okay</v>
      </c>
    </row>
    <row r="682" spans="1:15" x14ac:dyDescent="0.3">
      <c r="A682">
        <v>61658</v>
      </c>
      <c r="B682" t="s">
        <v>18</v>
      </c>
      <c r="C682" t="s">
        <v>28</v>
      </c>
      <c r="D682">
        <v>211</v>
      </c>
      <c r="E682">
        <v>150</v>
      </c>
      <c r="F682">
        <v>57.53</v>
      </c>
      <c r="G682" t="s">
        <v>33</v>
      </c>
      <c r="H682" s="1">
        <v>45359</v>
      </c>
      <c r="I682" s="1">
        <v>45389</v>
      </c>
      <c r="J682" t="s">
        <v>39</v>
      </c>
      <c r="K682" t="b">
        <f>Table1[[#This Row],[CurrentStock]]&lt;Table1[[#This Row],[ReorderLevel]]</f>
        <v>0</v>
      </c>
      <c r="L682" s="9">
        <f>Table1[[#This Row],[CurrentStock]]*Table1[[#This Row],[UnitPrice]]</f>
        <v>12138.83</v>
      </c>
      <c r="M682" t="str">
        <f>IF(Table1[[#This Row],[ReorderLevel]]-Table1[[#This Row],[CurrentStock]]&gt;0,Table1[[#This Row],[ReorderLevel]]-Table1[[#This Row],[CurrentStock]],"")</f>
        <v/>
      </c>
      <c r="N682" t="str">
        <f>IF(Table1[[#This Row],[CurrentStock]]&gt;Table1[[#This Row],[ReorderLevel]]*3,"Over Stock","Okay")</f>
        <v>Okay</v>
      </c>
      <c r="O682" t="str">
        <f>IF(Table1[[#This Row],[CurrentStock]]&lt;Table1[[#This Row],[ReorderLevel]],"Reorder","Okay")</f>
        <v>Okay</v>
      </c>
    </row>
    <row r="683" spans="1:15" x14ac:dyDescent="0.3">
      <c r="A683">
        <v>36327</v>
      </c>
      <c r="B683" t="s">
        <v>14</v>
      </c>
      <c r="C683" t="s">
        <v>27</v>
      </c>
      <c r="D683">
        <v>48</v>
      </c>
      <c r="E683">
        <v>50</v>
      </c>
      <c r="F683">
        <v>481.24</v>
      </c>
      <c r="G683" t="s">
        <v>33</v>
      </c>
      <c r="H683" s="1">
        <v>45560</v>
      </c>
      <c r="I683" s="1">
        <v>45578</v>
      </c>
      <c r="J683" t="s">
        <v>39</v>
      </c>
      <c r="K683" t="b">
        <f>Table1[[#This Row],[CurrentStock]]&lt;Table1[[#This Row],[ReorderLevel]]</f>
        <v>1</v>
      </c>
      <c r="L683" s="9">
        <f>Table1[[#This Row],[CurrentStock]]*Table1[[#This Row],[UnitPrice]]</f>
        <v>23099.52</v>
      </c>
      <c r="M683">
        <f>IF(Table1[[#This Row],[ReorderLevel]]-Table1[[#This Row],[CurrentStock]]&gt;0,Table1[[#This Row],[ReorderLevel]]-Table1[[#This Row],[CurrentStock]],"")</f>
        <v>2</v>
      </c>
      <c r="N683" t="str">
        <f>IF(Table1[[#This Row],[CurrentStock]]&gt;Table1[[#This Row],[ReorderLevel]]*3,"Over Stock","Okay")</f>
        <v>Okay</v>
      </c>
      <c r="O683" t="str">
        <f>IF(Table1[[#This Row],[CurrentStock]]&lt;Table1[[#This Row],[ReorderLevel]],"Reorder","Okay")</f>
        <v>Reorder</v>
      </c>
    </row>
    <row r="684" spans="1:15" x14ac:dyDescent="0.3">
      <c r="A684">
        <v>98150</v>
      </c>
      <c r="B684" t="s">
        <v>17</v>
      </c>
      <c r="C684" t="s">
        <v>30</v>
      </c>
      <c r="D684">
        <v>303</v>
      </c>
      <c r="E684">
        <v>50</v>
      </c>
      <c r="F684">
        <v>31.62</v>
      </c>
      <c r="G684" t="s">
        <v>36</v>
      </c>
      <c r="H684" s="1">
        <v>45525</v>
      </c>
      <c r="I684" s="1">
        <v>45538</v>
      </c>
      <c r="J684" t="s">
        <v>38</v>
      </c>
      <c r="K684" t="b">
        <f>Table1[[#This Row],[CurrentStock]]&lt;Table1[[#This Row],[ReorderLevel]]</f>
        <v>0</v>
      </c>
      <c r="L684" s="9">
        <f>Table1[[#This Row],[CurrentStock]]*Table1[[#This Row],[UnitPrice]]</f>
        <v>9580.86</v>
      </c>
      <c r="M684" t="str">
        <f>IF(Table1[[#This Row],[ReorderLevel]]-Table1[[#This Row],[CurrentStock]]&gt;0,Table1[[#This Row],[ReorderLevel]]-Table1[[#This Row],[CurrentStock]],"")</f>
        <v/>
      </c>
      <c r="N684" t="str">
        <f>IF(Table1[[#This Row],[CurrentStock]]&gt;Table1[[#This Row],[ReorderLevel]]*3,"Over Stock","Okay")</f>
        <v>Over Stock</v>
      </c>
      <c r="O684" t="str">
        <f>IF(Table1[[#This Row],[CurrentStock]]&lt;Table1[[#This Row],[ReorderLevel]],"Reorder","Okay")</f>
        <v>Okay</v>
      </c>
    </row>
    <row r="685" spans="1:15" x14ac:dyDescent="0.3">
      <c r="A685">
        <v>91163</v>
      </c>
      <c r="B685" t="s">
        <v>12</v>
      </c>
      <c r="C685" t="s">
        <v>28</v>
      </c>
      <c r="D685">
        <v>303</v>
      </c>
      <c r="E685">
        <v>50</v>
      </c>
      <c r="F685">
        <v>370.39</v>
      </c>
      <c r="G685" t="s">
        <v>33</v>
      </c>
      <c r="H685" s="1">
        <v>45567</v>
      </c>
      <c r="I685" s="1">
        <v>45574</v>
      </c>
      <c r="J685" t="s">
        <v>39</v>
      </c>
      <c r="K685" t="b">
        <f>Table1[[#This Row],[CurrentStock]]&lt;Table1[[#This Row],[ReorderLevel]]</f>
        <v>0</v>
      </c>
      <c r="L685" s="9">
        <f>Table1[[#This Row],[CurrentStock]]*Table1[[#This Row],[UnitPrice]]</f>
        <v>112228.17</v>
      </c>
      <c r="M685" t="str">
        <f>IF(Table1[[#This Row],[ReorderLevel]]-Table1[[#This Row],[CurrentStock]]&gt;0,Table1[[#This Row],[ReorderLevel]]-Table1[[#This Row],[CurrentStock]],"")</f>
        <v/>
      </c>
      <c r="N685" t="str">
        <f>IF(Table1[[#This Row],[CurrentStock]]&gt;Table1[[#This Row],[ReorderLevel]]*3,"Over Stock","Okay")</f>
        <v>Over Stock</v>
      </c>
      <c r="O685" t="str">
        <f>IF(Table1[[#This Row],[CurrentStock]]&lt;Table1[[#This Row],[ReorderLevel]],"Reorder","Okay")</f>
        <v>Okay</v>
      </c>
    </row>
    <row r="686" spans="1:15" x14ac:dyDescent="0.3">
      <c r="A686">
        <v>13089</v>
      </c>
      <c r="B686" t="s">
        <v>15</v>
      </c>
      <c r="C686" t="s">
        <v>29</v>
      </c>
      <c r="D686">
        <v>43</v>
      </c>
      <c r="E686">
        <v>80</v>
      </c>
      <c r="F686">
        <v>260.26</v>
      </c>
      <c r="G686" t="s">
        <v>34</v>
      </c>
      <c r="H686" s="1">
        <v>45483</v>
      </c>
      <c r="I686" s="1">
        <v>45509</v>
      </c>
      <c r="J686" t="s">
        <v>38</v>
      </c>
      <c r="K686" t="b">
        <f>Table1[[#This Row],[CurrentStock]]&lt;Table1[[#This Row],[ReorderLevel]]</f>
        <v>1</v>
      </c>
      <c r="L686" s="9">
        <f>Table1[[#This Row],[CurrentStock]]*Table1[[#This Row],[UnitPrice]]</f>
        <v>11191.18</v>
      </c>
      <c r="M686">
        <f>IF(Table1[[#This Row],[ReorderLevel]]-Table1[[#This Row],[CurrentStock]]&gt;0,Table1[[#This Row],[ReorderLevel]]-Table1[[#This Row],[CurrentStock]],"")</f>
        <v>37</v>
      </c>
      <c r="N686" t="str">
        <f>IF(Table1[[#This Row],[CurrentStock]]&gt;Table1[[#This Row],[ReorderLevel]]*3,"Over Stock","Okay")</f>
        <v>Okay</v>
      </c>
      <c r="O686" t="str">
        <f>IF(Table1[[#This Row],[CurrentStock]]&lt;Table1[[#This Row],[ReorderLevel]],"Reorder","Okay")</f>
        <v>Reorder</v>
      </c>
    </row>
    <row r="687" spans="1:15" x14ac:dyDescent="0.3">
      <c r="A687">
        <v>99242</v>
      </c>
      <c r="B687" t="s">
        <v>16</v>
      </c>
      <c r="C687" t="s">
        <v>30</v>
      </c>
      <c r="D687">
        <v>487</v>
      </c>
      <c r="E687">
        <v>150</v>
      </c>
      <c r="F687">
        <v>279.97000000000003</v>
      </c>
      <c r="G687" t="s">
        <v>36</v>
      </c>
      <c r="H687" s="1">
        <v>45310</v>
      </c>
      <c r="I687" s="1">
        <v>45320</v>
      </c>
      <c r="J687" t="s">
        <v>38</v>
      </c>
      <c r="K687" t="b">
        <f>Table1[[#This Row],[CurrentStock]]&lt;Table1[[#This Row],[ReorderLevel]]</f>
        <v>0</v>
      </c>
      <c r="L687" s="9">
        <f>Table1[[#This Row],[CurrentStock]]*Table1[[#This Row],[UnitPrice]]</f>
        <v>136345.39000000001</v>
      </c>
      <c r="M687" t="str">
        <f>IF(Table1[[#This Row],[ReorderLevel]]-Table1[[#This Row],[CurrentStock]]&gt;0,Table1[[#This Row],[ReorderLevel]]-Table1[[#This Row],[CurrentStock]],"")</f>
        <v/>
      </c>
      <c r="N687" t="str">
        <f>IF(Table1[[#This Row],[CurrentStock]]&gt;Table1[[#This Row],[ReorderLevel]]*3,"Over Stock","Okay")</f>
        <v>Over Stock</v>
      </c>
      <c r="O687" t="str">
        <f>IF(Table1[[#This Row],[CurrentStock]]&lt;Table1[[#This Row],[ReorderLevel]],"Reorder","Okay")</f>
        <v>Okay</v>
      </c>
    </row>
    <row r="688" spans="1:15" x14ac:dyDescent="0.3">
      <c r="A688">
        <v>22665</v>
      </c>
      <c r="B688" t="s">
        <v>17</v>
      </c>
      <c r="C688" t="s">
        <v>30</v>
      </c>
      <c r="D688">
        <v>134</v>
      </c>
      <c r="E688">
        <v>40</v>
      </c>
      <c r="F688">
        <v>341.79</v>
      </c>
      <c r="G688" t="s">
        <v>36</v>
      </c>
      <c r="H688" s="1">
        <v>45434</v>
      </c>
      <c r="I688" s="1">
        <v>45441</v>
      </c>
      <c r="J688" t="s">
        <v>38</v>
      </c>
      <c r="K688" t="b">
        <f>Table1[[#This Row],[CurrentStock]]&lt;Table1[[#This Row],[ReorderLevel]]</f>
        <v>0</v>
      </c>
      <c r="L688" s="9">
        <f>Table1[[#This Row],[CurrentStock]]*Table1[[#This Row],[UnitPrice]]</f>
        <v>45799.86</v>
      </c>
      <c r="M688" t="str">
        <f>IF(Table1[[#This Row],[ReorderLevel]]-Table1[[#This Row],[CurrentStock]]&gt;0,Table1[[#This Row],[ReorderLevel]]-Table1[[#This Row],[CurrentStock]],"")</f>
        <v/>
      </c>
      <c r="N688" t="str">
        <f>IF(Table1[[#This Row],[CurrentStock]]&gt;Table1[[#This Row],[ReorderLevel]]*3,"Over Stock","Okay")</f>
        <v>Over Stock</v>
      </c>
      <c r="O688" t="str">
        <f>IF(Table1[[#This Row],[CurrentStock]]&lt;Table1[[#This Row],[ReorderLevel]],"Reorder","Okay")</f>
        <v>Okay</v>
      </c>
    </row>
    <row r="689" spans="1:15" x14ac:dyDescent="0.3">
      <c r="A689">
        <v>76708</v>
      </c>
      <c r="B689" t="s">
        <v>26</v>
      </c>
      <c r="C689" t="s">
        <v>30</v>
      </c>
      <c r="D689">
        <v>8</v>
      </c>
      <c r="E689">
        <v>150</v>
      </c>
      <c r="F689">
        <v>74.569999999999993</v>
      </c>
      <c r="G689" t="s">
        <v>35</v>
      </c>
      <c r="H689" s="1">
        <v>45308</v>
      </c>
      <c r="I689" s="1">
        <v>45338</v>
      </c>
      <c r="J689" t="s">
        <v>38</v>
      </c>
      <c r="K689" t="b">
        <f>Table1[[#This Row],[CurrentStock]]&lt;Table1[[#This Row],[ReorderLevel]]</f>
        <v>1</v>
      </c>
      <c r="L689" s="9">
        <f>Table1[[#This Row],[CurrentStock]]*Table1[[#This Row],[UnitPrice]]</f>
        <v>596.55999999999995</v>
      </c>
      <c r="M689">
        <f>IF(Table1[[#This Row],[ReorderLevel]]-Table1[[#This Row],[CurrentStock]]&gt;0,Table1[[#This Row],[ReorderLevel]]-Table1[[#This Row],[CurrentStock]],"")</f>
        <v>142</v>
      </c>
      <c r="N689" t="str">
        <f>IF(Table1[[#This Row],[CurrentStock]]&gt;Table1[[#This Row],[ReorderLevel]]*3,"Over Stock","Okay")</f>
        <v>Okay</v>
      </c>
      <c r="O689" t="str">
        <f>IF(Table1[[#This Row],[CurrentStock]]&lt;Table1[[#This Row],[ReorderLevel]],"Reorder","Okay")</f>
        <v>Reorder</v>
      </c>
    </row>
    <row r="690" spans="1:15" x14ac:dyDescent="0.3">
      <c r="A690">
        <v>95643</v>
      </c>
      <c r="B690" t="s">
        <v>24</v>
      </c>
      <c r="C690" t="s">
        <v>31</v>
      </c>
      <c r="D690">
        <v>34</v>
      </c>
      <c r="E690">
        <v>150</v>
      </c>
      <c r="F690">
        <v>476.79</v>
      </c>
      <c r="G690" t="s">
        <v>34</v>
      </c>
      <c r="H690" s="1">
        <v>45305</v>
      </c>
      <c r="I690" s="1">
        <v>45319</v>
      </c>
      <c r="J690" t="s">
        <v>38</v>
      </c>
      <c r="K690" t="b">
        <f>Table1[[#This Row],[CurrentStock]]&lt;Table1[[#This Row],[ReorderLevel]]</f>
        <v>1</v>
      </c>
      <c r="L690" s="9">
        <f>Table1[[#This Row],[CurrentStock]]*Table1[[#This Row],[UnitPrice]]</f>
        <v>16210.86</v>
      </c>
      <c r="M690">
        <f>IF(Table1[[#This Row],[ReorderLevel]]-Table1[[#This Row],[CurrentStock]]&gt;0,Table1[[#This Row],[ReorderLevel]]-Table1[[#This Row],[CurrentStock]],"")</f>
        <v>116</v>
      </c>
      <c r="N690" t="str">
        <f>IF(Table1[[#This Row],[CurrentStock]]&gt;Table1[[#This Row],[ReorderLevel]]*3,"Over Stock","Okay")</f>
        <v>Okay</v>
      </c>
      <c r="O690" t="str">
        <f>IF(Table1[[#This Row],[CurrentStock]]&lt;Table1[[#This Row],[ReorderLevel]],"Reorder","Okay")</f>
        <v>Reorder</v>
      </c>
    </row>
    <row r="691" spans="1:15" x14ac:dyDescent="0.3">
      <c r="A691">
        <v>40825</v>
      </c>
      <c r="B691" t="s">
        <v>24</v>
      </c>
      <c r="C691" t="s">
        <v>31</v>
      </c>
      <c r="D691">
        <v>9</v>
      </c>
      <c r="E691">
        <v>30</v>
      </c>
      <c r="F691">
        <v>55.18</v>
      </c>
      <c r="G691" t="s">
        <v>36</v>
      </c>
      <c r="H691" s="1">
        <v>45514</v>
      </c>
      <c r="I691" s="1">
        <v>45519</v>
      </c>
      <c r="J691" t="s">
        <v>39</v>
      </c>
      <c r="K691" t="b">
        <f>Table1[[#This Row],[CurrentStock]]&lt;Table1[[#This Row],[ReorderLevel]]</f>
        <v>1</v>
      </c>
      <c r="L691" s="9">
        <f>Table1[[#This Row],[CurrentStock]]*Table1[[#This Row],[UnitPrice]]</f>
        <v>496.62</v>
      </c>
      <c r="M691">
        <f>IF(Table1[[#This Row],[ReorderLevel]]-Table1[[#This Row],[CurrentStock]]&gt;0,Table1[[#This Row],[ReorderLevel]]-Table1[[#This Row],[CurrentStock]],"")</f>
        <v>21</v>
      </c>
      <c r="N691" t="str">
        <f>IF(Table1[[#This Row],[CurrentStock]]&gt;Table1[[#This Row],[ReorderLevel]]*3,"Over Stock","Okay")</f>
        <v>Okay</v>
      </c>
      <c r="O691" t="str">
        <f>IF(Table1[[#This Row],[CurrentStock]]&lt;Table1[[#This Row],[ReorderLevel]],"Reorder","Okay")</f>
        <v>Reorder</v>
      </c>
    </row>
    <row r="692" spans="1:15" x14ac:dyDescent="0.3">
      <c r="A692">
        <v>60017</v>
      </c>
      <c r="B692" t="s">
        <v>12</v>
      </c>
      <c r="C692" t="s">
        <v>28</v>
      </c>
      <c r="D692">
        <v>196</v>
      </c>
      <c r="E692">
        <v>40</v>
      </c>
      <c r="F692">
        <v>461.69</v>
      </c>
      <c r="G692" t="s">
        <v>36</v>
      </c>
      <c r="H692" s="1">
        <v>45372</v>
      </c>
      <c r="I692" s="1">
        <v>45386</v>
      </c>
      <c r="J692" t="s">
        <v>38</v>
      </c>
      <c r="K692" t="b">
        <f>Table1[[#This Row],[CurrentStock]]&lt;Table1[[#This Row],[ReorderLevel]]</f>
        <v>0</v>
      </c>
      <c r="L692" s="9">
        <f>Table1[[#This Row],[CurrentStock]]*Table1[[#This Row],[UnitPrice]]</f>
        <v>90491.24</v>
      </c>
      <c r="M692" t="str">
        <f>IF(Table1[[#This Row],[ReorderLevel]]-Table1[[#This Row],[CurrentStock]]&gt;0,Table1[[#This Row],[ReorderLevel]]-Table1[[#This Row],[CurrentStock]],"")</f>
        <v/>
      </c>
      <c r="N692" t="str">
        <f>IF(Table1[[#This Row],[CurrentStock]]&gt;Table1[[#This Row],[ReorderLevel]]*3,"Over Stock","Okay")</f>
        <v>Over Stock</v>
      </c>
      <c r="O692" t="str">
        <f>IF(Table1[[#This Row],[CurrentStock]]&lt;Table1[[#This Row],[ReorderLevel]],"Reorder","Okay")</f>
        <v>Okay</v>
      </c>
    </row>
    <row r="693" spans="1:15" x14ac:dyDescent="0.3">
      <c r="A693">
        <v>26121</v>
      </c>
      <c r="B693" t="s">
        <v>13</v>
      </c>
      <c r="C693" t="s">
        <v>29</v>
      </c>
      <c r="D693">
        <v>440</v>
      </c>
      <c r="E693">
        <v>150</v>
      </c>
      <c r="F693">
        <v>128.16999999999999</v>
      </c>
      <c r="G693" t="s">
        <v>32</v>
      </c>
      <c r="H693" s="1">
        <v>45293</v>
      </c>
      <c r="I693" s="1">
        <v>45305</v>
      </c>
      <c r="J693" t="s">
        <v>37</v>
      </c>
      <c r="K693" t="b">
        <f>Table1[[#This Row],[CurrentStock]]&lt;Table1[[#This Row],[ReorderLevel]]</f>
        <v>0</v>
      </c>
      <c r="L693" s="9">
        <f>Table1[[#This Row],[CurrentStock]]*Table1[[#This Row],[UnitPrice]]</f>
        <v>56394.799999999996</v>
      </c>
      <c r="M693" t="str">
        <f>IF(Table1[[#This Row],[ReorderLevel]]-Table1[[#This Row],[CurrentStock]]&gt;0,Table1[[#This Row],[ReorderLevel]]-Table1[[#This Row],[CurrentStock]],"")</f>
        <v/>
      </c>
      <c r="N693" t="str">
        <f>IF(Table1[[#This Row],[CurrentStock]]&gt;Table1[[#This Row],[ReorderLevel]]*3,"Over Stock","Okay")</f>
        <v>Okay</v>
      </c>
      <c r="O693" t="str">
        <f>IF(Table1[[#This Row],[CurrentStock]]&lt;Table1[[#This Row],[ReorderLevel]],"Reorder","Okay")</f>
        <v>Okay</v>
      </c>
    </row>
    <row r="694" spans="1:15" x14ac:dyDescent="0.3">
      <c r="A694">
        <v>20492</v>
      </c>
      <c r="B694" t="s">
        <v>14</v>
      </c>
      <c r="C694" t="s">
        <v>27</v>
      </c>
      <c r="D694">
        <v>468</v>
      </c>
      <c r="E694">
        <v>50</v>
      </c>
      <c r="F694">
        <v>132.44999999999999</v>
      </c>
      <c r="G694" t="s">
        <v>33</v>
      </c>
      <c r="H694" s="1">
        <v>45583</v>
      </c>
      <c r="I694" s="1">
        <v>45616</v>
      </c>
      <c r="J694" t="s">
        <v>37</v>
      </c>
      <c r="K694" t="b">
        <f>Table1[[#This Row],[CurrentStock]]&lt;Table1[[#This Row],[ReorderLevel]]</f>
        <v>0</v>
      </c>
      <c r="L694" s="9">
        <f>Table1[[#This Row],[CurrentStock]]*Table1[[#This Row],[UnitPrice]]</f>
        <v>61986.599999999991</v>
      </c>
      <c r="M694" t="str">
        <f>IF(Table1[[#This Row],[ReorderLevel]]-Table1[[#This Row],[CurrentStock]]&gt;0,Table1[[#This Row],[ReorderLevel]]-Table1[[#This Row],[CurrentStock]],"")</f>
        <v/>
      </c>
      <c r="N694" t="str">
        <f>IF(Table1[[#This Row],[CurrentStock]]&gt;Table1[[#This Row],[ReorderLevel]]*3,"Over Stock","Okay")</f>
        <v>Over Stock</v>
      </c>
      <c r="O694" t="str">
        <f>IF(Table1[[#This Row],[CurrentStock]]&lt;Table1[[#This Row],[ReorderLevel]],"Reorder","Okay")</f>
        <v>Okay</v>
      </c>
    </row>
    <row r="695" spans="1:15" x14ac:dyDescent="0.3">
      <c r="A695">
        <v>41624</v>
      </c>
      <c r="B695" t="s">
        <v>17</v>
      </c>
      <c r="C695" t="s">
        <v>30</v>
      </c>
      <c r="D695">
        <v>305</v>
      </c>
      <c r="E695">
        <v>100</v>
      </c>
      <c r="F695">
        <v>466.77</v>
      </c>
      <c r="G695" t="s">
        <v>35</v>
      </c>
      <c r="H695" s="1">
        <v>45507</v>
      </c>
      <c r="I695" s="1">
        <v>45534</v>
      </c>
      <c r="J695" t="s">
        <v>39</v>
      </c>
      <c r="K695" t="b">
        <f>Table1[[#This Row],[CurrentStock]]&lt;Table1[[#This Row],[ReorderLevel]]</f>
        <v>0</v>
      </c>
      <c r="L695" s="9">
        <f>Table1[[#This Row],[CurrentStock]]*Table1[[#This Row],[UnitPrice]]</f>
        <v>142364.85</v>
      </c>
      <c r="M695" t="str">
        <f>IF(Table1[[#This Row],[ReorderLevel]]-Table1[[#This Row],[CurrentStock]]&gt;0,Table1[[#This Row],[ReorderLevel]]-Table1[[#This Row],[CurrentStock]],"")</f>
        <v/>
      </c>
      <c r="N695" t="str">
        <f>IF(Table1[[#This Row],[CurrentStock]]&gt;Table1[[#This Row],[ReorderLevel]]*3,"Over Stock","Okay")</f>
        <v>Over Stock</v>
      </c>
      <c r="O695" t="str">
        <f>IF(Table1[[#This Row],[CurrentStock]]&lt;Table1[[#This Row],[ReorderLevel]],"Reorder","Okay")</f>
        <v>Okay</v>
      </c>
    </row>
    <row r="696" spans="1:15" x14ac:dyDescent="0.3">
      <c r="A696">
        <v>73753</v>
      </c>
      <c r="B696" t="s">
        <v>17</v>
      </c>
      <c r="C696" t="s">
        <v>30</v>
      </c>
      <c r="D696">
        <v>85</v>
      </c>
      <c r="E696">
        <v>50</v>
      </c>
      <c r="F696">
        <v>426.85</v>
      </c>
      <c r="G696" t="s">
        <v>36</v>
      </c>
      <c r="H696" s="1">
        <v>45436</v>
      </c>
      <c r="I696" s="1">
        <v>45464</v>
      </c>
      <c r="J696" t="s">
        <v>39</v>
      </c>
      <c r="K696" t="b">
        <f>Table1[[#This Row],[CurrentStock]]&lt;Table1[[#This Row],[ReorderLevel]]</f>
        <v>0</v>
      </c>
      <c r="L696" s="9">
        <f>Table1[[#This Row],[CurrentStock]]*Table1[[#This Row],[UnitPrice]]</f>
        <v>36282.25</v>
      </c>
      <c r="M696" t="str">
        <f>IF(Table1[[#This Row],[ReorderLevel]]-Table1[[#This Row],[CurrentStock]]&gt;0,Table1[[#This Row],[ReorderLevel]]-Table1[[#This Row],[CurrentStock]],"")</f>
        <v/>
      </c>
      <c r="N696" t="str">
        <f>IF(Table1[[#This Row],[CurrentStock]]&gt;Table1[[#This Row],[ReorderLevel]]*3,"Over Stock","Okay")</f>
        <v>Okay</v>
      </c>
      <c r="O696" t="str">
        <f>IF(Table1[[#This Row],[CurrentStock]]&lt;Table1[[#This Row],[ReorderLevel]],"Reorder","Okay")</f>
        <v>Okay</v>
      </c>
    </row>
    <row r="697" spans="1:15" x14ac:dyDescent="0.3">
      <c r="A697">
        <v>96840</v>
      </c>
      <c r="B697" t="s">
        <v>26</v>
      </c>
      <c r="C697" t="s">
        <v>30</v>
      </c>
      <c r="D697">
        <v>381</v>
      </c>
      <c r="E697">
        <v>150</v>
      </c>
      <c r="F697">
        <v>244.33</v>
      </c>
      <c r="G697" t="s">
        <v>34</v>
      </c>
      <c r="H697" s="1">
        <v>45309</v>
      </c>
      <c r="I697" s="1">
        <v>45341</v>
      </c>
      <c r="J697" t="s">
        <v>39</v>
      </c>
      <c r="K697" t="b">
        <f>Table1[[#This Row],[CurrentStock]]&lt;Table1[[#This Row],[ReorderLevel]]</f>
        <v>0</v>
      </c>
      <c r="L697" s="9">
        <f>Table1[[#This Row],[CurrentStock]]*Table1[[#This Row],[UnitPrice]]</f>
        <v>93089.73000000001</v>
      </c>
      <c r="M697" t="str">
        <f>IF(Table1[[#This Row],[ReorderLevel]]-Table1[[#This Row],[CurrentStock]]&gt;0,Table1[[#This Row],[ReorderLevel]]-Table1[[#This Row],[CurrentStock]],"")</f>
        <v/>
      </c>
      <c r="N697" t="str">
        <f>IF(Table1[[#This Row],[CurrentStock]]&gt;Table1[[#This Row],[ReorderLevel]]*3,"Over Stock","Okay")</f>
        <v>Okay</v>
      </c>
      <c r="O697" t="str">
        <f>IF(Table1[[#This Row],[CurrentStock]]&lt;Table1[[#This Row],[ReorderLevel]],"Reorder","Okay")</f>
        <v>Okay</v>
      </c>
    </row>
    <row r="698" spans="1:15" x14ac:dyDescent="0.3">
      <c r="A698">
        <v>34600</v>
      </c>
      <c r="B698" t="s">
        <v>15</v>
      </c>
      <c r="C698" t="s">
        <v>29</v>
      </c>
      <c r="D698">
        <v>109</v>
      </c>
      <c r="E698">
        <v>20</v>
      </c>
      <c r="F698">
        <v>385.53</v>
      </c>
      <c r="G698" t="s">
        <v>32</v>
      </c>
      <c r="H698" s="1">
        <v>45323</v>
      </c>
      <c r="I698" s="1">
        <v>45353</v>
      </c>
      <c r="J698" t="s">
        <v>38</v>
      </c>
      <c r="K698" t="b">
        <f>Table1[[#This Row],[CurrentStock]]&lt;Table1[[#This Row],[ReorderLevel]]</f>
        <v>0</v>
      </c>
      <c r="L698" s="9">
        <f>Table1[[#This Row],[CurrentStock]]*Table1[[#This Row],[UnitPrice]]</f>
        <v>42022.77</v>
      </c>
      <c r="M698" t="str">
        <f>IF(Table1[[#This Row],[ReorderLevel]]-Table1[[#This Row],[CurrentStock]]&gt;0,Table1[[#This Row],[ReorderLevel]]-Table1[[#This Row],[CurrentStock]],"")</f>
        <v/>
      </c>
      <c r="N698" t="str">
        <f>IF(Table1[[#This Row],[CurrentStock]]&gt;Table1[[#This Row],[ReorderLevel]]*3,"Over Stock","Okay")</f>
        <v>Over Stock</v>
      </c>
      <c r="O698" t="str">
        <f>IF(Table1[[#This Row],[CurrentStock]]&lt;Table1[[#This Row],[ReorderLevel]],"Reorder","Okay")</f>
        <v>Okay</v>
      </c>
    </row>
    <row r="699" spans="1:15" x14ac:dyDescent="0.3">
      <c r="A699">
        <v>23543</v>
      </c>
      <c r="B699" t="s">
        <v>24</v>
      </c>
      <c r="C699" t="s">
        <v>31</v>
      </c>
      <c r="D699">
        <v>179</v>
      </c>
      <c r="E699">
        <v>100</v>
      </c>
      <c r="F699">
        <v>194.53</v>
      </c>
      <c r="G699" t="s">
        <v>35</v>
      </c>
      <c r="H699" s="1">
        <v>45578</v>
      </c>
      <c r="I699" s="1">
        <v>45589</v>
      </c>
      <c r="J699" t="s">
        <v>37</v>
      </c>
      <c r="K699" t="b">
        <f>Table1[[#This Row],[CurrentStock]]&lt;Table1[[#This Row],[ReorderLevel]]</f>
        <v>0</v>
      </c>
      <c r="L699" s="9">
        <f>Table1[[#This Row],[CurrentStock]]*Table1[[#This Row],[UnitPrice]]</f>
        <v>34820.870000000003</v>
      </c>
      <c r="M699" t="str">
        <f>IF(Table1[[#This Row],[ReorderLevel]]-Table1[[#This Row],[CurrentStock]]&gt;0,Table1[[#This Row],[ReorderLevel]]-Table1[[#This Row],[CurrentStock]],"")</f>
        <v/>
      </c>
      <c r="N699" t="str">
        <f>IF(Table1[[#This Row],[CurrentStock]]&gt;Table1[[#This Row],[ReorderLevel]]*3,"Over Stock","Okay")</f>
        <v>Okay</v>
      </c>
      <c r="O699" t="str">
        <f>IF(Table1[[#This Row],[CurrentStock]]&lt;Table1[[#This Row],[ReorderLevel]],"Reorder","Okay")</f>
        <v>Okay</v>
      </c>
    </row>
    <row r="700" spans="1:15" x14ac:dyDescent="0.3">
      <c r="A700">
        <v>96450</v>
      </c>
      <c r="B700" t="s">
        <v>21</v>
      </c>
      <c r="C700" t="s">
        <v>31</v>
      </c>
      <c r="D700">
        <v>174</v>
      </c>
      <c r="E700">
        <v>20</v>
      </c>
      <c r="F700">
        <v>199.66</v>
      </c>
      <c r="G700" t="s">
        <v>33</v>
      </c>
      <c r="H700" s="1">
        <v>45375</v>
      </c>
      <c r="I700" s="1">
        <v>45414</v>
      </c>
      <c r="J700" t="s">
        <v>37</v>
      </c>
      <c r="K700" t="b">
        <f>Table1[[#This Row],[CurrentStock]]&lt;Table1[[#This Row],[ReorderLevel]]</f>
        <v>0</v>
      </c>
      <c r="L700" s="9">
        <f>Table1[[#This Row],[CurrentStock]]*Table1[[#This Row],[UnitPrice]]</f>
        <v>34740.839999999997</v>
      </c>
      <c r="M700" t="str">
        <f>IF(Table1[[#This Row],[ReorderLevel]]-Table1[[#This Row],[CurrentStock]]&gt;0,Table1[[#This Row],[ReorderLevel]]-Table1[[#This Row],[CurrentStock]],"")</f>
        <v/>
      </c>
      <c r="N700" t="str">
        <f>IF(Table1[[#This Row],[CurrentStock]]&gt;Table1[[#This Row],[ReorderLevel]]*3,"Over Stock","Okay")</f>
        <v>Over Stock</v>
      </c>
      <c r="O700" t="str">
        <f>IF(Table1[[#This Row],[CurrentStock]]&lt;Table1[[#This Row],[ReorderLevel]],"Reorder","Okay")</f>
        <v>Okay</v>
      </c>
    </row>
    <row r="701" spans="1:15" x14ac:dyDescent="0.3">
      <c r="A701">
        <v>34918</v>
      </c>
      <c r="B701" t="s">
        <v>21</v>
      </c>
      <c r="C701" t="s">
        <v>31</v>
      </c>
      <c r="D701">
        <v>253</v>
      </c>
      <c r="E701">
        <v>80</v>
      </c>
      <c r="F701">
        <v>442.98</v>
      </c>
      <c r="G701" t="s">
        <v>34</v>
      </c>
      <c r="H701" s="1">
        <v>45600</v>
      </c>
      <c r="I701" s="1">
        <v>45614</v>
      </c>
      <c r="J701" t="s">
        <v>37</v>
      </c>
      <c r="K701" t="b">
        <f>Table1[[#This Row],[CurrentStock]]&lt;Table1[[#This Row],[ReorderLevel]]</f>
        <v>0</v>
      </c>
      <c r="L701" s="9">
        <f>Table1[[#This Row],[CurrentStock]]*Table1[[#This Row],[UnitPrice]]</f>
        <v>112073.94</v>
      </c>
      <c r="M701" t="str">
        <f>IF(Table1[[#This Row],[ReorderLevel]]-Table1[[#This Row],[CurrentStock]]&gt;0,Table1[[#This Row],[ReorderLevel]]-Table1[[#This Row],[CurrentStock]],"")</f>
        <v/>
      </c>
      <c r="N701" t="str">
        <f>IF(Table1[[#This Row],[CurrentStock]]&gt;Table1[[#This Row],[ReorderLevel]]*3,"Over Stock","Okay")</f>
        <v>Over Stock</v>
      </c>
      <c r="O701" t="str">
        <f>IF(Table1[[#This Row],[CurrentStock]]&lt;Table1[[#This Row],[ReorderLevel]],"Reorder","Okay")</f>
        <v>Okay</v>
      </c>
    </row>
    <row r="702" spans="1:15" x14ac:dyDescent="0.3">
      <c r="A702">
        <v>91731</v>
      </c>
      <c r="B702" t="s">
        <v>15</v>
      </c>
      <c r="C702" t="s">
        <v>29</v>
      </c>
      <c r="D702">
        <v>185</v>
      </c>
      <c r="E702">
        <v>30</v>
      </c>
      <c r="F702">
        <v>433.21</v>
      </c>
      <c r="G702" t="s">
        <v>33</v>
      </c>
      <c r="H702" s="1">
        <v>45304</v>
      </c>
      <c r="I702" s="1">
        <v>45333</v>
      </c>
      <c r="J702" t="s">
        <v>38</v>
      </c>
      <c r="K702" t="b">
        <f>Table1[[#This Row],[CurrentStock]]&lt;Table1[[#This Row],[ReorderLevel]]</f>
        <v>0</v>
      </c>
      <c r="L702" s="9">
        <f>Table1[[#This Row],[CurrentStock]]*Table1[[#This Row],[UnitPrice]]</f>
        <v>80143.849999999991</v>
      </c>
      <c r="M702" t="str">
        <f>IF(Table1[[#This Row],[ReorderLevel]]-Table1[[#This Row],[CurrentStock]]&gt;0,Table1[[#This Row],[ReorderLevel]]-Table1[[#This Row],[CurrentStock]],"")</f>
        <v/>
      </c>
      <c r="N702" t="str">
        <f>IF(Table1[[#This Row],[CurrentStock]]&gt;Table1[[#This Row],[ReorderLevel]]*3,"Over Stock","Okay")</f>
        <v>Over Stock</v>
      </c>
      <c r="O702" t="str">
        <f>IF(Table1[[#This Row],[CurrentStock]]&lt;Table1[[#This Row],[ReorderLevel]],"Reorder","Okay")</f>
        <v>Okay</v>
      </c>
    </row>
    <row r="703" spans="1:15" x14ac:dyDescent="0.3">
      <c r="A703">
        <v>78416</v>
      </c>
      <c r="B703" t="s">
        <v>24</v>
      </c>
      <c r="C703" t="s">
        <v>31</v>
      </c>
      <c r="D703">
        <v>349</v>
      </c>
      <c r="E703">
        <v>40</v>
      </c>
      <c r="F703">
        <v>104.72</v>
      </c>
      <c r="G703" t="s">
        <v>34</v>
      </c>
      <c r="H703" s="1">
        <v>45542</v>
      </c>
      <c r="I703" s="1">
        <v>45562</v>
      </c>
      <c r="J703" t="s">
        <v>39</v>
      </c>
      <c r="K703" t="b">
        <f>Table1[[#This Row],[CurrentStock]]&lt;Table1[[#This Row],[ReorderLevel]]</f>
        <v>0</v>
      </c>
      <c r="L703" s="9">
        <f>Table1[[#This Row],[CurrentStock]]*Table1[[#This Row],[UnitPrice]]</f>
        <v>36547.279999999999</v>
      </c>
      <c r="M703" t="str">
        <f>IF(Table1[[#This Row],[ReorderLevel]]-Table1[[#This Row],[CurrentStock]]&gt;0,Table1[[#This Row],[ReorderLevel]]-Table1[[#This Row],[CurrentStock]],"")</f>
        <v/>
      </c>
      <c r="N703" t="str">
        <f>IF(Table1[[#This Row],[CurrentStock]]&gt;Table1[[#This Row],[ReorderLevel]]*3,"Over Stock","Okay")</f>
        <v>Over Stock</v>
      </c>
      <c r="O703" t="str">
        <f>IF(Table1[[#This Row],[CurrentStock]]&lt;Table1[[#This Row],[ReorderLevel]],"Reorder","Okay")</f>
        <v>Okay</v>
      </c>
    </row>
    <row r="704" spans="1:15" x14ac:dyDescent="0.3">
      <c r="A704">
        <v>97453</v>
      </c>
      <c r="B704" t="s">
        <v>26</v>
      </c>
      <c r="C704" t="s">
        <v>30</v>
      </c>
      <c r="D704">
        <v>391</v>
      </c>
      <c r="E704">
        <v>30</v>
      </c>
      <c r="F704">
        <v>456.84</v>
      </c>
      <c r="G704" t="s">
        <v>36</v>
      </c>
      <c r="H704" s="1">
        <v>45296</v>
      </c>
      <c r="I704" s="1">
        <v>45326</v>
      </c>
      <c r="J704" t="s">
        <v>38</v>
      </c>
      <c r="K704" t="b">
        <f>Table1[[#This Row],[CurrentStock]]&lt;Table1[[#This Row],[ReorderLevel]]</f>
        <v>0</v>
      </c>
      <c r="L704" s="9">
        <f>Table1[[#This Row],[CurrentStock]]*Table1[[#This Row],[UnitPrice]]</f>
        <v>178624.44</v>
      </c>
      <c r="M704" t="str">
        <f>IF(Table1[[#This Row],[ReorderLevel]]-Table1[[#This Row],[CurrentStock]]&gt;0,Table1[[#This Row],[ReorderLevel]]-Table1[[#This Row],[CurrentStock]],"")</f>
        <v/>
      </c>
      <c r="N704" t="str">
        <f>IF(Table1[[#This Row],[CurrentStock]]&gt;Table1[[#This Row],[ReorderLevel]]*3,"Over Stock","Okay")</f>
        <v>Over Stock</v>
      </c>
      <c r="O704" t="str">
        <f>IF(Table1[[#This Row],[CurrentStock]]&lt;Table1[[#This Row],[ReorderLevel]],"Reorder","Okay")</f>
        <v>Okay</v>
      </c>
    </row>
    <row r="705" spans="1:15" x14ac:dyDescent="0.3">
      <c r="A705">
        <v>70289</v>
      </c>
      <c r="B705" t="s">
        <v>16</v>
      </c>
      <c r="C705" t="s">
        <v>30</v>
      </c>
      <c r="D705">
        <v>89</v>
      </c>
      <c r="E705">
        <v>40</v>
      </c>
      <c r="F705">
        <v>55.67</v>
      </c>
      <c r="G705" t="s">
        <v>32</v>
      </c>
      <c r="H705" s="1">
        <v>45546</v>
      </c>
      <c r="I705" s="1">
        <v>45562</v>
      </c>
      <c r="J705" t="s">
        <v>39</v>
      </c>
      <c r="K705" t="b">
        <f>Table1[[#This Row],[CurrentStock]]&lt;Table1[[#This Row],[ReorderLevel]]</f>
        <v>0</v>
      </c>
      <c r="L705" s="9">
        <f>Table1[[#This Row],[CurrentStock]]*Table1[[#This Row],[UnitPrice]]</f>
        <v>4954.63</v>
      </c>
      <c r="M705" t="str">
        <f>IF(Table1[[#This Row],[ReorderLevel]]-Table1[[#This Row],[CurrentStock]]&gt;0,Table1[[#This Row],[ReorderLevel]]-Table1[[#This Row],[CurrentStock]],"")</f>
        <v/>
      </c>
      <c r="N705" t="str">
        <f>IF(Table1[[#This Row],[CurrentStock]]&gt;Table1[[#This Row],[ReorderLevel]]*3,"Over Stock","Okay")</f>
        <v>Okay</v>
      </c>
      <c r="O705" t="str">
        <f>IF(Table1[[#This Row],[CurrentStock]]&lt;Table1[[#This Row],[ReorderLevel]],"Reorder","Okay")</f>
        <v>Okay</v>
      </c>
    </row>
    <row r="706" spans="1:15" x14ac:dyDescent="0.3">
      <c r="A706">
        <v>62311</v>
      </c>
      <c r="B706" t="s">
        <v>26</v>
      </c>
      <c r="C706" t="s">
        <v>30</v>
      </c>
      <c r="D706">
        <v>469</v>
      </c>
      <c r="E706">
        <v>50</v>
      </c>
      <c r="F706">
        <v>44.46</v>
      </c>
      <c r="G706" t="s">
        <v>34</v>
      </c>
      <c r="H706" s="1">
        <v>45573</v>
      </c>
      <c r="I706" s="1">
        <v>45603</v>
      </c>
      <c r="J706" t="s">
        <v>38</v>
      </c>
      <c r="K706" t="b">
        <f>Table1[[#This Row],[CurrentStock]]&lt;Table1[[#This Row],[ReorderLevel]]</f>
        <v>0</v>
      </c>
      <c r="L706" s="9">
        <f>Table1[[#This Row],[CurrentStock]]*Table1[[#This Row],[UnitPrice]]</f>
        <v>20851.740000000002</v>
      </c>
      <c r="M706" t="str">
        <f>IF(Table1[[#This Row],[ReorderLevel]]-Table1[[#This Row],[CurrentStock]]&gt;0,Table1[[#This Row],[ReorderLevel]]-Table1[[#This Row],[CurrentStock]],"")</f>
        <v/>
      </c>
      <c r="N706" t="str">
        <f>IF(Table1[[#This Row],[CurrentStock]]&gt;Table1[[#This Row],[ReorderLevel]]*3,"Over Stock","Okay")</f>
        <v>Over Stock</v>
      </c>
      <c r="O706" t="str">
        <f>IF(Table1[[#This Row],[CurrentStock]]&lt;Table1[[#This Row],[ReorderLevel]],"Reorder","Okay")</f>
        <v>Okay</v>
      </c>
    </row>
    <row r="707" spans="1:15" x14ac:dyDescent="0.3">
      <c r="A707">
        <v>87129</v>
      </c>
      <c r="B707" t="s">
        <v>10</v>
      </c>
      <c r="C707" t="s">
        <v>27</v>
      </c>
      <c r="D707">
        <v>31</v>
      </c>
      <c r="E707">
        <v>150</v>
      </c>
      <c r="F707">
        <v>440.52</v>
      </c>
      <c r="G707" t="s">
        <v>34</v>
      </c>
      <c r="H707" s="1">
        <v>45296</v>
      </c>
      <c r="I707" s="1">
        <v>45311</v>
      </c>
      <c r="J707" t="s">
        <v>37</v>
      </c>
      <c r="K707" t="b">
        <f>Table1[[#This Row],[CurrentStock]]&lt;Table1[[#This Row],[ReorderLevel]]</f>
        <v>1</v>
      </c>
      <c r="L707" s="9">
        <f>Table1[[#This Row],[CurrentStock]]*Table1[[#This Row],[UnitPrice]]</f>
        <v>13656.119999999999</v>
      </c>
      <c r="M707">
        <f>IF(Table1[[#This Row],[ReorderLevel]]-Table1[[#This Row],[CurrentStock]]&gt;0,Table1[[#This Row],[ReorderLevel]]-Table1[[#This Row],[CurrentStock]],"")</f>
        <v>119</v>
      </c>
      <c r="N707" t="str">
        <f>IF(Table1[[#This Row],[CurrentStock]]&gt;Table1[[#This Row],[ReorderLevel]]*3,"Over Stock","Okay")</f>
        <v>Okay</v>
      </c>
      <c r="O707" t="str">
        <f>IF(Table1[[#This Row],[CurrentStock]]&lt;Table1[[#This Row],[ReorderLevel]],"Reorder","Okay")</f>
        <v>Reorder</v>
      </c>
    </row>
    <row r="708" spans="1:15" x14ac:dyDescent="0.3">
      <c r="A708">
        <v>39087</v>
      </c>
      <c r="B708" t="s">
        <v>18</v>
      </c>
      <c r="C708" t="s">
        <v>28</v>
      </c>
      <c r="D708">
        <v>365</v>
      </c>
      <c r="E708">
        <v>30</v>
      </c>
      <c r="F708">
        <v>423.26</v>
      </c>
      <c r="G708" t="s">
        <v>32</v>
      </c>
      <c r="H708" s="1">
        <v>45539</v>
      </c>
      <c r="I708" s="1">
        <v>45550</v>
      </c>
      <c r="J708" t="s">
        <v>38</v>
      </c>
      <c r="K708" t="b">
        <f>Table1[[#This Row],[CurrentStock]]&lt;Table1[[#This Row],[ReorderLevel]]</f>
        <v>0</v>
      </c>
      <c r="L708" s="9">
        <f>Table1[[#This Row],[CurrentStock]]*Table1[[#This Row],[UnitPrice]]</f>
        <v>154489.9</v>
      </c>
      <c r="M708" t="str">
        <f>IF(Table1[[#This Row],[ReorderLevel]]-Table1[[#This Row],[CurrentStock]]&gt;0,Table1[[#This Row],[ReorderLevel]]-Table1[[#This Row],[CurrentStock]],"")</f>
        <v/>
      </c>
      <c r="N708" t="str">
        <f>IF(Table1[[#This Row],[CurrentStock]]&gt;Table1[[#This Row],[ReorderLevel]]*3,"Over Stock","Okay")</f>
        <v>Over Stock</v>
      </c>
      <c r="O708" t="str">
        <f>IF(Table1[[#This Row],[CurrentStock]]&lt;Table1[[#This Row],[ReorderLevel]],"Reorder","Okay")</f>
        <v>Okay</v>
      </c>
    </row>
    <row r="709" spans="1:15" x14ac:dyDescent="0.3">
      <c r="A709">
        <v>96436</v>
      </c>
      <c r="B709" t="s">
        <v>10</v>
      </c>
      <c r="C709" t="s">
        <v>27</v>
      </c>
      <c r="D709">
        <v>197</v>
      </c>
      <c r="E709">
        <v>20</v>
      </c>
      <c r="F709">
        <v>108.47</v>
      </c>
      <c r="G709" t="s">
        <v>36</v>
      </c>
      <c r="H709" s="1">
        <v>45399</v>
      </c>
      <c r="I709" s="1">
        <v>45429</v>
      </c>
      <c r="J709" t="s">
        <v>37</v>
      </c>
      <c r="K709" t="b">
        <f>Table1[[#This Row],[CurrentStock]]&lt;Table1[[#This Row],[ReorderLevel]]</f>
        <v>0</v>
      </c>
      <c r="L709" s="9">
        <f>Table1[[#This Row],[CurrentStock]]*Table1[[#This Row],[UnitPrice]]</f>
        <v>21368.59</v>
      </c>
      <c r="M709" t="str">
        <f>IF(Table1[[#This Row],[ReorderLevel]]-Table1[[#This Row],[CurrentStock]]&gt;0,Table1[[#This Row],[ReorderLevel]]-Table1[[#This Row],[CurrentStock]],"")</f>
        <v/>
      </c>
      <c r="N709" t="str">
        <f>IF(Table1[[#This Row],[CurrentStock]]&gt;Table1[[#This Row],[ReorderLevel]]*3,"Over Stock","Okay")</f>
        <v>Over Stock</v>
      </c>
      <c r="O709" t="str">
        <f>IF(Table1[[#This Row],[CurrentStock]]&lt;Table1[[#This Row],[ReorderLevel]],"Reorder","Okay")</f>
        <v>Okay</v>
      </c>
    </row>
    <row r="710" spans="1:15" x14ac:dyDescent="0.3">
      <c r="A710">
        <v>43757</v>
      </c>
      <c r="B710" t="s">
        <v>26</v>
      </c>
      <c r="C710" t="s">
        <v>30</v>
      </c>
      <c r="D710">
        <v>496</v>
      </c>
      <c r="E710">
        <v>40</v>
      </c>
      <c r="F710">
        <v>424.4</v>
      </c>
      <c r="G710" t="s">
        <v>36</v>
      </c>
      <c r="H710" s="1">
        <v>45442</v>
      </c>
      <c r="I710" s="1">
        <v>45462</v>
      </c>
      <c r="J710" t="s">
        <v>38</v>
      </c>
      <c r="K710" t="b">
        <f>Table1[[#This Row],[CurrentStock]]&lt;Table1[[#This Row],[ReorderLevel]]</f>
        <v>0</v>
      </c>
      <c r="L710" s="9">
        <f>Table1[[#This Row],[CurrentStock]]*Table1[[#This Row],[UnitPrice]]</f>
        <v>210502.39999999999</v>
      </c>
      <c r="M710" t="str">
        <f>IF(Table1[[#This Row],[ReorderLevel]]-Table1[[#This Row],[CurrentStock]]&gt;0,Table1[[#This Row],[ReorderLevel]]-Table1[[#This Row],[CurrentStock]],"")</f>
        <v/>
      </c>
      <c r="N710" t="str">
        <f>IF(Table1[[#This Row],[CurrentStock]]&gt;Table1[[#This Row],[ReorderLevel]]*3,"Over Stock","Okay")</f>
        <v>Over Stock</v>
      </c>
      <c r="O710" t="str">
        <f>IF(Table1[[#This Row],[CurrentStock]]&lt;Table1[[#This Row],[ReorderLevel]],"Reorder","Okay")</f>
        <v>Okay</v>
      </c>
    </row>
    <row r="711" spans="1:15" x14ac:dyDescent="0.3">
      <c r="A711">
        <v>30836</v>
      </c>
      <c r="B711" t="s">
        <v>11</v>
      </c>
      <c r="C711" t="s">
        <v>27</v>
      </c>
      <c r="D711">
        <v>335</v>
      </c>
      <c r="E711">
        <v>150</v>
      </c>
      <c r="F711">
        <v>15.4</v>
      </c>
      <c r="G711" t="s">
        <v>35</v>
      </c>
      <c r="H711" s="1">
        <v>45591</v>
      </c>
      <c r="I711" s="1">
        <v>45607</v>
      </c>
      <c r="J711" t="s">
        <v>37</v>
      </c>
      <c r="K711" t="b">
        <f>Table1[[#This Row],[CurrentStock]]&lt;Table1[[#This Row],[ReorderLevel]]</f>
        <v>0</v>
      </c>
      <c r="L711" s="9">
        <f>Table1[[#This Row],[CurrentStock]]*Table1[[#This Row],[UnitPrice]]</f>
        <v>5159</v>
      </c>
      <c r="M711" t="str">
        <f>IF(Table1[[#This Row],[ReorderLevel]]-Table1[[#This Row],[CurrentStock]]&gt;0,Table1[[#This Row],[ReorderLevel]]-Table1[[#This Row],[CurrentStock]],"")</f>
        <v/>
      </c>
      <c r="N711" t="str">
        <f>IF(Table1[[#This Row],[CurrentStock]]&gt;Table1[[#This Row],[ReorderLevel]]*3,"Over Stock","Okay")</f>
        <v>Okay</v>
      </c>
      <c r="O711" t="str">
        <f>IF(Table1[[#This Row],[CurrentStock]]&lt;Table1[[#This Row],[ReorderLevel]],"Reorder","Okay")</f>
        <v>Okay</v>
      </c>
    </row>
    <row r="712" spans="1:15" x14ac:dyDescent="0.3">
      <c r="A712">
        <v>37105</v>
      </c>
      <c r="B712" t="s">
        <v>10</v>
      </c>
      <c r="C712" t="s">
        <v>27</v>
      </c>
      <c r="D712">
        <v>437</v>
      </c>
      <c r="E712">
        <v>50</v>
      </c>
      <c r="F712">
        <v>197.05</v>
      </c>
      <c r="G712" t="s">
        <v>33</v>
      </c>
      <c r="H712" s="1">
        <v>45603</v>
      </c>
      <c r="I712" s="1">
        <v>45642</v>
      </c>
      <c r="J712" t="s">
        <v>37</v>
      </c>
      <c r="K712" t="b">
        <f>Table1[[#This Row],[CurrentStock]]&lt;Table1[[#This Row],[ReorderLevel]]</f>
        <v>0</v>
      </c>
      <c r="L712" s="9">
        <f>Table1[[#This Row],[CurrentStock]]*Table1[[#This Row],[UnitPrice]]</f>
        <v>86110.85</v>
      </c>
      <c r="M712" t="str">
        <f>IF(Table1[[#This Row],[ReorderLevel]]-Table1[[#This Row],[CurrentStock]]&gt;0,Table1[[#This Row],[ReorderLevel]]-Table1[[#This Row],[CurrentStock]],"")</f>
        <v/>
      </c>
      <c r="N712" t="str">
        <f>IF(Table1[[#This Row],[CurrentStock]]&gt;Table1[[#This Row],[ReorderLevel]]*3,"Over Stock","Okay")</f>
        <v>Over Stock</v>
      </c>
      <c r="O712" t="str">
        <f>IF(Table1[[#This Row],[CurrentStock]]&lt;Table1[[#This Row],[ReorderLevel]],"Reorder","Okay")</f>
        <v>Okay</v>
      </c>
    </row>
    <row r="713" spans="1:15" x14ac:dyDescent="0.3">
      <c r="A713">
        <v>92464</v>
      </c>
      <c r="B713" t="s">
        <v>24</v>
      </c>
      <c r="C713" t="s">
        <v>31</v>
      </c>
      <c r="D713">
        <v>367</v>
      </c>
      <c r="E713">
        <v>30</v>
      </c>
      <c r="F713">
        <v>184.88</v>
      </c>
      <c r="G713" t="s">
        <v>35</v>
      </c>
      <c r="H713" s="1">
        <v>45333</v>
      </c>
      <c r="I713" s="1">
        <v>45341</v>
      </c>
      <c r="J713" t="s">
        <v>37</v>
      </c>
      <c r="K713" t="b">
        <f>Table1[[#This Row],[CurrentStock]]&lt;Table1[[#This Row],[ReorderLevel]]</f>
        <v>0</v>
      </c>
      <c r="L713" s="9">
        <f>Table1[[#This Row],[CurrentStock]]*Table1[[#This Row],[UnitPrice]]</f>
        <v>67850.959999999992</v>
      </c>
      <c r="M713" t="str">
        <f>IF(Table1[[#This Row],[ReorderLevel]]-Table1[[#This Row],[CurrentStock]]&gt;0,Table1[[#This Row],[ReorderLevel]]-Table1[[#This Row],[CurrentStock]],"")</f>
        <v/>
      </c>
      <c r="N713" t="str">
        <f>IF(Table1[[#This Row],[CurrentStock]]&gt;Table1[[#This Row],[ReorderLevel]]*3,"Over Stock","Okay")</f>
        <v>Over Stock</v>
      </c>
      <c r="O713" t="str">
        <f>IF(Table1[[#This Row],[CurrentStock]]&lt;Table1[[#This Row],[ReorderLevel]],"Reorder","Okay")</f>
        <v>Okay</v>
      </c>
    </row>
    <row r="714" spans="1:15" x14ac:dyDescent="0.3">
      <c r="A714">
        <v>79202</v>
      </c>
      <c r="B714" t="s">
        <v>15</v>
      </c>
      <c r="C714" t="s">
        <v>29</v>
      </c>
      <c r="D714">
        <v>170</v>
      </c>
      <c r="E714">
        <v>20</v>
      </c>
      <c r="F714">
        <v>121.62</v>
      </c>
      <c r="G714" t="s">
        <v>32</v>
      </c>
      <c r="H714" s="1">
        <v>45552</v>
      </c>
      <c r="I714" s="1">
        <v>45585</v>
      </c>
      <c r="J714" t="s">
        <v>39</v>
      </c>
      <c r="K714" t="b">
        <f>Table1[[#This Row],[CurrentStock]]&lt;Table1[[#This Row],[ReorderLevel]]</f>
        <v>0</v>
      </c>
      <c r="L714" s="9">
        <f>Table1[[#This Row],[CurrentStock]]*Table1[[#This Row],[UnitPrice]]</f>
        <v>20675.400000000001</v>
      </c>
      <c r="M714" t="str">
        <f>IF(Table1[[#This Row],[ReorderLevel]]-Table1[[#This Row],[CurrentStock]]&gt;0,Table1[[#This Row],[ReorderLevel]]-Table1[[#This Row],[CurrentStock]],"")</f>
        <v/>
      </c>
      <c r="N714" t="str">
        <f>IF(Table1[[#This Row],[CurrentStock]]&gt;Table1[[#This Row],[ReorderLevel]]*3,"Over Stock","Okay")</f>
        <v>Over Stock</v>
      </c>
      <c r="O714" t="str">
        <f>IF(Table1[[#This Row],[CurrentStock]]&lt;Table1[[#This Row],[ReorderLevel]],"Reorder","Okay")</f>
        <v>Okay</v>
      </c>
    </row>
    <row r="715" spans="1:15" x14ac:dyDescent="0.3">
      <c r="A715">
        <v>29403</v>
      </c>
      <c r="B715" t="s">
        <v>14</v>
      </c>
      <c r="C715" t="s">
        <v>27</v>
      </c>
      <c r="D715">
        <v>3</v>
      </c>
      <c r="E715">
        <v>150</v>
      </c>
      <c r="F715">
        <v>323.17</v>
      </c>
      <c r="G715" t="s">
        <v>33</v>
      </c>
      <c r="H715" s="1">
        <v>45583</v>
      </c>
      <c r="I715" s="1">
        <v>45612</v>
      </c>
      <c r="J715" t="s">
        <v>37</v>
      </c>
      <c r="K715" t="b">
        <f>Table1[[#This Row],[CurrentStock]]&lt;Table1[[#This Row],[ReorderLevel]]</f>
        <v>1</v>
      </c>
      <c r="L715" s="9">
        <f>Table1[[#This Row],[CurrentStock]]*Table1[[#This Row],[UnitPrice]]</f>
        <v>969.51</v>
      </c>
      <c r="M715">
        <f>IF(Table1[[#This Row],[ReorderLevel]]-Table1[[#This Row],[CurrentStock]]&gt;0,Table1[[#This Row],[ReorderLevel]]-Table1[[#This Row],[CurrentStock]],"")</f>
        <v>147</v>
      </c>
      <c r="N715" t="str">
        <f>IF(Table1[[#This Row],[CurrentStock]]&gt;Table1[[#This Row],[ReorderLevel]]*3,"Over Stock","Okay")</f>
        <v>Okay</v>
      </c>
      <c r="O715" t="str">
        <f>IF(Table1[[#This Row],[CurrentStock]]&lt;Table1[[#This Row],[ReorderLevel]],"Reorder","Okay")</f>
        <v>Reorder</v>
      </c>
    </row>
    <row r="716" spans="1:15" x14ac:dyDescent="0.3">
      <c r="A716">
        <v>44765</v>
      </c>
      <c r="B716" t="s">
        <v>20</v>
      </c>
      <c r="C716" t="s">
        <v>29</v>
      </c>
      <c r="D716">
        <v>60</v>
      </c>
      <c r="E716">
        <v>80</v>
      </c>
      <c r="F716">
        <v>94.43</v>
      </c>
      <c r="G716" t="s">
        <v>34</v>
      </c>
      <c r="H716" s="1">
        <v>45354</v>
      </c>
      <c r="I716" s="1">
        <v>45392</v>
      </c>
      <c r="J716" t="s">
        <v>37</v>
      </c>
      <c r="K716" t="b">
        <f>Table1[[#This Row],[CurrentStock]]&lt;Table1[[#This Row],[ReorderLevel]]</f>
        <v>1</v>
      </c>
      <c r="L716" s="9">
        <f>Table1[[#This Row],[CurrentStock]]*Table1[[#This Row],[UnitPrice]]</f>
        <v>5665.8</v>
      </c>
      <c r="M716">
        <f>IF(Table1[[#This Row],[ReorderLevel]]-Table1[[#This Row],[CurrentStock]]&gt;0,Table1[[#This Row],[ReorderLevel]]-Table1[[#This Row],[CurrentStock]],"")</f>
        <v>20</v>
      </c>
      <c r="N716" t="str">
        <f>IF(Table1[[#This Row],[CurrentStock]]&gt;Table1[[#This Row],[ReorderLevel]]*3,"Over Stock","Okay")</f>
        <v>Okay</v>
      </c>
      <c r="O716" t="str">
        <f>IF(Table1[[#This Row],[CurrentStock]]&lt;Table1[[#This Row],[ReorderLevel]],"Reorder","Okay")</f>
        <v>Reorder</v>
      </c>
    </row>
    <row r="717" spans="1:15" x14ac:dyDescent="0.3">
      <c r="A717">
        <v>82267</v>
      </c>
      <c r="B717" t="s">
        <v>19</v>
      </c>
      <c r="C717" t="s">
        <v>28</v>
      </c>
      <c r="D717">
        <v>428</v>
      </c>
      <c r="E717">
        <v>30</v>
      </c>
      <c r="F717">
        <v>372.47</v>
      </c>
      <c r="G717" t="s">
        <v>34</v>
      </c>
      <c r="H717" s="1">
        <v>45461</v>
      </c>
      <c r="I717" s="1">
        <v>45481</v>
      </c>
      <c r="J717" t="s">
        <v>37</v>
      </c>
      <c r="K717" t="b">
        <f>Table1[[#This Row],[CurrentStock]]&lt;Table1[[#This Row],[ReorderLevel]]</f>
        <v>0</v>
      </c>
      <c r="L717" s="9">
        <f>Table1[[#This Row],[CurrentStock]]*Table1[[#This Row],[UnitPrice]]</f>
        <v>159417.16</v>
      </c>
      <c r="M717" t="str">
        <f>IF(Table1[[#This Row],[ReorderLevel]]-Table1[[#This Row],[CurrentStock]]&gt;0,Table1[[#This Row],[ReorderLevel]]-Table1[[#This Row],[CurrentStock]],"")</f>
        <v/>
      </c>
      <c r="N717" t="str">
        <f>IF(Table1[[#This Row],[CurrentStock]]&gt;Table1[[#This Row],[ReorderLevel]]*3,"Over Stock","Okay")</f>
        <v>Over Stock</v>
      </c>
      <c r="O717" t="str">
        <f>IF(Table1[[#This Row],[CurrentStock]]&lt;Table1[[#This Row],[ReorderLevel]],"Reorder","Okay")</f>
        <v>Okay</v>
      </c>
    </row>
    <row r="718" spans="1:15" x14ac:dyDescent="0.3">
      <c r="A718">
        <v>14951</v>
      </c>
      <c r="B718" t="s">
        <v>21</v>
      </c>
      <c r="C718" t="s">
        <v>31</v>
      </c>
      <c r="D718">
        <v>0</v>
      </c>
      <c r="E718">
        <v>150</v>
      </c>
      <c r="F718">
        <v>333.55</v>
      </c>
      <c r="G718" t="s">
        <v>32</v>
      </c>
      <c r="H718" s="1">
        <v>45564</v>
      </c>
      <c r="I718" s="1">
        <v>45595</v>
      </c>
      <c r="J718" t="s">
        <v>39</v>
      </c>
      <c r="K718" t="b">
        <f>Table1[[#This Row],[CurrentStock]]&lt;Table1[[#This Row],[ReorderLevel]]</f>
        <v>1</v>
      </c>
      <c r="L718" s="9">
        <f>Table1[[#This Row],[CurrentStock]]*Table1[[#This Row],[UnitPrice]]</f>
        <v>0</v>
      </c>
      <c r="M718">
        <f>IF(Table1[[#This Row],[ReorderLevel]]-Table1[[#This Row],[CurrentStock]]&gt;0,Table1[[#This Row],[ReorderLevel]]-Table1[[#This Row],[CurrentStock]],"")</f>
        <v>150</v>
      </c>
      <c r="N718" t="str">
        <f>IF(Table1[[#This Row],[CurrentStock]]&gt;Table1[[#This Row],[ReorderLevel]]*3,"Over Stock","Okay")</f>
        <v>Okay</v>
      </c>
      <c r="O718" t="str">
        <f>IF(Table1[[#This Row],[CurrentStock]]&lt;Table1[[#This Row],[ReorderLevel]],"Reorder","Okay")</f>
        <v>Reorder</v>
      </c>
    </row>
    <row r="719" spans="1:15" x14ac:dyDescent="0.3">
      <c r="A719">
        <v>84160</v>
      </c>
      <c r="B719" t="s">
        <v>21</v>
      </c>
      <c r="C719" t="s">
        <v>31</v>
      </c>
      <c r="D719">
        <v>422</v>
      </c>
      <c r="E719">
        <v>30</v>
      </c>
      <c r="F719">
        <v>300.91000000000003</v>
      </c>
      <c r="G719" t="s">
        <v>32</v>
      </c>
      <c r="H719" s="1">
        <v>45585</v>
      </c>
      <c r="I719" s="1">
        <v>45612</v>
      </c>
      <c r="J719" t="s">
        <v>37</v>
      </c>
      <c r="K719" t="b">
        <f>Table1[[#This Row],[CurrentStock]]&lt;Table1[[#This Row],[ReorderLevel]]</f>
        <v>0</v>
      </c>
      <c r="L719" s="9">
        <f>Table1[[#This Row],[CurrentStock]]*Table1[[#This Row],[UnitPrice]]</f>
        <v>126984.02</v>
      </c>
      <c r="M719" t="str">
        <f>IF(Table1[[#This Row],[ReorderLevel]]-Table1[[#This Row],[CurrentStock]]&gt;0,Table1[[#This Row],[ReorderLevel]]-Table1[[#This Row],[CurrentStock]],"")</f>
        <v/>
      </c>
      <c r="N719" t="str">
        <f>IF(Table1[[#This Row],[CurrentStock]]&gt;Table1[[#This Row],[ReorderLevel]]*3,"Over Stock","Okay")</f>
        <v>Over Stock</v>
      </c>
      <c r="O719" t="str">
        <f>IF(Table1[[#This Row],[CurrentStock]]&lt;Table1[[#This Row],[ReorderLevel]],"Reorder","Okay")</f>
        <v>Okay</v>
      </c>
    </row>
    <row r="720" spans="1:15" x14ac:dyDescent="0.3">
      <c r="A720">
        <v>70654</v>
      </c>
      <c r="B720" t="s">
        <v>22</v>
      </c>
      <c r="C720" t="s">
        <v>27</v>
      </c>
      <c r="D720">
        <v>214</v>
      </c>
      <c r="E720">
        <v>30</v>
      </c>
      <c r="F720">
        <v>467.32</v>
      </c>
      <c r="G720" t="s">
        <v>32</v>
      </c>
      <c r="H720" s="1">
        <v>45523</v>
      </c>
      <c r="I720" s="1">
        <v>45558</v>
      </c>
      <c r="J720" t="s">
        <v>38</v>
      </c>
      <c r="K720" t="b">
        <f>Table1[[#This Row],[CurrentStock]]&lt;Table1[[#This Row],[ReorderLevel]]</f>
        <v>0</v>
      </c>
      <c r="L720" s="9">
        <f>Table1[[#This Row],[CurrentStock]]*Table1[[#This Row],[UnitPrice]]</f>
        <v>100006.48</v>
      </c>
      <c r="M720" t="str">
        <f>IF(Table1[[#This Row],[ReorderLevel]]-Table1[[#This Row],[CurrentStock]]&gt;0,Table1[[#This Row],[ReorderLevel]]-Table1[[#This Row],[CurrentStock]],"")</f>
        <v/>
      </c>
      <c r="N720" t="str">
        <f>IF(Table1[[#This Row],[CurrentStock]]&gt;Table1[[#This Row],[ReorderLevel]]*3,"Over Stock","Okay")</f>
        <v>Over Stock</v>
      </c>
      <c r="O720" t="str">
        <f>IF(Table1[[#This Row],[CurrentStock]]&lt;Table1[[#This Row],[ReorderLevel]],"Reorder","Okay")</f>
        <v>Okay</v>
      </c>
    </row>
    <row r="721" spans="1:15" x14ac:dyDescent="0.3">
      <c r="A721">
        <v>82590</v>
      </c>
      <c r="B721" t="s">
        <v>25</v>
      </c>
      <c r="C721" t="s">
        <v>31</v>
      </c>
      <c r="D721">
        <v>215</v>
      </c>
      <c r="E721">
        <v>20</v>
      </c>
      <c r="F721">
        <v>360.04</v>
      </c>
      <c r="G721" t="s">
        <v>32</v>
      </c>
      <c r="H721" s="1">
        <v>45371</v>
      </c>
      <c r="I721" s="1">
        <v>45388</v>
      </c>
      <c r="J721" t="s">
        <v>39</v>
      </c>
      <c r="K721" t="b">
        <f>Table1[[#This Row],[CurrentStock]]&lt;Table1[[#This Row],[ReorderLevel]]</f>
        <v>0</v>
      </c>
      <c r="L721" s="9">
        <f>Table1[[#This Row],[CurrentStock]]*Table1[[#This Row],[UnitPrice]]</f>
        <v>77408.600000000006</v>
      </c>
      <c r="M721" t="str">
        <f>IF(Table1[[#This Row],[ReorderLevel]]-Table1[[#This Row],[CurrentStock]]&gt;0,Table1[[#This Row],[ReorderLevel]]-Table1[[#This Row],[CurrentStock]],"")</f>
        <v/>
      </c>
      <c r="N721" t="str">
        <f>IF(Table1[[#This Row],[CurrentStock]]&gt;Table1[[#This Row],[ReorderLevel]]*3,"Over Stock","Okay")</f>
        <v>Over Stock</v>
      </c>
      <c r="O721" t="str">
        <f>IF(Table1[[#This Row],[CurrentStock]]&lt;Table1[[#This Row],[ReorderLevel]],"Reorder","Okay")</f>
        <v>Okay</v>
      </c>
    </row>
    <row r="722" spans="1:15" x14ac:dyDescent="0.3">
      <c r="A722">
        <v>27718</v>
      </c>
      <c r="B722" t="s">
        <v>14</v>
      </c>
      <c r="C722" t="s">
        <v>27</v>
      </c>
      <c r="D722">
        <v>419</v>
      </c>
      <c r="E722">
        <v>40</v>
      </c>
      <c r="F722">
        <v>350.1</v>
      </c>
      <c r="G722" t="s">
        <v>36</v>
      </c>
      <c r="H722" s="1">
        <v>45633</v>
      </c>
      <c r="I722" s="1">
        <v>45649</v>
      </c>
      <c r="J722" t="s">
        <v>38</v>
      </c>
      <c r="K722" t="b">
        <f>Table1[[#This Row],[CurrentStock]]&lt;Table1[[#This Row],[ReorderLevel]]</f>
        <v>0</v>
      </c>
      <c r="L722" s="9">
        <f>Table1[[#This Row],[CurrentStock]]*Table1[[#This Row],[UnitPrice]]</f>
        <v>146691.90000000002</v>
      </c>
      <c r="M722" t="str">
        <f>IF(Table1[[#This Row],[ReorderLevel]]-Table1[[#This Row],[CurrentStock]]&gt;0,Table1[[#This Row],[ReorderLevel]]-Table1[[#This Row],[CurrentStock]],"")</f>
        <v/>
      </c>
      <c r="N722" t="str">
        <f>IF(Table1[[#This Row],[CurrentStock]]&gt;Table1[[#This Row],[ReorderLevel]]*3,"Over Stock","Okay")</f>
        <v>Over Stock</v>
      </c>
      <c r="O722" t="str">
        <f>IF(Table1[[#This Row],[CurrentStock]]&lt;Table1[[#This Row],[ReorderLevel]],"Reorder","Okay")</f>
        <v>Okay</v>
      </c>
    </row>
    <row r="723" spans="1:15" x14ac:dyDescent="0.3">
      <c r="A723">
        <v>53158</v>
      </c>
      <c r="B723" t="s">
        <v>22</v>
      </c>
      <c r="C723" t="s">
        <v>27</v>
      </c>
      <c r="D723">
        <v>185</v>
      </c>
      <c r="E723">
        <v>150</v>
      </c>
      <c r="F723">
        <v>83.43</v>
      </c>
      <c r="G723" t="s">
        <v>34</v>
      </c>
      <c r="H723" s="1">
        <v>45375</v>
      </c>
      <c r="I723" s="1">
        <v>45394</v>
      </c>
      <c r="J723" t="s">
        <v>37</v>
      </c>
      <c r="K723" t="b">
        <f>Table1[[#This Row],[CurrentStock]]&lt;Table1[[#This Row],[ReorderLevel]]</f>
        <v>0</v>
      </c>
      <c r="L723" s="9">
        <f>Table1[[#This Row],[CurrentStock]]*Table1[[#This Row],[UnitPrice]]</f>
        <v>15434.550000000001</v>
      </c>
      <c r="M723" t="str">
        <f>IF(Table1[[#This Row],[ReorderLevel]]-Table1[[#This Row],[CurrentStock]]&gt;0,Table1[[#This Row],[ReorderLevel]]-Table1[[#This Row],[CurrentStock]],"")</f>
        <v/>
      </c>
      <c r="N723" t="str">
        <f>IF(Table1[[#This Row],[CurrentStock]]&gt;Table1[[#This Row],[ReorderLevel]]*3,"Over Stock","Okay")</f>
        <v>Okay</v>
      </c>
      <c r="O723" t="str">
        <f>IF(Table1[[#This Row],[CurrentStock]]&lt;Table1[[#This Row],[ReorderLevel]],"Reorder","Okay")</f>
        <v>Okay</v>
      </c>
    </row>
    <row r="724" spans="1:15" x14ac:dyDescent="0.3">
      <c r="A724">
        <v>65501</v>
      </c>
      <c r="B724" t="s">
        <v>16</v>
      </c>
      <c r="C724" t="s">
        <v>30</v>
      </c>
      <c r="D724">
        <v>144</v>
      </c>
      <c r="E724">
        <v>30</v>
      </c>
      <c r="F724">
        <v>420.53</v>
      </c>
      <c r="G724" t="s">
        <v>34</v>
      </c>
      <c r="H724" s="1">
        <v>45336</v>
      </c>
      <c r="I724" s="1">
        <v>45358</v>
      </c>
      <c r="J724" t="s">
        <v>38</v>
      </c>
      <c r="K724" t="b">
        <f>Table1[[#This Row],[CurrentStock]]&lt;Table1[[#This Row],[ReorderLevel]]</f>
        <v>0</v>
      </c>
      <c r="L724" s="9">
        <f>Table1[[#This Row],[CurrentStock]]*Table1[[#This Row],[UnitPrice]]</f>
        <v>60556.319999999992</v>
      </c>
      <c r="M724" t="str">
        <f>IF(Table1[[#This Row],[ReorderLevel]]-Table1[[#This Row],[CurrentStock]]&gt;0,Table1[[#This Row],[ReorderLevel]]-Table1[[#This Row],[CurrentStock]],"")</f>
        <v/>
      </c>
      <c r="N724" t="str">
        <f>IF(Table1[[#This Row],[CurrentStock]]&gt;Table1[[#This Row],[ReorderLevel]]*3,"Over Stock","Okay")</f>
        <v>Over Stock</v>
      </c>
      <c r="O724" t="str">
        <f>IF(Table1[[#This Row],[CurrentStock]]&lt;Table1[[#This Row],[ReorderLevel]],"Reorder","Okay")</f>
        <v>Okay</v>
      </c>
    </row>
    <row r="725" spans="1:15" x14ac:dyDescent="0.3">
      <c r="A725">
        <v>89553</v>
      </c>
      <c r="B725" t="s">
        <v>17</v>
      </c>
      <c r="C725" t="s">
        <v>30</v>
      </c>
      <c r="D725">
        <v>6</v>
      </c>
      <c r="E725">
        <v>20</v>
      </c>
      <c r="F725">
        <v>87.26</v>
      </c>
      <c r="G725" t="s">
        <v>36</v>
      </c>
      <c r="H725" s="1">
        <v>45359</v>
      </c>
      <c r="I725" s="1">
        <v>45397</v>
      </c>
      <c r="J725" t="s">
        <v>38</v>
      </c>
      <c r="K725" t="b">
        <f>Table1[[#This Row],[CurrentStock]]&lt;Table1[[#This Row],[ReorderLevel]]</f>
        <v>1</v>
      </c>
      <c r="L725" s="9">
        <f>Table1[[#This Row],[CurrentStock]]*Table1[[#This Row],[UnitPrice]]</f>
        <v>523.56000000000006</v>
      </c>
      <c r="M725">
        <f>IF(Table1[[#This Row],[ReorderLevel]]-Table1[[#This Row],[CurrentStock]]&gt;0,Table1[[#This Row],[ReorderLevel]]-Table1[[#This Row],[CurrentStock]],"")</f>
        <v>14</v>
      </c>
      <c r="N725" t="str">
        <f>IF(Table1[[#This Row],[CurrentStock]]&gt;Table1[[#This Row],[ReorderLevel]]*3,"Over Stock","Okay")</f>
        <v>Okay</v>
      </c>
      <c r="O725" t="str">
        <f>IF(Table1[[#This Row],[CurrentStock]]&lt;Table1[[#This Row],[ReorderLevel]],"Reorder","Okay")</f>
        <v>Reorder</v>
      </c>
    </row>
    <row r="726" spans="1:15" x14ac:dyDescent="0.3">
      <c r="A726">
        <v>44235</v>
      </c>
      <c r="B726" t="s">
        <v>21</v>
      </c>
      <c r="C726" t="s">
        <v>31</v>
      </c>
      <c r="D726">
        <v>296</v>
      </c>
      <c r="E726">
        <v>80</v>
      </c>
      <c r="F726">
        <v>30.98</v>
      </c>
      <c r="G726" t="s">
        <v>32</v>
      </c>
      <c r="H726" s="1">
        <v>45301</v>
      </c>
      <c r="I726" s="1">
        <v>45332</v>
      </c>
      <c r="J726" t="s">
        <v>37</v>
      </c>
      <c r="K726" t="b">
        <f>Table1[[#This Row],[CurrentStock]]&lt;Table1[[#This Row],[ReorderLevel]]</f>
        <v>0</v>
      </c>
      <c r="L726" s="9">
        <f>Table1[[#This Row],[CurrentStock]]*Table1[[#This Row],[UnitPrice]]</f>
        <v>9170.08</v>
      </c>
      <c r="M726" t="str">
        <f>IF(Table1[[#This Row],[ReorderLevel]]-Table1[[#This Row],[CurrentStock]]&gt;0,Table1[[#This Row],[ReorderLevel]]-Table1[[#This Row],[CurrentStock]],"")</f>
        <v/>
      </c>
      <c r="N726" t="str">
        <f>IF(Table1[[#This Row],[CurrentStock]]&gt;Table1[[#This Row],[ReorderLevel]]*3,"Over Stock","Okay")</f>
        <v>Over Stock</v>
      </c>
      <c r="O726" t="str">
        <f>IF(Table1[[#This Row],[CurrentStock]]&lt;Table1[[#This Row],[ReorderLevel]],"Reorder","Okay")</f>
        <v>Okay</v>
      </c>
    </row>
    <row r="727" spans="1:15" x14ac:dyDescent="0.3">
      <c r="A727">
        <v>11168</v>
      </c>
      <c r="B727" t="s">
        <v>18</v>
      </c>
      <c r="C727" t="s">
        <v>28</v>
      </c>
      <c r="D727">
        <v>230</v>
      </c>
      <c r="E727">
        <v>100</v>
      </c>
      <c r="F727">
        <v>96.23</v>
      </c>
      <c r="G727" t="s">
        <v>36</v>
      </c>
      <c r="H727" s="1">
        <v>45504</v>
      </c>
      <c r="I727" s="1">
        <v>45517</v>
      </c>
      <c r="J727" t="s">
        <v>39</v>
      </c>
      <c r="K727" t="b">
        <f>Table1[[#This Row],[CurrentStock]]&lt;Table1[[#This Row],[ReorderLevel]]</f>
        <v>0</v>
      </c>
      <c r="L727" s="9">
        <f>Table1[[#This Row],[CurrentStock]]*Table1[[#This Row],[UnitPrice]]</f>
        <v>22132.9</v>
      </c>
      <c r="M727" t="str">
        <f>IF(Table1[[#This Row],[ReorderLevel]]-Table1[[#This Row],[CurrentStock]]&gt;0,Table1[[#This Row],[ReorderLevel]]-Table1[[#This Row],[CurrentStock]],"")</f>
        <v/>
      </c>
      <c r="N727" t="str">
        <f>IF(Table1[[#This Row],[CurrentStock]]&gt;Table1[[#This Row],[ReorderLevel]]*3,"Over Stock","Okay")</f>
        <v>Okay</v>
      </c>
      <c r="O727" t="str">
        <f>IF(Table1[[#This Row],[CurrentStock]]&lt;Table1[[#This Row],[ReorderLevel]],"Reorder","Okay")</f>
        <v>Okay</v>
      </c>
    </row>
    <row r="728" spans="1:15" x14ac:dyDescent="0.3">
      <c r="A728">
        <v>74817</v>
      </c>
      <c r="B728" t="s">
        <v>12</v>
      </c>
      <c r="C728" t="s">
        <v>28</v>
      </c>
      <c r="D728">
        <v>478</v>
      </c>
      <c r="E728">
        <v>50</v>
      </c>
      <c r="F728">
        <v>304.92</v>
      </c>
      <c r="G728" t="s">
        <v>35</v>
      </c>
      <c r="H728" s="1">
        <v>45457</v>
      </c>
      <c r="I728" s="1">
        <v>45480</v>
      </c>
      <c r="J728" t="s">
        <v>37</v>
      </c>
      <c r="K728" t="b">
        <f>Table1[[#This Row],[CurrentStock]]&lt;Table1[[#This Row],[ReorderLevel]]</f>
        <v>0</v>
      </c>
      <c r="L728" s="9">
        <f>Table1[[#This Row],[CurrentStock]]*Table1[[#This Row],[UnitPrice]]</f>
        <v>145751.76</v>
      </c>
      <c r="M728" t="str">
        <f>IF(Table1[[#This Row],[ReorderLevel]]-Table1[[#This Row],[CurrentStock]]&gt;0,Table1[[#This Row],[ReorderLevel]]-Table1[[#This Row],[CurrentStock]],"")</f>
        <v/>
      </c>
      <c r="N728" t="str">
        <f>IF(Table1[[#This Row],[CurrentStock]]&gt;Table1[[#This Row],[ReorderLevel]]*3,"Over Stock","Okay")</f>
        <v>Over Stock</v>
      </c>
      <c r="O728" t="str">
        <f>IF(Table1[[#This Row],[CurrentStock]]&lt;Table1[[#This Row],[ReorderLevel]],"Reorder","Okay")</f>
        <v>Okay</v>
      </c>
    </row>
    <row r="729" spans="1:15" x14ac:dyDescent="0.3">
      <c r="A729">
        <v>65390</v>
      </c>
      <c r="B729" t="s">
        <v>12</v>
      </c>
      <c r="C729" t="s">
        <v>28</v>
      </c>
      <c r="D729">
        <v>220</v>
      </c>
      <c r="E729">
        <v>40</v>
      </c>
      <c r="F729">
        <v>270.08999999999997</v>
      </c>
      <c r="G729" t="s">
        <v>35</v>
      </c>
      <c r="H729" s="1">
        <v>45399</v>
      </c>
      <c r="I729" s="1">
        <v>45413</v>
      </c>
      <c r="J729" t="s">
        <v>37</v>
      </c>
      <c r="K729" t="b">
        <f>Table1[[#This Row],[CurrentStock]]&lt;Table1[[#This Row],[ReorderLevel]]</f>
        <v>0</v>
      </c>
      <c r="L729" s="9">
        <f>Table1[[#This Row],[CurrentStock]]*Table1[[#This Row],[UnitPrice]]</f>
        <v>59419.799999999996</v>
      </c>
      <c r="M729" t="str">
        <f>IF(Table1[[#This Row],[ReorderLevel]]-Table1[[#This Row],[CurrentStock]]&gt;0,Table1[[#This Row],[ReorderLevel]]-Table1[[#This Row],[CurrentStock]],"")</f>
        <v/>
      </c>
      <c r="N729" t="str">
        <f>IF(Table1[[#This Row],[CurrentStock]]&gt;Table1[[#This Row],[ReorderLevel]]*3,"Over Stock","Okay")</f>
        <v>Over Stock</v>
      </c>
      <c r="O729" t="str">
        <f>IF(Table1[[#This Row],[CurrentStock]]&lt;Table1[[#This Row],[ReorderLevel]],"Reorder","Okay")</f>
        <v>Okay</v>
      </c>
    </row>
    <row r="730" spans="1:15" x14ac:dyDescent="0.3">
      <c r="A730">
        <v>13443</v>
      </c>
      <c r="B730" t="s">
        <v>25</v>
      </c>
      <c r="C730" t="s">
        <v>31</v>
      </c>
      <c r="D730">
        <v>20</v>
      </c>
      <c r="E730">
        <v>50</v>
      </c>
      <c r="F730">
        <v>463.82</v>
      </c>
      <c r="G730" t="s">
        <v>34</v>
      </c>
      <c r="H730" s="1">
        <v>45603</v>
      </c>
      <c r="I730" s="1">
        <v>45630</v>
      </c>
      <c r="J730" t="s">
        <v>39</v>
      </c>
      <c r="K730" t="b">
        <f>Table1[[#This Row],[CurrentStock]]&lt;Table1[[#This Row],[ReorderLevel]]</f>
        <v>1</v>
      </c>
      <c r="L730" s="9">
        <f>Table1[[#This Row],[CurrentStock]]*Table1[[#This Row],[UnitPrice]]</f>
        <v>9276.4</v>
      </c>
      <c r="M730">
        <f>IF(Table1[[#This Row],[ReorderLevel]]-Table1[[#This Row],[CurrentStock]]&gt;0,Table1[[#This Row],[ReorderLevel]]-Table1[[#This Row],[CurrentStock]],"")</f>
        <v>30</v>
      </c>
      <c r="N730" t="str">
        <f>IF(Table1[[#This Row],[CurrentStock]]&gt;Table1[[#This Row],[ReorderLevel]]*3,"Over Stock","Okay")</f>
        <v>Okay</v>
      </c>
      <c r="O730" t="str">
        <f>IF(Table1[[#This Row],[CurrentStock]]&lt;Table1[[#This Row],[ReorderLevel]],"Reorder","Okay")</f>
        <v>Reorder</v>
      </c>
    </row>
    <row r="731" spans="1:15" x14ac:dyDescent="0.3">
      <c r="A731">
        <v>38690</v>
      </c>
      <c r="B731" t="s">
        <v>18</v>
      </c>
      <c r="C731" t="s">
        <v>28</v>
      </c>
      <c r="D731">
        <v>119</v>
      </c>
      <c r="E731">
        <v>80</v>
      </c>
      <c r="F731">
        <v>292.02</v>
      </c>
      <c r="G731" t="s">
        <v>35</v>
      </c>
      <c r="H731" s="1">
        <v>45489</v>
      </c>
      <c r="I731" s="1">
        <v>45522</v>
      </c>
      <c r="J731" t="s">
        <v>37</v>
      </c>
      <c r="K731" t="b">
        <f>Table1[[#This Row],[CurrentStock]]&lt;Table1[[#This Row],[ReorderLevel]]</f>
        <v>0</v>
      </c>
      <c r="L731" s="9">
        <f>Table1[[#This Row],[CurrentStock]]*Table1[[#This Row],[UnitPrice]]</f>
        <v>34750.379999999997</v>
      </c>
      <c r="M731" t="str">
        <f>IF(Table1[[#This Row],[ReorderLevel]]-Table1[[#This Row],[CurrentStock]]&gt;0,Table1[[#This Row],[ReorderLevel]]-Table1[[#This Row],[CurrentStock]],"")</f>
        <v/>
      </c>
      <c r="N731" t="str">
        <f>IF(Table1[[#This Row],[CurrentStock]]&gt;Table1[[#This Row],[ReorderLevel]]*3,"Over Stock","Okay")</f>
        <v>Okay</v>
      </c>
      <c r="O731" t="str">
        <f>IF(Table1[[#This Row],[CurrentStock]]&lt;Table1[[#This Row],[ReorderLevel]],"Reorder","Okay")</f>
        <v>Okay</v>
      </c>
    </row>
    <row r="732" spans="1:15" x14ac:dyDescent="0.3">
      <c r="A732">
        <v>88462</v>
      </c>
      <c r="B732" t="s">
        <v>16</v>
      </c>
      <c r="C732" t="s">
        <v>30</v>
      </c>
      <c r="D732">
        <v>425</v>
      </c>
      <c r="E732">
        <v>80</v>
      </c>
      <c r="F732">
        <v>199.17</v>
      </c>
      <c r="G732" t="s">
        <v>36</v>
      </c>
      <c r="H732" s="1">
        <v>45331</v>
      </c>
      <c r="I732" s="1">
        <v>45338</v>
      </c>
      <c r="J732" t="s">
        <v>39</v>
      </c>
      <c r="K732" t="b">
        <f>Table1[[#This Row],[CurrentStock]]&lt;Table1[[#This Row],[ReorderLevel]]</f>
        <v>0</v>
      </c>
      <c r="L732" s="9">
        <f>Table1[[#This Row],[CurrentStock]]*Table1[[#This Row],[UnitPrice]]</f>
        <v>84647.25</v>
      </c>
      <c r="M732" t="str">
        <f>IF(Table1[[#This Row],[ReorderLevel]]-Table1[[#This Row],[CurrentStock]]&gt;0,Table1[[#This Row],[ReorderLevel]]-Table1[[#This Row],[CurrentStock]],"")</f>
        <v/>
      </c>
      <c r="N732" t="str">
        <f>IF(Table1[[#This Row],[CurrentStock]]&gt;Table1[[#This Row],[ReorderLevel]]*3,"Over Stock","Okay")</f>
        <v>Over Stock</v>
      </c>
      <c r="O732" t="str">
        <f>IF(Table1[[#This Row],[CurrentStock]]&lt;Table1[[#This Row],[ReorderLevel]],"Reorder","Okay")</f>
        <v>Okay</v>
      </c>
    </row>
    <row r="733" spans="1:15" x14ac:dyDescent="0.3">
      <c r="A733">
        <v>34502</v>
      </c>
      <c r="B733" t="s">
        <v>16</v>
      </c>
      <c r="C733" t="s">
        <v>30</v>
      </c>
      <c r="D733">
        <v>467</v>
      </c>
      <c r="E733">
        <v>50</v>
      </c>
      <c r="F733">
        <v>62.1</v>
      </c>
      <c r="G733" t="s">
        <v>32</v>
      </c>
      <c r="H733" s="1">
        <v>45645</v>
      </c>
      <c r="I733" s="1">
        <v>45670</v>
      </c>
      <c r="J733" t="s">
        <v>37</v>
      </c>
      <c r="K733" t="b">
        <f>Table1[[#This Row],[CurrentStock]]&lt;Table1[[#This Row],[ReorderLevel]]</f>
        <v>0</v>
      </c>
      <c r="L733" s="9">
        <f>Table1[[#This Row],[CurrentStock]]*Table1[[#This Row],[UnitPrice]]</f>
        <v>29000.7</v>
      </c>
      <c r="M733" t="str">
        <f>IF(Table1[[#This Row],[ReorderLevel]]-Table1[[#This Row],[CurrentStock]]&gt;0,Table1[[#This Row],[ReorderLevel]]-Table1[[#This Row],[CurrentStock]],"")</f>
        <v/>
      </c>
      <c r="N733" t="str">
        <f>IF(Table1[[#This Row],[CurrentStock]]&gt;Table1[[#This Row],[ReorderLevel]]*3,"Over Stock","Okay")</f>
        <v>Over Stock</v>
      </c>
      <c r="O733" t="str">
        <f>IF(Table1[[#This Row],[CurrentStock]]&lt;Table1[[#This Row],[ReorderLevel]],"Reorder","Okay")</f>
        <v>Okay</v>
      </c>
    </row>
    <row r="734" spans="1:15" x14ac:dyDescent="0.3">
      <c r="A734">
        <v>32738</v>
      </c>
      <c r="B734" t="s">
        <v>26</v>
      </c>
      <c r="C734" t="s">
        <v>30</v>
      </c>
      <c r="D734">
        <v>86</v>
      </c>
      <c r="E734">
        <v>20</v>
      </c>
      <c r="F734">
        <v>8.06</v>
      </c>
      <c r="G734" t="s">
        <v>33</v>
      </c>
      <c r="H734" s="1">
        <v>45613</v>
      </c>
      <c r="I734" s="1">
        <v>45636</v>
      </c>
      <c r="J734" t="s">
        <v>39</v>
      </c>
      <c r="K734" t="b">
        <f>Table1[[#This Row],[CurrentStock]]&lt;Table1[[#This Row],[ReorderLevel]]</f>
        <v>0</v>
      </c>
      <c r="L734" s="9">
        <f>Table1[[#This Row],[CurrentStock]]*Table1[[#This Row],[UnitPrice]]</f>
        <v>693.16000000000008</v>
      </c>
      <c r="M734" t="str">
        <f>IF(Table1[[#This Row],[ReorderLevel]]-Table1[[#This Row],[CurrentStock]]&gt;0,Table1[[#This Row],[ReorderLevel]]-Table1[[#This Row],[CurrentStock]],"")</f>
        <v/>
      </c>
      <c r="N734" t="str">
        <f>IF(Table1[[#This Row],[CurrentStock]]&gt;Table1[[#This Row],[ReorderLevel]]*3,"Over Stock","Okay")</f>
        <v>Over Stock</v>
      </c>
      <c r="O734" t="str">
        <f>IF(Table1[[#This Row],[CurrentStock]]&lt;Table1[[#This Row],[ReorderLevel]],"Reorder","Okay")</f>
        <v>Okay</v>
      </c>
    </row>
    <row r="735" spans="1:15" x14ac:dyDescent="0.3">
      <c r="A735">
        <v>36128</v>
      </c>
      <c r="B735" t="s">
        <v>20</v>
      </c>
      <c r="C735" t="s">
        <v>29</v>
      </c>
      <c r="D735">
        <v>16</v>
      </c>
      <c r="E735">
        <v>40</v>
      </c>
      <c r="F735">
        <v>132.53</v>
      </c>
      <c r="G735" t="s">
        <v>36</v>
      </c>
      <c r="H735" s="1">
        <v>45354</v>
      </c>
      <c r="I735" s="1">
        <v>45377</v>
      </c>
      <c r="J735" t="s">
        <v>38</v>
      </c>
      <c r="K735" t="b">
        <f>Table1[[#This Row],[CurrentStock]]&lt;Table1[[#This Row],[ReorderLevel]]</f>
        <v>1</v>
      </c>
      <c r="L735" s="9">
        <f>Table1[[#This Row],[CurrentStock]]*Table1[[#This Row],[UnitPrice]]</f>
        <v>2120.48</v>
      </c>
      <c r="M735">
        <f>IF(Table1[[#This Row],[ReorderLevel]]-Table1[[#This Row],[CurrentStock]]&gt;0,Table1[[#This Row],[ReorderLevel]]-Table1[[#This Row],[CurrentStock]],"")</f>
        <v>24</v>
      </c>
      <c r="N735" t="str">
        <f>IF(Table1[[#This Row],[CurrentStock]]&gt;Table1[[#This Row],[ReorderLevel]]*3,"Over Stock","Okay")</f>
        <v>Okay</v>
      </c>
      <c r="O735" t="str">
        <f>IF(Table1[[#This Row],[CurrentStock]]&lt;Table1[[#This Row],[ReorderLevel]],"Reorder","Okay")</f>
        <v>Reorder</v>
      </c>
    </row>
    <row r="736" spans="1:15" x14ac:dyDescent="0.3">
      <c r="A736">
        <v>48885</v>
      </c>
      <c r="B736" t="s">
        <v>24</v>
      </c>
      <c r="C736" t="s">
        <v>31</v>
      </c>
      <c r="D736">
        <v>245</v>
      </c>
      <c r="E736">
        <v>40</v>
      </c>
      <c r="F736">
        <v>122.17</v>
      </c>
      <c r="G736" t="s">
        <v>35</v>
      </c>
      <c r="H736" s="1">
        <v>45330</v>
      </c>
      <c r="I736" s="1">
        <v>45338</v>
      </c>
      <c r="J736" t="s">
        <v>37</v>
      </c>
      <c r="K736" t="b">
        <f>Table1[[#This Row],[CurrentStock]]&lt;Table1[[#This Row],[ReorderLevel]]</f>
        <v>0</v>
      </c>
      <c r="L736" s="9">
        <f>Table1[[#This Row],[CurrentStock]]*Table1[[#This Row],[UnitPrice]]</f>
        <v>29931.65</v>
      </c>
      <c r="M736" t="str">
        <f>IF(Table1[[#This Row],[ReorderLevel]]-Table1[[#This Row],[CurrentStock]]&gt;0,Table1[[#This Row],[ReorderLevel]]-Table1[[#This Row],[CurrentStock]],"")</f>
        <v/>
      </c>
      <c r="N736" t="str">
        <f>IF(Table1[[#This Row],[CurrentStock]]&gt;Table1[[#This Row],[ReorderLevel]]*3,"Over Stock","Okay")</f>
        <v>Over Stock</v>
      </c>
      <c r="O736" t="str">
        <f>IF(Table1[[#This Row],[CurrentStock]]&lt;Table1[[#This Row],[ReorderLevel]],"Reorder","Okay")</f>
        <v>Okay</v>
      </c>
    </row>
    <row r="737" spans="1:15" x14ac:dyDescent="0.3">
      <c r="A737">
        <v>61012</v>
      </c>
      <c r="B737" t="s">
        <v>11</v>
      </c>
      <c r="C737" t="s">
        <v>27</v>
      </c>
      <c r="D737">
        <v>215</v>
      </c>
      <c r="E737">
        <v>80</v>
      </c>
      <c r="F737">
        <v>117.49</v>
      </c>
      <c r="G737" t="s">
        <v>33</v>
      </c>
      <c r="H737" s="1">
        <v>45598</v>
      </c>
      <c r="I737" s="1">
        <v>45626</v>
      </c>
      <c r="J737" t="s">
        <v>39</v>
      </c>
      <c r="K737" t="b">
        <f>Table1[[#This Row],[CurrentStock]]&lt;Table1[[#This Row],[ReorderLevel]]</f>
        <v>0</v>
      </c>
      <c r="L737" s="9">
        <f>Table1[[#This Row],[CurrentStock]]*Table1[[#This Row],[UnitPrice]]</f>
        <v>25260.35</v>
      </c>
      <c r="M737" t="str">
        <f>IF(Table1[[#This Row],[ReorderLevel]]-Table1[[#This Row],[CurrentStock]]&gt;0,Table1[[#This Row],[ReorderLevel]]-Table1[[#This Row],[CurrentStock]],"")</f>
        <v/>
      </c>
      <c r="N737" t="str">
        <f>IF(Table1[[#This Row],[CurrentStock]]&gt;Table1[[#This Row],[ReorderLevel]]*3,"Over Stock","Okay")</f>
        <v>Okay</v>
      </c>
      <c r="O737" t="str">
        <f>IF(Table1[[#This Row],[CurrentStock]]&lt;Table1[[#This Row],[ReorderLevel]],"Reorder","Okay")</f>
        <v>Okay</v>
      </c>
    </row>
    <row r="738" spans="1:15" x14ac:dyDescent="0.3">
      <c r="A738">
        <v>97318</v>
      </c>
      <c r="B738" t="s">
        <v>19</v>
      </c>
      <c r="C738" t="s">
        <v>28</v>
      </c>
      <c r="D738">
        <v>267</v>
      </c>
      <c r="E738">
        <v>30</v>
      </c>
      <c r="F738">
        <v>188.63</v>
      </c>
      <c r="G738" t="s">
        <v>35</v>
      </c>
      <c r="H738" s="1">
        <v>45635</v>
      </c>
      <c r="I738" s="1">
        <v>45650</v>
      </c>
      <c r="J738" t="s">
        <v>37</v>
      </c>
      <c r="K738" t="b">
        <f>Table1[[#This Row],[CurrentStock]]&lt;Table1[[#This Row],[ReorderLevel]]</f>
        <v>0</v>
      </c>
      <c r="L738" s="9">
        <f>Table1[[#This Row],[CurrentStock]]*Table1[[#This Row],[UnitPrice]]</f>
        <v>50364.21</v>
      </c>
      <c r="M738" t="str">
        <f>IF(Table1[[#This Row],[ReorderLevel]]-Table1[[#This Row],[CurrentStock]]&gt;0,Table1[[#This Row],[ReorderLevel]]-Table1[[#This Row],[CurrentStock]],"")</f>
        <v/>
      </c>
      <c r="N738" t="str">
        <f>IF(Table1[[#This Row],[CurrentStock]]&gt;Table1[[#This Row],[ReorderLevel]]*3,"Over Stock","Okay")</f>
        <v>Over Stock</v>
      </c>
      <c r="O738" t="str">
        <f>IF(Table1[[#This Row],[CurrentStock]]&lt;Table1[[#This Row],[ReorderLevel]],"Reorder","Okay")</f>
        <v>Okay</v>
      </c>
    </row>
    <row r="739" spans="1:15" x14ac:dyDescent="0.3">
      <c r="A739">
        <v>60251</v>
      </c>
      <c r="B739" t="s">
        <v>10</v>
      </c>
      <c r="C739" t="s">
        <v>27</v>
      </c>
      <c r="D739">
        <v>270</v>
      </c>
      <c r="E739">
        <v>50</v>
      </c>
      <c r="F739">
        <v>244.67</v>
      </c>
      <c r="G739" t="s">
        <v>34</v>
      </c>
      <c r="H739" s="1">
        <v>45505</v>
      </c>
      <c r="I739" s="1">
        <v>45536</v>
      </c>
      <c r="J739" t="s">
        <v>37</v>
      </c>
      <c r="K739" t="b">
        <f>Table1[[#This Row],[CurrentStock]]&lt;Table1[[#This Row],[ReorderLevel]]</f>
        <v>0</v>
      </c>
      <c r="L739" s="9">
        <f>Table1[[#This Row],[CurrentStock]]*Table1[[#This Row],[UnitPrice]]</f>
        <v>66060.899999999994</v>
      </c>
      <c r="M739" t="str">
        <f>IF(Table1[[#This Row],[ReorderLevel]]-Table1[[#This Row],[CurrentStock]]&gt;0,Table1[[#This Row],[ReorderLevel]]-Table1[[#This Row],[CurrentStock]],"")</f>
        <v/>
      </c>
      <c r="N739" t="str">
        <f>IF(Table1[[#This Row],[CurrentStock]]&gt;Table1[[#This Row],[ReorderLevel]]*3,"Over Stock","Okay")</f>
        <v>Over Stock</v>
      </c>
      <c r="O739" t="str">
        <f>IF(Table1[[#This Row],[CurrentStock]]&lt;Table1[[#This Row],[ReorderLevel]],"Reorder","Okay")</f>
        <v>Okay</v>
      </c>
    </row>
    <row r="740" spans="1:15" x14ac:dyDescent="0.3">
      <c r="A740">
        <v>64205</v>
      </c>
      <c r="B740" t="s">
        <v>26</v>
      </c>
      <c r="C740" t="s">
        <v>30</v>
      </c>
      <c r="D740">
        <v>108</v>
      </c>
      <c r="E740">
        <v>20</v>
      </c>
      <c r="F740">
        <v>121.82</v>
      </c>
      <c r="G740" t="s">
        <v>34</v>
      </c>
      <c r="H740" s="1">
        <v>45606</v>
      </c>
      <c r="I740" s="1">
        <v>45642</v>
      </c>
      <c r="J740" t="s">
        <v>39</v>
      </c>
      <c r="K740" t="b">
        <f>Table1[[#This Row],[CurrentStock]]&lt;Table1[[#This Row],[ReorderLevel]]</f>
        <v>0</v>
      </c>
      <c r="L740" s="9">
        <f>Table1[[#This Row],[CurrentStock]]*Table1[[#This Row],[UnitPrice]]</f>
        <v>13156.56</v>
      </c>
      <c r="M740" t="str">
        <f>IF(Table1[[#This Row],[ReorderLevel]]-Table1[[#This Row],[CurrentStock]]&gt;0,Table1[[#This Row],[ReorderLevel]]-Table1[[#This Row],[CurrentStock]],"")</f>
        <v/>
      </c>
      <c r="N740" t="str">
        <f>IF(Table1[[#This Row],[CurrentStock]]&gt;Table1[[#This Row],[ReorderLevel]]*3,"Over Stock","Okay")</f>
        <v>Over Stock</v>
      </c>
      <c r="O740" t="str">
        <f>IF(Table1[[#This Row],[CurrentStock]]&lt;Table1[[#This Row],[ReorderLevel]],"Reorder","Okay")</f>
        <v>Okay</v>
      </c>
    </row>
    <row r="741" spans="1:15" x14ac:dyDescent="0.3">
      <c r="A741">
        <v>39777</v>
      </c>
      <c r="B741" t="s">
        <v>21</v>
      </c>
      <c r="C741" t="s">
        <v>31</v>
      </c>
      <c r="D741">
        <v>415</v>
      </c>
      <c r="E741">
        <v>40</v>
      </c>
      <c r="F741">
        <v>354.94</v>
      </c>
      <c r="G741" t="s">
        <v>34</v>
      </c>
      <c r="H741" s="1">
        <v>45458</v>
      </c>
      <c r="I741" s="1">
        <v>45491</v>
      </c>
      <c r="J741" t="s">
        <v>39</v>
      </c>
      <c r="K741" t="b">
        <f>Table1[[#This Row],[CurrentStock]]&lt;Table1[[#This Row],[ReorderLevel]]</f>
        <v>0</v>
      </c>
      <c r="L741" s="9">
        <f>Table1[[#This Row],[CurrentStock]]*Table1[[#This Row],[UnitPrice]]</f>
        <v>147300.1</v>
      </c>
      <c r="M741" t="str">
        <f>IF(Table1[[#This Row],[ReorderLevel]]-Table1[[#This Row],[CurrentStock]]&gt;0,Table1[[#This Row],[ReorderLevel]]-Table1[[#This Row],[CurrentStock]],"")</f>
        <v/>
      </c>
      <c r="N741" t="str">
        <f>IF(Table1[[#This Row],[CurrentStock]]&gt;Table1[[#This Row],[ReorderLevel]]*3,"Over Stock","Okay")</f>
        <v>Over Stock</v>
      </c>
      <c r="O741" t="str">
        <f>IF(Table1[[#This Row],[CurrentStock]]&lt;Table1[[#This Row],[ReorderLevel]],"Reorder","Okay")</f>
        <v>Okay</v>
      </c>
    </row>
    <row r="742" spans="1:15" x14ac:dyDescent="0.3">
      <c r="A742">
        <v>89026</v>
      </c>
      <c r="B742" t="s">
        <v>25</v>
      </c>
      <c r="C742" t="s">
        <v>31</v>
      </c>
      <c r="D742">
        <v>419</v>
      </c>
      <c r="E742">
        <v>30</v>
      </c>
      <c r="F742">
        <v>70.05</v>
      </c>
      <c r="G742" t="s">
        <v>32</v>
      </c>
      <c r="H742" s="1">
        <v>45492</v>
      </c>
      <c r="I742" s="1">
        <v>45504</v>
      </c>
      <c r="J742" t="s">
        <v>39</v>
      </c>
      <c r="K742" t="b">
        <f>Table1[[#This Row],[CurrentStock]]&lt;Table1[[#This Row],[ReorderLevel]]</f>
        <v>0</v>
      </c>
      <c r="L742" s="9">
        <f>Table1[[#This Row],[CurrentStock]]*Table1[[#This Row],[UnitPrice]]</f>
        <v>29350.949999999997</v>
      </c>
      <c r="M742" t="str">
        <f>IF(Table1[[#This Row],[ReorderLevel]]-Table1[[#This Row],[CurrentStock]]&gt;0,Table1[[#This Row],[ReorderLevel]]-Table1[[#This Row],[CurrentStock]],"")</f>
        <v/>
      </c>
      <c r="N742" t="str">
        <f>IF(Table1[[#This Row],[CurrentStock]]&gt;Table1[[#This Row],[ReorderLevel]]*3,"Over Stock","Okay")</f>
        <v>Over Stock</v>
      </c>
      <c r="O742" t="str">
        <f>IF(Table1[[#This Row],[CurrentStock]]&lt;Table1[[#This Row],[ReorderLevel]],"Reorder","Okay")</f>
        <v>Okay</v>
      </c>
    </row>
    <row r="743" spans="1:15" x14ac:dyDescent="0.3">
      <c r="A743">
        <v>16378</v>
      </c>
      <c r="B743" t="s">
        <v>23</v>
      </c>
      <c r="C743" t="s">
        <v>30</v>
      </c>
      <c r="D743">
        <v>219</v>
      </c>
      <c r="E743">
        <v>100</v>
      </c>
      <c r="F743">
        <v>448.3</v>
      </c>
      <c r="G743" t="s">
        <v>34</v>
      </c>
      <c r="H743" s="1">
        <v>45495</v>
      </c>
      <c r="I743" s="1">
        <v>45501</v>
      </c>
      <c r="J743" t="s">
        <v>37</v>
      </c>
      <c r="K743" t="b">
        <f>Table1[[#This Row],[CurrentStock]]&lt;Table1[[#This Row],[ReorderLevel]]</f>
        <v>0</v>
      </c>
      <c r="L743" s="9">
        <f>Table1[[#This Row],[CurrentStock]]*Table1[[#This Row],[UnitPrice]]</f>
        <v>98177.7</v>
      </c>
      <c r="M743" t="str">
        <f>IF(Table1[[#This Row],[ReorderLevel]]-Table1[[#This Row],[CurrentStock]]&gt;0,Table1[[#This Row],[ReorderLevel]]-Table1[[#This Row],[CurrentStock]],"")</f>
        <v/>
      </c>
      <c r="N743" t="str">
        <f>IF(Table1[[#This Row],[CurrentStock]]&gt;Table1[[#This Row],[ReorderLevel]]*3,"Over Stock","Okay")</f>
        <v>Okay</v>
      </c>
      <c r="O743" t="str">
        <f>IF(Table1[[#This Row],[CurrentStock]]&lt;Table1[[#This Row],[ReorderLevel]],"Reorder","Okay")</f>
        <v>Okay</v>
      </c>
    </row>
    <row r="744" spans="1:15" x14ac:dyDescent="0.3">
      <c r="A744">
        <v>24953</v>
      </c>
      <c r="B744" t="s">
        <v>22</v>
      </c>
      <c r="C744" t="s">
        <v>27</v>
      </c>
      <c r="D744">
        <v>87</v>
      </c>
      <c r="E744">
        <v>20</v>
      </c>
      <c r="F744">
        <v>179.97</v>
      </c>
      <c r="G744" t="s">
        <v>36</v>
      </c>
      <c r="H744" s="1">
        <v>45476</v>
      </c>
      <c r="I744" s="1">
        <v>45511</v>
      </c>
      <c r="J744" t="s">
        <v>39</v>
      </c>
      <c r="K744" t="b">
        <f>Table1[[#This Row],[CurrentStock]]&lt;Table1[[#This Row],[ReorderLevel]]</f>
        <v>0</v>
      </c>
      <c r="L744" s="9">
        <f>Table1[[#This Row],[CurrentStock]]*Table1[[#This Row],[UnitPrice]]</f>
        <v>15657.39</v>
      </c>
      <c r="M744" t="str">
        <f>IF(Table1[[#This Row],[ReorderLevel]]-Table1[[#This Row],[CurrentStock]]&gt;0,Table1[[#This Row],[ReorderLevel]]-Table1[[#This Row],[CurrentStock]],"")</f>
        <v/>
      </c>
      <c r="N744" t="str">
        <f>IF(Table1[[#This Row],[CurrentStock]]&gt;Table1[[#This Row],[ReorderLevel]]*3,"Over Stock","Okay")</f>
        <v>Over Stock</v>
      </c>
      <c r="O744" t="str">
        <f>IF(Table1[[#This Row],[CurrentStock]]&lt;Table1[[#This Row],[ReorderLevel]],"Reorder","Okay")</f>
        <v>Okay</v>
      </c>
    </row>
    <row r="745" spans="1:15" x14ac:dyDescent="0.3">
      <c r="A745">
        <v>39661</v>
      </c>
      <c r="B745" t="s">
        <v>21</v>
      </c>
      <c r="C745" t="s">
        <v>31</v>
      </c>
      <c r="D745">
        <v>379</v>
      </c>
      <c r="E745">
        <v>50</v>
      </c>
      <c r="F745">
        <v>259.47000000000003</v>
      </c>
      <c r="G745" t="s">
        <v>34</v>
      </c>
      <c r="H745" s="1">
        <v>45365</v>
      </c>
      <c r="I745" s="1">
        <v>45384</v>
      </c>
      <c r="J745" t="s">
        <v>39</v>
      </c>
      <c r="K745" t="b">
        <f>Table1[[#This Row],[CurrentStock]]&lt;Table1[[#This Row],[ReorderLevel]]</f>
        <v>0</v>
      </c>
      <c r="L745" s="9">
        <f>Table1[[#This Row],[CurrentStock]]*Table1[[#This Row],[UnitPrice]]</f>
        <v>98339.13</v>
      </c>
      <c r="M745" t="str">
        <f>IF(Table1[[#This Row],[ReorderLevel]]-Table1[[#This Row],[CurrentStock]]&gt;0,Table1[[#This Row],[ReorderLevel]]-Table1[[#This Row],[CurrentStock]],"")</f>
        <v/>
      </c>
      <c r="N745" t="str">
        <f>IF(Table1[[#This Row],[CurrentStock]]&gt;Table1[[#This Row],[ReorderLevel]]*3,"Over Stock","Okay")</f>
        <v>Over Stock</v>
      </c>
      <c r="O745" t="str">
        <f>IF(Table1[[#This Row],[CurrentStock]]&lt;Table1[[#This Row],[ReorderLevel]],"Reorder","Okay")</f>
        <v>Okay</v>
      </c>
    </row>
    <row r="746" spans="1:15" x14ac:dyDescent="0.3">
      <c r="A746">
        <v>43477</v>
      </c>
      <c r="B746" t="s">
        <v>19</v>
      </c>
      <c r="C746" t="s">
        <v>28</v>
      </c>
      <c r="D746">
        <v>317</v>
      </c>
      <c r="E746">
        <v>20</v>
      </c>
      <c r="F746">
        <v>359.41</v>
      </c>
      <c r="G746" t="s">
        <v>33</v>
      </c>
      <c r="H746" s="1">
        <v>45543</v>
      </c>
      <c r="I746" s="1">
        <v>45581</v>
      </c>
      <c r="J746" t="s">
        <v>39</v>
      </c>
      <c r="K746" t="b">
        <f>Table1[[#This Row],[CurrentStock]]&lt;Table1[[#This Row],[ReorderLevel]]</f>
        <v>0</v>
      </c>
      <c r="L746" s="9">
        <f>Table1[[#This Row],[CurrentStock]]*Table1[[#This Row],[UnitPrice]]</f>
        <v>113932.97</v>
      </c>
      <c r="M746" t="str">
        <f>IF(Table1[[#This Row],[ReorderLevel]]-Table1[[#This Row],[CurrentStock]]&gt;0,Table1[[#This Row],[ReorderLevel]]-Table1[[#This Row],[CurrentStock]],"")</f>
        <v/>
      </c>
      <c r="N746" t="str">
        <f>IF(Table1[[#This Row],[CurrentStock]]&gt;Table1[[#This Row],[ReorderLevel]]*3,"Over Stock","Okay")</f>
        <v>Over Stock</v>
      </c>
      <c r="O746" t="str">
        <f>IF(Table1[[#This Row],[CurrentStock]]&lt;Table1[[#This Row],[ReorderLevel]],"Reorder","Okay")</f>
        <v>Okay</v>
      </c>
    </row>
    <row r="747" spans="1:15" x14ac:dyDescent="0.3">
      <c r="A747">
        <v>30805</v>
      </c>
      <c r="B747" t="s">
        <v>23</v>
      </c>
      <c r="C747" t="s">
        <v>30</v>
      </c>
      <c r="D747">
        <v>178</v>
      </c>
      <c r="E747">
        <v>100</v>
      </c>
      <c r="F747">
        <v>200.73</v>
      </c>
      <c r="G747" t="s">
        <v>33</v>
      </c>
      <c r="H747" s="1">
        <v>45562</v>
      </c>
      <c r="I747" s="1">
        <v>45580</v>
      </c>
      <c r="J747" t="s">
        <v>37</v>
      </c>
      <c r="K747" t="b">
        <f>Table1[[#This Row],[CurrentStock]]&lt;Table1[[#This Row],[ReorderLevel]]</f>
        <v>0</v>
      </c>
      <c r="L747" s="9">
        <f>Table1[[#This Row],[CurrentStock]]*Table1[[#This Row],[UnitPrice]]</f>
        <v>35729.939999999995</v>
      </c>
      <c r="M747" t="str">
        <f>IF(Table1[[#This Row],[ReorderLevel]]-Table1[[#This Row],[CurrentStock]]&gt;0,Table1[[#This Row],[ReorderLevel]]-Table1[[#This Row],[CurrentStock]],"")</f>
        <v/>
      </c>
      <c r="N747" t="str">
        <f>IF(Table1[[#This Row],[CurrentStock]]&gt;Table1[[#This Row],[ReorderLevel]]*3,"Over Stock","Okay")</f>
        <v>Okay</v>
      </c>
      <c r="O747" t="str">
        <f>IF(Table1[[#This Row],[CurrentStock]]&lt;Table1[[#This Row],[ReorderLevel]],"Reorder","Okay")</f>
        <v>Okay</v>
      </c>
    </row>
    <row r="748" spans="1:15" x14ac:dyDescent="0.3">
      <c r="A748">
        <v>92428</v>
      </c>
      <c r="B748" t="s">
        <v>25</v>
      </c>
      <c r="C748" t="s">
        <v>31</v>
      </c>
      <c r="D748">
        <v>2</v>
      </c>
      <c r="E748">
        <v>100</v>
      </c>
      <c r="F748">
        <v>340.19</v>
      </c>
      <c r="G748" t="s">
        <v>34</v>
      </c>
      <c r="H748" s="1">
        <v>45342</v>
      </c>
      <c r="I748" s="1">
        <v>45349</v>
      </c>
      <c r="J748" t="s">
        <v>37</v>
      </c>
      <c r="K748" t="b">
        <f>Table1[[#This Row],[CurrentStock]]&lt;Table1[[#This Row],[ReorderLevel]]</f>
        <v>1</v>
      </c>
      <c r="L748" s="9">
        <f>Table1[[#This Row],[CurrentStock]]*Table1[[#This Row],[UnitPrice]]</f>
        <v>680.38</v>
      </c>
      <c r="M748">
        <f>IF(Table1[[#This Row],[ReorderLevel]]-Table1[[#This Row],[CurrentStock]]&gt;0,Table1[[#This Row],[ReorderLevel]]-Table1[[#This Row],[CurrentStock]],"")</f>
        <v>98</v>
      </c>
      <c r="N748" t="str">
        <f>IF(Table1[[#This Row],[CurrentStock]]&gt;Table1[[#This Row],[ReorderLevel]]*3,"Over Stock","Okay")</f>
        <v>Okay</v>
      </c>
      <c r="O748" t="str">
        <f>IF(Table1[[#This Row],[CurrentStock]]&lt;Table1[[#This Row],[ReorderLevel]],"Reorder","Okay")</f>
        <v>Reorder</v>
      </c>
    </row>
    <row r="749" spans="1:15" x14ac:dyDescent="0.3">
      <c r="A749">
        <v>64800</v>
      </c>
      <c r="B749" t="s">
        <v>19</v>
      </c>
      <c r="C749" t="s">
        <v>28</v>
      </c>
      <c r="D749">
        <v>268</v>
      </c>
      <c r="E749">
        <v>30</v>
      </c>
      <c r="F749">
        <v>67.19</v>
      </c>
      <c r="G749" t="s">
        <v>34</v>
      </c>
      <c r="H749" s="1">
        <v>45522</v>
      </c>
      <c r="I749" s="1">
        <v>45550</v>
      </c>
      <c r="J749" t="s">
        <v>39</v>
      </c>
      <c r="K749" t="b">
        <f>Table1[[#This Row],[CurrentStock]]&lt;Table1[[#This Row],[ReorderLevel]]</f>
        <v>0</v>
      </c>
      <c r="L749" s="9">
        <f>Table1[[#This Row],[CurrentStock]]*Table1[[#This Row],[UnitPrice]]</f>
        <v>18006.919999999998</v>
      </c>
      <c r="M749" t="str">
        <f>IF(Table1[[#This Row],[ReorderLevel]]-Table1[[#This Row],[CurrentStock]]&gt;0,Table1[[#This Row],[ReorderLevel]]-Table1[[#This Row],[CurrentStock]],"")</f>
        <v/>
      </c>
      <c r="N749" t="str">
        <f>IF(Table1[[#This Row],[CurrentStock]]&gt;Table1[[#This Row],[ReorderLevel]]*3,"Over Stock","Okay")</f>
        <v>Over Stock</v>
      </c>
      <c r="O749" t="str">
        <f>IF(Table1[[#This Row],[CurrentStock]]&lt;Table1[[#This Row],[ReorderLevel]],"Reorder","Okay")</f>
        <v>Okay</v>
      </c>
    </row>
    <row r="750" spans="1:15" x14ac:dyDescent="0.3">
      <c r="A750">
        <v>38948</v>
      </c>
      <c r="B750" t="s">
        <v>20</v>
      </c>
      <c r="C750" t="s">
        <v>29</v>
      </c>
      <c r="D750">
        <v>479</v>
      </c>
      <c r="E750">
        <v>30</v>
      </c>
      <c r="F750">
        <v>8.66</v>
      </c>
      <c r="G750" t="s">
        <v>34</v>
      </c>
      <c r="H750" s="1">
        <v>45496</v>
      </c>
      <c r="I750" s="1">
        <v>45519</v>
      </c>
      <c r="J750" t="s">
        <v>38</v>
      </c>
      <c r="K750" t="b">
        <f>Table1[[#This Row],[CurrentStock]]&lt;Table1[[#This Row],[ReorderLevel]]</f>
        <v>0</v>
      </c>
      <c r="L750" s="9">
        <f>Table1[[#This Row],[CurrentStock]]*Table1[[#This Row],[UnitPrice]]</f>
        <v>4148.1400000000003</v>
      </c>
      <c r="M750" t="str">
        <f>IF(Table1[[#This Row],[ReorderLevel]]-Table1[[#This Row],[CurrentStock]]&gt;0,Table1[[#This Row],[ReorderLevel]]-Table1[[#This Row],[CurrentStock]],"")</f>
        <v/>
      </c>
      <c r="N750" t="str">
        <f>IF(Table1[[#This Row],[CurrentStock]]&gt;Table1[[#This Row],[ReorderLevel]]*3,"Over Stock","Okay")</f>
        <v>Over Stock</v>
      </c>
      <c r="O750" t="str">
        <f>IF(Table1[[#This Row],[CurrentStock]]&lt;Table1[[#This Row],[ReorderLevel]],"Reorder","Okay")</f>
        <v>Okay</v>
      </c>
    </row>
    <row r="751" spans="1:15" x14ac:dyDescent="0.3">
      <c r="A751">
        <v>52462</v>
      </c>
      <c r="B751" t="s">
        <v>13</v>
      </c>
      <c r="C751" t="s">
        <v>29</v>
      </c>
      <c r="D751">
        <v>323</v>
      </c>
      <c r="E751">
        <v>20</v>
      </c>
      <c r="F751">
        <v>155.13</v>
      </c>
      <c r="G751" t="s">
        <v>34</v>
      </c>
      <c r="H751" s="1">
        <v>45467</v>
      </c>
      <c r="I751" s="1">
        <v>45506</v>
      </c>
      <c r="J751" t="s">
        <v>37</v>
      </c>
      <c r="K751" t="b">
        <f>Table1[[#This Row],[CurrentStock]]&lt;Table1[[#This Row],[ReorderLevel]]</f>
        <v>0</v>
      </c>
      <c r="L751" s="9">
        <f>Table1[[#This Row],[CurrentStock]]*Table1[[#This Row],[UnitPrice]]</f>
        <v>50106.99</v>
      </c>
      <c r="M751" t="str">
        <f>IF(Table1[[#This Row],[ReorderLevel]]-Table1[[#This Row],[CurrentStock]]&gt;0,Table1[[#This Row],[ReorderLevel]]-Table1[[#This Row],[CurrentStock]],"")</f>
        <v/>
      </c>
      <c r="N751" t="str">
        <f>IF(Table1[[#This Row],[CurrentStock]]&gt;Table1[[#This Row],[ReorderLevel]]*3,"Over Stock","Okay")</f>
        <v>Over Stock</v>
      </c>
      <c r="O751" t="str">
        <f>IF(Table1[[#This Row],[CurrentStock]]&lt;Table1[[#This Row],[ReorderLevel]],"Reorder","Okay")</f>
        <v>Okay</v>
      </c>
    </row>
    <row r="752" spans="1:15" x14ac:dyDescent="0.3">
      <c r="A752">
        <v>23731</v>
      </c>
      <c r="B752" t="s">
        <v>17</v>
      </c>
      <c r="C752" t="s">
        <v>30</v>
      </c>
      <c r="D752">
        <v>301</v>
      </c>
      <c r="E752">
        <v>100</v>
      </c>
      <c r="F752">
        <v>11.24</v>
      </c>
      <c r="G752" t="s">
        <v>35</v>
      </c>
      <c r="H752" s="1">
        <v>45553</v>
      </c>
      <c r="I752" s="1">
        <v>45574</v>
      </c>
      <c r="J752" t="s">
        <v>38</v>
      </c>
      <c r="K752" t="b">
        <f>Table1[[#This Row],[CurrentStock]]&lt;Table1[[#This Row],[ReorderLevel]]</f>
        <v>0</v>
      </c>
      <c r="L752" s="9">
        <f>Table1[[#This Row],[CurrentStock]]*Table1[[#This Row],[UnitPrice]]</f>
        <v>3383.2400000000002</v>
      </c>
      <c r="M752" t="str">
        <f>IF(Table1[[#This Row],[ReorderLevel]]-Table1[[#This Row],[CurrentStock]]&gt;0,Table1[[#This Row],[ReorderLevel]]-Table1[[#This Row],[CurrentStock]],"")</f>
        <v/>
      </c>
      <c r="N752" t="str">
        <f>IF(Table1[[#This Row],[CurrentStock]]&gt;Table1[[#This Row],[ReorderLevel]]*3,"Over Stock","Okay")</f>
        <v>Over Stock</v>
      </c>
      <c r="O752" t="str">
        <f>IF(Table1[[#This Row],[CurrentStock]]&lt;Table1[[#This Row],[ReorderLevel]],"Reorder","Okay")</f>
        <v>Okay</v>
      </c>
    </row>
    <row r="753" spans="1:15" x14ac:dyDescent="0.3">
      <c r="A753">
        <v>87994</v>
      </c>
      <c r="B753" t="s">
        <v>18</v>
      </c>
      <c r="C753" t="s">
        <v>28</v>
      </c>
      <c r="D753">
        <v>257</v>
      </c>
      <c r="E753">
        <v>20</v>
      </c>
      <c r="F753">
        <v>389.97</v>
      </c>
      <c r="G753" t="s">
        <v>32</v>
      </c>
      <c r="H753" s="1">
        <v>45357</v>
      </c>
      <c r="I753" s="1">
        <v>45389</v>
      </c>
      <c r="J753" t="s">
        <v>39</v>
      </c>
      <c r="K753" t="b">
        <f>Table1[[#This Row],[CurrentStock]]&lt;Table1[[#This Row],[ReorderLevel]]</f>
        <v>0</v>
      </c>
      <c r="L753" s="9">
        <f>Table1[[#This Row],[CurrentStock]]*Table1[[#This Row],[UnitPrice]]</f>
        <v>100222.29000000001</v>
      </c>
      <c r="M753" t="str">
        <f>IF(Table1[[#This Row],[ReorderLevel]]-Table1[[#This Row],[CurrentStock]]&gt;0,Table1[[#This Row],[ReorderLevel]]-Table1[[#This Row],[CurrentStock]],"")</f>
        <v/>
      </c>
      <c r="N753" t="str">
        <f>IF(Table1[[#This Row],[CurrentStock]]&gt;Table1[[#This Row],[ReorderLevel]]*3,"Over Stock","Okay")</f>
        <v>Over Stock</v>
      </c>
      <c r="O753" t="str">
        <f>IF(Table1[[#This Row],[CurrentStock]]&lt;Table1[[#This Row],[ReorderLevel]],"Reorder","Okay")</f>
        <v>Okay</v>
      </c>
    </row>
    <row r="754" spans="1:15" x14ac:dyDescent="0.3">
      <c r="A754">
        <v>89955</v>
      </c>
      <c r="B754" t="s">
        <v>13</v>
      </c>
      <c r="C754" t="s">
        <v>29</v>
      </c>
      <c r="D754">
        <v>322</v>
      </c>
      <c r="E754">
        <v>40</v>
      </c>
      <c r="F754">
        <v>408.97</v>
      </c>
      <c r="G754" t="s">
        <v>36</v>
      </c>
      <c r="H754" s="1">
        <v>45507</v>
      </c>
      <c r="I754" s="1">
        <v>45516</v>
      </c>
      <c r="J754" t="s">
        <v>37</v>
      </c>
      <c r="K754" t="b">
        <f>Table1[[#This Row],[CurrentStock]]&lt;Table1[[#This Row],[ReorderLevel]]</f>
        <v>0</v>
      </c>
      <c r="L754" s="9">
        <f>Table1[[#This Row],[CurrentStock]]*Table1[[#This Row],[UnitPrice]]</f>
        <v>131688.34</v>
      </c>
      <c r="M754" t="str">
        <f>IF(Table1[[#This Row],[ReorderLevel]]-Table1[[#This Row],[CurrentStock]]&gt;0,Table1[[#This Row],[ReorderLevel]]-Table1[[#This Row],[CurrentStock]],"")</f>
        <v/>
      </c>
      <c r="N754" t="str">
        <f>IF(Table1[[#This Row],[CurrentStock]]&gt;Table1[[#This Row],[ReorderLevel]]*3,"Over Stock","Okay")</f>
        <v>Over Stock</v>
      </c>
      <c r="O754" t="str">
        <f>IF(Table1[[#This Row],[CurrentStock]]&lt;Table1[[#This Row],[ReorderLevel]],"Reorder","Okay")</f>
        <v>Okay</v>
      </c>
    </row>
    <row r="755" spans="1:15" x14ac:dyDescent="0.3">
      <c r="A755">
        <v>42940</v>
      </c>
      <c r="B755" t="s">
        <v>18</v>
      </c>
      <c r="C755" t="s">
        <v>28</v>
      </c>
      <c r="D755">
        <v>492</v>
      </c>
      <c r="E755">
        <v>50</v>
      </c>
      <c r="F755">
        <v>268.08</v>
      </c>
      <c r="G755" t="s">
        <v>32</v>
      </c>
      <c r="H755" s="1">
        <v>45644</v>
      </c>
      <c r="I755" s="1">
        <v>45664</v>
      </c>
      <c r="J755" t="s">
        <v>38</v>
      </c>
      <c r="K755" t="b">
        <f>Table1[[#This Row],[CurrentStock]]&lt;Table1[[#This Row],[ReorderLevel]]</f>
        <v>0</v>
      </c>
      <c r="L755" s="9">
        <f>Table1[[#This Row],[CurrentStock]]*Table1[[#This Row],[UnitPrice]]</f>
        <v>131895.35999999999</v>
      </c>
      <c r="M755" t="str">
        <f>IF(Table1[[#This Row],[ReorderLevel]]-Table1[[#This Row],[CurrentStock]]&gt;0,Table1[[#This Row],[ReorderLevel]]-Table1[[#This Row],[CurrentStock]],"")</f>
        <v/>
      </c>
      <c r="N755" t="str">
        <f>IF(Table1[[#This Row],[CurrentStock]]&gt;Table1[[#This Row],[ReorderLevel]]*3,"Over Stock","Okay")</f>
        <v>Over Stock</v>
      </c>
      <c r="O755" t="str">
        <f>IF(Table1[[#This Row],[CurrentStock]]&lt;Table1[[#This Row],[ReorderLevel]],"Reorder","Okay")</f>
        <v>Okay</v>
      </c>
    </row>
    <row r="756" spans="1:15" x14ac:dyDescent="0.3">
      <c r="A756">
        <v>46713</v>
      </c>
      <c r="B756" t="s">
        <v>23</v>
      </c>
      <c r="C756" t="s">
        <v>30</v>
      </c>
      <c r="D756">
        <v>10</v>
      </c>
      <c r="E756">
        <v>100</v>
      </c>
      <c r="F756">
        <v>445.06</v>
      </c>
      <c r="G756" t="s">
        <v>34</v>
      </c>
      <c r="H756" s="1">
        <v>45475</v>
      </c>
      <c r="I756" s="1">
        <v>45489</v>
      </c>
      <c r="J756" t="s">
        <v>39</v>
      </c>
      <c r="K756" t="b">
        <f>Table1[[#This Row],[CurrentStock]]&lt;Table1[[#This Row],[ReorderLevel]]</f>
        <v>1</v>
      </c>
      <c r="L756" s="9">
        <f>Table1[[#This Row],[CurrentStock]]*Table1[[#This Row],[UnitPrice]]</f>
        <v>4450.6000000000004</v>
      </c>
      <c r="M756">
        <f>IF(Table1[[#This Row],[ReorderLevel]]-Table1[[#This Row],[CurrentStock]]&gt;0,Table1[[#This Row],[ReorderLevel]]-Table1[[#This Row],[CurrentStock]],"")</f>
        <v>90</v>
      </c>
      <c r="N756" t="str">
        <f>IF(Table1[[#This Row],[CurrentStock]]&gt;Table1[[#This Row],[ReorderLevel]]*3,"Over Stock","Okay")</f>
        <v>Okay</v>
      </c>
      <c r="O756" t="str">
        <f>IF(Table1[[#This Row],[CurrentStock]]&lt;Table1[[#This Row],[ReorderLevel]],"Reorder","Okay")</f>
        <v>Reorder</v>
      </c>
    </row>
    <row r="757" spans="1:15" x14ac:dyDescent="0.3">
      <c r="A757">
        <v>13880</v>
      </c>
      <c r="B757" t="s">
        <v>13</v>
      </c>
      <c r="C757" t="s">
        <v>29</v>
      </c>
      <c r="D757">
        <v>74</v>
      </c>
      <c r="E757">
        <v>80</v>
      </c>
      <c r="F757">
        <v>248.54</v>
      </c>
      <c r="G757" t="s">
        <v>34</v>
      </c>
      <c r="H757" s="1">
        <v>45357</v>
      </c>
      <c r="I757" s="1">
        <v>45367</v>
      </c>
      <c r="J757" t="s">
        <v>37</v>
      </c>
      <c r="K757" t="b">
        <f>Table1[[#This Row],[CurrentStock]]&lt;Table1[[#This Row],[ReorderLevel]]</f>
        <v>1</v>
      </c>
      <c r="L757" s="9">
        <f>Table1[[#This Row],[CurrentStock]]*Table1[[#This Row],[UnitPrice]]</f>
        <v>18391.96</v>
      </c>
      <c r="M757">
        <f>IF(Table1[[#This Row],[ReorderLevel]]-Table1[[#This Row],[CurrentStock]]&gt;0,Table1[[#This Row],[ReorderLevel]]-Table1[[#This Row],[CurrentStock]],"")</f>
        <v>6</v>
      </c>
      <c r="N757" t="str">
        <f>IF(Table1[[#This Row],[CurrentStock]]&gt;Table1[[#This Row],[ReorderLevel]]*3,"Over Stock","Okay")</f>
        <v>Okay</v>
      </c>
      <c r="O757" t="str">
        <f>IF(Table1[[#This Row],[CurrentStock]]&lt;Table1[[#This Row],[ReorderLevel]],"Reorder","Okay")</f>
        <v>Reorder</v>
      </c>
    </row>
    <row r="758" spans="1:15" x14ac:dyDescent="0.3">
      <c r="A758">
        <v>53333</v>
      </c>
      <c r="B758" t="s">
        <v>21</v>
      </c>
      <c r="C758" t="s">
        <v>31</v>
      </c>
      <c r="D758">
        <v>463</v>
      </c>
      <c r="E758">
        <v>20</v>
      </c>
      <c r="F758">
        <v>279.22000000000003</v>
      </c>
      <c r="G758" t="s">
        <v>36</v>
      </c>
      <c r="H758" s="1">
        <v>45330</v>
      </c>
      <c r="I758" s="1">
        <v>45351</v>
      </c>
      <c r="J758" t="s">
        <v>38</v>
      </c>
      <c r="K758" t="b">
        <f>Table1[[#This Row],[CurrentStock]]&lt;Table1[[#This Row],[ReorderLevel]]</f>
        <v>0</v>
      </c>
      <c r="L758" s="9">
        <f>Table1[[#This Row],[CurrentStock]]*Table1[[#This Row],[UnitPrice]]</f>
        <v>129278.86000000002</v>
      </c>
      <c r="M758" t="str">
        <f>IF(Table1[[#This Row],[ReorderLevel]]-Table1[[#This Row],[CurrentStock]]&gt;0,Table1[[#This Row],[ReorderLevel]]-Table1[[#This Row],[CurrentStock]],"")</f>
        <v/>
      </c>
      <c r="N758" t="str">
        <f>IF(Table1[[#This Row],[CurrentStock]]&gt;Table1[[#This Row],[ReorderLevel]]*3,"Over Stock","Okay")</f>
        <v>Over Stock</v>
      </c>
      <c r="O758" t="str">
        <f>IF(Table1[[#This Row],[CurrentStock]]&lt;Table1[[#This Row],[ReorderLevel]],"Reorder","Okay")</f>
        <v>Okay</v>
      </c>
    </row>
    <row r="759" spans="1:15" x14ac:dyDescent="0.3">
      <c r="A759">
        <v>66920</v>
      </c>
      <c r="B759" t="s">
        <v>15</v>
      </c>
      <c r="C759" t="s">
        <v>29</v>
      </c>
      <c r="D759">
        <v>69</v>
      </c>
      <c r="E759">
        <v>100</v>
      </c>
      <c r="F759">
        <v>404.94</v>
      </c>
      <c r="G759" t="s">
        <v>34</v>
      </c>
      <c r="H759" s="1">
        <v>45505</v>
      </c>
      <c r="I759" s="1">
        <v>45529</v>
      </c>
      <c r="J759" t="s">
        <v>37</v>
      </c>
      <c r="K759" t="b">
        <f>Table1[[#This Row],[CurrentStock]]&lt;Table1[[#This Row],[ReorderLevel]]</f>
        <v>1</v>
      </c>
      <c r="L759" s="9">
        <f>Table1[[#This Row],[CurrentStock]]*Table1[[#This Row],[UnitPrice]]</f>
        <v>27940.86</v>
      </c>
      <c r="M759">
        <f>IF(Table1[[#This Row],[ReorderLevel]]-Table1[[#This Row],[CurrentStock]]&gt;0,Table1[[#This Row],[ReorderLevel]]-Table1[[#This Row],[CurrentStock]],"")</f>
        <v>31</v>
      </c>
      <c r="N759" t="str">
        <f>IF(Table1[[#This Row],[CurrentStock]]&gt;Table1[[#This Row],[ReorderLevel]]*3,"Over Stock","Okay")</f>
        <v>Okay</v>
      </c>
      <c r="O759" t="str">
        <f>IF(Table1[[#This Row],[CurrentStock]]&lt;Table1[[#This Row],[ReorderLevel]],"Reorder","Okay")</f>
        <v>Reorder</v>
      </c>
    </row>
    <row r="760" spans="1:15" x14ac:dyDescent="0.3">
      <c r="A760">
        <v>70390</v>
      </c>
      <c r="B760" t="s">
        <v>17</v>
      </c>
      <c r="C760" t="s">
        <v>30</v>
      </c>
      <c r="D760">
        <v>164</v>
      </c>
      <c r="E760">
        <v>20</v>
      </c>
      <c r="F760">
        <v>324.97000000000003</v>
      </c>
      <c r="G760" t="s">
        <v>33</v>
      </c>
      <c r="H760" s="1">
        <v>45569</v>
      </c>
      <c r="I760" s="1">
        <v>45578</v>
      </c>
      <c r="J760" t="s">
        <v>39</v>
      </c>
      <c r="K760" t="b">
        <f>Table1[[#This Row],[CurrentStock]]&lt;Table1[[#This Row],[ReorderLevel]]</f>
        <v>0</v>
      </c>
      <c r="L760" s="9">
        <f>Table1[[#This Row],[CurrentStock]]*Table1[[#This Row],[UnitPrice]]</f>
        <v>53295.08</v>
      </c>
      <c r="M760" t="str">
        <f>IF(Table1[[#This Row],[ReorderLevel]]-Table1[[#This Row],[CurrentStock]]&gt;0,Table1[[#This Row],[ReorderLevel]]-Table1[[#This Row],[CurrentStock]],"")</f>
        <v/>
      </c>
      <c r="N760" t="str">
        <f>IF(Table1[[#This Row],[CurrentStock]]&gt;Table1[[#This Row],[ReorderLevel]]*3,"Over Stock","Okay")</f>
        <v>Over Stock</v>
      </c>
      <c r="O760" t="str">
        <f>IF(Table1[[#This Row],[CurrentStock]]&lt;Table1[[#This Row],[ReorderLevel]],"Reorder","Okay")</f>
        <v>Okay</v>
      </c>
    </row>
    <row r="761" spans="1:15" x14ac:dyDescent="0.3">
      <c r="A761">
        <v>25994</v>
      </c>
      <c r="B761" t="s">
        <v>26</v>
      </c>
      <c r="C761" t="s">
        <v>30</v>
      </c>
      <c r="D761">
        <v>477</v>
      </c>
      <c r="E761">
        <v>40</v>
      </c>
      <c r="F761">
        <v>149.86000000000001</v>
      </c>
      <c r="G761" t="s">
        <v>34</v>
      </c>
      <c r="H761" s="1">
        <v>45429</v>
      </c>
      <c r="I761" s="1">
        <v>45448</v>
      </c>
      <c r="J761" t="s">
        <v>39</v>
      </c>
      <c r="K761" t="b">
        <f>Table1[[#This Row],[CurrentStock]]&lt;Table1[[#This Row],[ReorderLevel]]</f>
        <v>0</v>
      </c>
      <c r="L761" s="9">
        <f>Table1[[#This Row],[CurrentStock]]*Table1[[#This Row],[UnitPrice]]</f>
        <v>71483.22</v>
      </c>
      <c r="M761" t="str">
        <f>IF(Table1[[#This Row],[ReorderLevel]]-Table1[[#This Row],[CurrentStock]]&gt;0,Table1[[#This Row],[ReorderLevel]]-Table1[[#This Row],[CurrentStock]],"")</f>
        <v/>
      </c>
      <c r="N761" t="str">
        <f>IF(Table1[[#This Row],[CurrentStock]]&gt;Table1[[#This Row],[ReorderLevel]]*3,"Over Stock","Okay")</f>
        <v>Over Stock</v>
      </c>
      <c r="O761" t="str">
        <f>IF(Table1[[#This Row],[CurrentStock]]&lt;Table1[[#This Row],[ReorderLevel]],"Reorder","Okay")</f>
        <v>Okay</v>
      </c>
    </row>
    <row r="762" spans="1:15" x14ac:dyDescent="0.3">
      <c r="A762">
        <v>28316</v>
      </c>
      <c r="B762" t="s">
        <v>12</v>
      </c>
      <c r="C762" t="s">
        <v>28</v>
      </c>
      <c r="D762">
        <v>357</v>
      </c>
      <c r="E762">
        <v>40</v>
      </c>
      <c r="F762">
        <v>246.83</v>
      </c>
      <c r="G762" t="s">
        <v>35</v>
      </c>
      <c r="H762" s="1">
        <v>45293</v>
      </c>
      <c r="I762" s="1">
        <v>45327</v>
      </c>
      <c r="J762" t="s">
        <v>38</v>
      </c>
      <c r="K762" t="b">
        <f>Table1[[#This Row],[CurrentStock]]&lt;Table1[[#This Row],[ReorderLevel]]</f>
        <v>0</v>
      </c>
      <c r="L762" s="9">
        <f>Table1[[#This Row],[CurrentStock]]*Table1[[#This Row],[UnitPrice]]</f>
        <v>88118.31</v>
      </c>
      <c r="M762" t="str">
        <f>IF(Table1[[#This Row],[ReorderLevel]]-Table1[[#This Row],[CurrentStock]]&gt;0,Table1[[#This Row],[ReorderLevel]]-Table1[[#This Row],[CurrentStock]],"")</f>
        <v/>
      </c>
      <c r="N762" t="str">
        <f>IF(Table1[[#This Row],[CurrentStock]]&gt;Table1[[#This Row],[ReorderLevel]]*3,"Over Stock","Okay")</f>
        <v>Over Stock</v>
      </c>
      <c r="O762" t="str">
        <f>IF(Table1[[#This Row],[CurrentStock]]&lt;Table1[[#This Row],[ReorderLevel]],"Reorder","Okay")</f>
        <v>Okay</v>
      </c>
    </row>
    <row r="763" spans="1:15" x14ac:dyDescent="0.3">
      <c r="A763">
        <v>41932</v>
      </c>
      <c r="B763" t="s">
        <v>16</v>
      </c>
      <c r="C763" t="s">
        <v>30</v>
      </c>
      <c r="D763">
        <v>91</v>
      </c>
      <c r="E763">
        <v>80</v>
      </c>
      <c r="F763">
        <v>68.900000000000006</v>
      </c>
      <c r="G763" t="s">
        <v>32</v>
      </c>
      <c r="H763" s="1">
        <v>45439</v>
      </c>
      <c r="I763" s="1">
        <v>45467</v>
      </c>
      <c r="J763" t="s">
        <v>39</v>
      </c>
      <c r="K763" t="b">
        <f>Table1[[#This Row],[CurrentStock]]&lt;Table1[[#This Row],[ReorderLevel]]</f>
        <v>0</v>
      </c>
      <c r="L763" s="9">
        <f>Table1[[#This Row],[CurrentStock]]*Table1[[#This Row],[UnitPrice]]</f>
        <v>6269.9000000000005</v>
      </c>
      <c r="M763" t="str">
        <f>IF(Table1[[#This Row],[ReorderLevel]]-Table1[[#This Row],[CurrentStock]]&gt;0,Table1[[#This Row],[ReorderLevel]]-Table1[[#This Row],[CurrentStock]],"")</f>
        <v/>
      </c>
      <c r="N763" t="str">
        <f>IF(Table1[[#This Row],[CurrentStock]]&gt;Table1[[#This Row],[ReorderLevel]]*3,"Over Stock","Okay")</f>
        <v>Okay</v>
      </c>
      <c r="O763" t="str">
        <f>IF(Table1[[#This Row],[CurrentStock]]&lt;Table1[[#This Row],[ReorderLevel]],"Reorder","Okay")</f>
        <v>Okay</v>
      </c>
    </row>
    <row r="764" spans="1:15" x14ac:dyDescent="0.3">
      <c r="A764">
        <v>96486</v>
      </c>
      <c r="B764" t="s">
        <v>24</v>
      </c>
      <c r="C764" t="s">
        <v>31</v>
      </c>
      <c r="D764">
        <v>410</v>
      </c>
      <c r="E764">
        <v>30</v>
      </c>
      <c r="F764">
        <v>132.44999999999999</v>
      </c>
      <c r="G764" t="s">
        <v>34</v>
      </c>
      <c r="H764" s="1">
        <v>45338</v>
      </c>
      <c r="I764" s="1">
        <v>45347</v>
      </c>
      <c r="J764" t="s">
        <v>39</v>
      </c>
      <c r="K764" t="b">
        <f>Table1[[#This Row],[CurrentStock]]&lt;Table1[[#This Row],[ReorderLevel]]</f>
        <v>0</v>
      </c>
      <c r="L764" s="9">
        <f>Table1[[#This Row],[CurrentStock]]*Table1[[#This Row],[UnitPrice]]</f>
        <v>54304.499999999993</v>
      </c>
      <c r="M764" t="str">
        <f>IF(Table1[[#This Row],[ReorderLevel]]-Table1[[#This Row],[CurrentStock]]&gt;0,Table1[[#This Row],[ReorderLevel]]-Table1[[#This Row],[CurrentStock]],"")</f>
        <v/>
      </c>
      <c r="N764" t="str">
        <f>IF(Table1[[#This Row],[CurrentStock]]&gt;Table1[[#This Row],[ReorderLevel]]*3,"Over Stock","Okay")</f>
        <v>Over Stock</v>
      </c>
      <c r="O764" t="str">
        <f>IF(Table1[[#This Row],[CurrentStock]]&lt;Table1[[#This Row],[ReorderLevel]],"Reorder","Okay")</f>
        <v>Okay</v>
      </c>
    </row>
    <row r="765" spans="1:15" x14ac:dyDescent="0.3">
      <c r="A765">
        <v>34127</v>
      </c>
      <c r="B765" t="s">
        <v>16</v>
      </c>
      <c r="C765" t="s">
        <v>30</v>
      </c>
      <c r="D765">
        <v>223</v>
      </c>
      <c r="E765">
        <v>30</v>
      </c>
      <c r="F765">
        <v>255.96</v>
      </c>
      <c r="G765" t="s">
        <v>36</v>
      </c>
      <c r="H765" s="1">
        <v>45438</v>
      </c>
      <c r="I765" s="1">
        <v>45451</v>
      </c>
      <c r="J765" t="s">
        <v>39</v>
      </c>
      <c r="K765" t="b">
        <f>Table1[[#This Row],[CurrentStock]]&lt;Table1[[#This Row],[ReorderLevel]]</f>
        <v>0</v>
      </c>
      <c r="L765" s="9">
        <f>Table1[[#This Row],[CurrentStock]]*Table1[[#This Row],[UnitPrice]]</f>
        <v>57079.08</v>
      </c>
      <c r="M765" t="str">
        <f>IF(Table1[[#This Row],[ReorderLevel]]-Table1[[#This Row],[CurrentStock]]&gt;0,Table1[[#This Row],[ReorderLevel]]-Table1[[#This Row],[CurrentStock]],"")</f>
        <v/>
      </c>
      <c r="N765" t="str">
        <f>IF(Table1[[#This Row],[CurrentStock]]&gt;Table1[[#This Row],[ReorderLevel]]*3,"Over Stock","Okay")</f>
        <v>Over Stock</v>
      </c>
      <c r="O765" t="str">
        <f>IF(Table1[[#This Row],[CurrentStock]]&lt;Table1[[#This Row],[ReorderLevel]],"Reorder","Okay")</f>
        <v>Okay</v>
      </c>
    </row>
    <row r="766" spans="1:15" x14ac:dyDescent="0.3">
      <c r="A766">
        <v>45187</v>
      </c>
      <c r="B766" t="s">
        <v>23</v>
      </c>
      <c r="C766" t="s">
        <v>30</v>
      </c>
      <c r="D766">
        <v>178</v>
      </c>
      <c r="E766">
        <v>150</v>
      </c>
      <c r="F766">
        <v>498.85</v>
      </c>
      <c r="G766" t="s">
        <v>32</v>
      </c>
      <c r="H766" s="1">
        <v>45294</v>
      </c>
      <c r="I766" s="1">
        <v>45327</v>
      </c>
      <c r="J766" t="s">
        <v>37</v>
      </c>
      <c r="K766" t="b">
        <f>Table1[[#This Row],[CurrentStock]]&lt;Table1[[#This Row],[ReorderLevel]]</f>
        <v>0</v>
      </c>
      <c r="L766" s="9">
        <f>Table1[[#This Row],[CurrentStock]]*Table1[[#This Row],[UnitPrice]]</f>
        <v>88795.3</v>
      </c>
      <c r="M766" t="str">
        <f>IF(Table1[[#This Row],[ReorderLevel]]-Table1[[#This Row],[CurrentStock]]&gt;0,Table1[[#This Row],[ReorderLevel]]-Table1[[#This Row],[CurrentStock]],"")</f>
        <v/>
      </c>
      <c r="N766" t="str">
        <f>IF(Table1[[#This Row],[CurrentStock]]&gt;Table1[[#This Row],[ReorderLevel]]*3,"Over Stock","Okay")</f>
        <v>Okay</v>
      </c>
      <c r="O766" t="str">
        <f>IF(Table1[[#This Row],[CurrentStock]]&lt;Table1[[#This Row],[ReorderLevel]],"Reorder","Okay")</f>
        <v>Okay</v>
      </c>
    </row>
    <row r="767" spans="1:15" x14ac:dyDescent="0.3">
      <c r="A767">
        <v>58291</v>
      </c>
      <c r="B767" t="s">
        <v>25</v>
      </c>
      <c r="C767" t="s">
        <v>31</v>
      </c>
      <c r="D767">
        <v>410</v>
      </c>
      <c r="E767">
        <v>20</v>
      </c>
      <c r="F767">
        <v>419.01</v>
      </c>
      <c r="G767" t="s">
        <v>32</v>
      </c>
      <c r="H767" s="1">
        <v>45514</v>
      </c>
      <c r="I767" s="1">
        <v>45520</v>
      </c>
      <c r="J767" t="s">
        <v>38</v>
      </c>
      <c r="K767" t="b">
        <f>Table1[[#This Row],[CurrentStock]]&lt;Table1[[#This Row],[ReorderLevel]]</f>
        <v>0</v>
      </c>
      <c r="L767" s="9">
        <f>Table1[[#This Row],[CurrentStock]]*Table1[[#This Row],[UnitPrice]]</f>
        <v>171794.1</v>
      </c>
      <c r="M767" t="str">
        <f>IF(Table1[[#This Row],[ReorderLevel]]-Table1[[#This Row],[CurrentStock]]&gt;0,Table1[[#This Row],[ReorderLevel]]-Table1[[#This Row],[CurrentStock]],"")</f>
        <v/>
      </c>
      <c r="N767" t="str">
        <f>IF(Table1[[#This Row],[CurrentStock]]&gt;Table1[[#This Row],[ReorderLevel]]*3,"Over Stock","Okay")</f>
        <v>Over Stock</v>
      </c>
      <c r="O767" t="str">
        <f>IF(Table1[[#This Row],[CurrentStock]]&lt;Table1[[#This Row],[ReorderLevel]],"Reorder","Okay")</f>
        <v>Okay</v>
      </c>
    </row>
    <row r="768" spans="1:15" x14ac:dyDescent="0.3">
      <c r="A768">
        <v>71720</v>
      </c>
      <c r="B768" t="s">
        <v>25</v>
      </c>
      <c r="C768" t="s">
        <v>31</v>
      </c>
      <c r="D768">
        <v>192</v>
      </c>
      <c r="E768">
        <v>150</v>
      </c>
      <c r="F768">
        <v>68.53</v>
      </c>
      <c r="G768" t="s">
        <v>32</v>
      </c>
      <c r="H768" s="1">
        <v>45450</v>
      </c>
      <c r="I768" s="1">
        <v>45482</v>
      </c>
      <c r="J768" t="s">
        <v>39</v>
      </c>
      <c r="K768" t="b">
        <f>Table1[[#This Row],[CurrentStock]]&lt;Table1[[#This Row],[ReorderLevel]]</f>
        <v>0</v>
      </c>
      <c r="L768" s="9">
        <f>Table1[[#This Row],[CurrentStock]]*Table1[[#This Row],[UnitPrice]]</f>
        <v>13157.76</v>
      </c>
      <c r="M768" t="str">
        <f>IF(Table1[[#This Row],[ReorderLevel]]-Table1[[#This Row],[CurrentStock]]&gt;0,Table1[[#This Row],[ReorderLevel]]-Table1[[#This Row],[CurrentStock]],"")</f>
        <v/>
      </c>
      <c r="N768" t="str">
        <f>IF(Table1[[#This Row],[CurrentStock]]&gt;Table1[[#This Row],[ReorderLevel]]*3,"Over Stock","Okay")</f>
        <v>Okay</v>
      </c>
      <c r="O768" t="str">
        <f>IF(Table1[[#This Row],[CurrentStock]]&lt;Table1[[#This Row],[ReorderLevel]],"Reorder","Okay")</f>
        <v>Okay</v>
      </c>
    </row>
    <row r="769" spans="1:15" x14ac:dyDescent="0.3">
      <c r="A769">
        <v>84308</v>
      </c>
      <c r="B769" t="s">
        <v>22</v>
      </c>
      <c r="C769" t="s">
        <v>27</v>
      </c>
      <c r="D769">
        <v>190</v>
      </c>
      <c r="E769">
        <v>40</v>
      </c>
      <c r="F769">
        <v>53.02</v>
      </c>
      <c r="G769" t="s">
        <v>35</v>
      </c>
      <c r="H769" s="1">
        <v>45417</v>
      </c>
      <c r="I769" s="1">
        <v>45431</v>
      </c>
      <c r="J769" t="s">
        <v>39</v>
      </c>
      <c r="K769" t="b">
        <f>Table1[[#This Row],[CurrentStock]]&lt;Table1[[#This Row],[ReorderLevel]]</f>
        <v>0</v>
      </c>
      <c r="L769" s="9">
        <f>Table1[[#This Row],[CurrentStock]]*Table1[[#This Row],[UnitPrice]]</f>
        <v>10073.800000000001</v>
      </c>
      <c r="M769" t="str">
        <f>IF(Table1[[#This Row],[ReorderLevel]]-Table1[[#This Row],[CurrentStock]]&gt;0,Table1[[#This Row],[ReorderLevel]]-Table1[[#This Row],[CurrentStock]],"")</f>
        <v/>
      </c>
      <c r="N769" t="str">
        <f>IF(Table1[[#This Row],[CurrentStock]]&gt;Table1[[#This Row],[ReorderLevel]]*3,"Over Stock","Okay")</f>
        <v>Over Stock</v>
      </c>
      <c r="O769" t="str">
        <f>IF(Table1[[#This Row],[CurrentStock]]&lt;Table1[[#This Row],[ReorderLevel]],"Reorder","Okay")</f>
        <v>Okay</v>
      </c>
    </row>
    <row r="770" spans="1:15" x14ac:dyDescent="0.3">
      <c r="A770">
        <v>75584</v>
      </c>
      <c r="B770" t="s">
        <v>21</v>
      </c>
      <c r="C770" t="s">
        <v>31</v>
      </c>
      <c r="D770">
        <v>188</v>
      </c>
      <c r="E770">
        <v>150</v>
      </c>
      <c r="F770">
        <v>322.33999999999997</v>
      </c>
      <c r="G770" t="s">
        <v>35</v>
      </c>
      <c r="H770" s="1">
        <v>45367</v>
      </c>
      <c r="I770" s="1">
        <v>45392</v>
      </c>
      <c r="J770" t="s">
        <v>38</v>
      </c>
      <c r="K770" t="b">
        <f>Table1[[#This Row],[CurrentStock]]&lt;Table1[[#This Row],[ReorderLevel]]</f>
        <v>0</v>
      </c>
      <c r="L770" s="9">
        <f>Table1[[#This Row],[CurrentStock]]*Table1[[#This Row],[UnitPrice]]</f>
        <v>60599.92</v>
      </c>
      <c r="M770" t="str">
        <f>IF(Table1[[#This Row],[ReorderLevel]]-Table1[[#This Row],[CurrentStock]]&gt;0,Table1[[#This Row],[ReorderLevel]]-Table1[[#This Row],[CurrentStock]],"")</f>
        <v/>
      </c>
      <c r="N770" t="str">
        <f>IF(Table1[[#This Row],[CurrentStock]]&gt;Table1[[#This Row],[ReorderLevel]]*3,"Over Stock","Okay")</f>
        <v>Okay</v>
      </c>
      <c r="O770" t="str">
        <f>IF(Table1[[#This Row],[CurrentStock]]&lt;Table1[[#This Row],[ReorderLevel]],"Reorder","Okay")</f>
        <v>Okay</v>
      </c>
    </row>
    <row r="771" spans="1:15" x14ac:dyDescent="0.3">
      <c r="A771">
        <v>25620</v>
      </c>
      <c r="B771" t="s">
        <v>24</v>
      </c>
      <c r="C771" t="s">
        <v>31</v>
      </c>
      <c r="D771">
        <v>493</v>
      </c>
      <c r="E771">
        <v>30</v>
      </c>
      <c r="F771">
        <v>342.84</v>
      </c>
      <c r="G771" t="s">
        <v>32</v>
      </c>
      <c r="H771" s="1">
        <v>45637</v>
      </c>
      <c r="I771" s="1">
        <v>45667</v>
      </c>
      <c r="J771" t="s">
        <v>37</v>
      </c>
      <c r="K771" t="b">
        <f>Table1[[#This Row],[CurrentStock]]&lt;Table1[[#This Row],[ReorderLevel]]</f>
        <v>0</v>
      </c>
      <c r="L771" s="9">
        <f>Table1[[#This Row],[CurrentStock]]*Table1[[#This Row],[UnitPrice]]</f>
        <v>169020.12</v>
      </c>
      <c r="M771" t="str">
        <f>IF(Table1[[#This Row],[ReorderLevel]]-Table1[[#This Row],[CurrentStock]]&gt;0,Table1[[#This Row],[ReorderLevel]]-Table1[[#This Row],[CurrentStock]],"")</f>
        <v/>
      </c>
      <c r="N771" t="str">
        <f>IF(Table1[[#This Row],[CurrentStock]]&gt;Table1[[#This Row],[ReorderLevel]]*3,"Over Stock","Okay")</f>
        <v>Over Stock</v>
      </c>
      <c r="O771" t="str">
        <f>IF(Table1[[#This Row],[CurrentStock]]&lt;Table1[[#This Row],[ReorderLevel]],"Reorder","Okay")</f>
        <v>Okay</v>
      </c>
    </row>
    <row r="772" spans="1:15" x14ac:dyDescent="0.3">
      <c r="A772">
        <v>92357</v>
      </c>
      <c r="B772" t="s">
        <v>16</v>
      </c>
      <c r="C772" t="s">
        <v>30</v>
      </c>
      <c r="D772">
        <v>435</v>
      </c>
      <c r="E772">
        <v>150</v>
      </c>
      <c r="F772">
        <v>445.96</v>
      </c>
      <c r="G772" t="s">
        <v>32</v>
      </c>
      <c r="H772" s="1">
        <v>45499</v>
      </c>
      <c r="I772" s="1">
        <v>45524</v>
      </c>
      <c r="J772" t="s">
        <v>39</v>
      </c>
      <c r="K772" t="b">
        <f>Table1[[#This Row],[CurrentStock]]&lt;Table1[[#This Row],[ReorderLevel]]</f>
        <v>0</v>
      </c>
      <c r="L772" s="9">
        <f>Table1[[#This Row],[CurrentStock]]*Table1[[#This Row],[UnitPrice]]</f>
        <v>193992.59999999998</v>
      </c>
      <c r="M772" t="str">
        <f>IF(Table1[[#This Row],[ReorderLevel]]-Table1[[#This Row],[CurrentStock]]&gt;0,Table1[[#This Row],[ReorderLevel]]-Table1[[#This Row],[CurrentStock]],"")</f>
        <v/>
      </c>
      <c r="N772" t="str">
        <f>IF(Table1[[#This Row],[CurrentStock]]&gt;Table1[[#This Row],[ReorderLevel]]*3,"Over Stock","Okay")</f>
        <v>Okay</v>
      </c>
      <c r="O772" t="str">
        <f>IF(Table1[[#This Row],[CurrentStock]]&lt;Table1[[#This Row],[ReorderLevel]],"Reorder","Okay")</f>
        <v>Okay</v>
      </c>
    </row>
    <row r="773" spans="1:15" x14ac:dyDescent="0.3">
      <c r="A773">
        <v>14551</v>
      </c>
      <c r="B773" t="s">
        <v>21</v>
      </c>
      <c r="C773" t="s">
        <v>31</v>
      </c>
      <c r="D773">
        <v>317</v>
      </c>
      <c r="E773">
        <v>40</v>
      </c>
      <c r="F773">
        <v>72.930000000000007</v>
      </c>
      <c r="G773" t="s">
        <v>35</v>
      </c>
      <c r="H773" s="1">
        <v>45508</v>
      </c>
      <c r="I773" s="1">
        <v>45523</v>
      </c>
      <c r="J773" t="s">
        <v>37</v>
      </c>
      <c r="K773" t="b">
        <f>Table1[[#This Row],[CurrentStock]]&lt;Table1[[#This Row],[ReorderLevel]]</f>
        <v>0</v>
      </c>
      <c r="L773" s="9">
        <f>Table1[[#This Row],[CurrentStock]]*Table1[[#This Row],[UnitPrice]]</f>
        <v>23118.81</v>
      </c>
      <c r="M773" t="str">
        <f>IF(Table1[[#This Row],[ReorderLevel]]-Table1[[#This Row],[CurrentStock]]&gt;0,Table1[[#This Row],[ReorderLevel]]-Table1[[#This Row],[CurrentStock]],"")</f>
        <v/>
      </c>
      <c r="N773" t="str">
        <f>IF(Table1[[#This Row],[CurrentStock]]&gt;Table1[[#This Row],[ReorderLevel]]*3,"Over Stock","Okay")</f>
        <v>Over Stock</v>
      </c>
      <c r="O773" t="str">
        <f>IF(Table1[[#This Row],[CurrentStock]]&lt;Table1[[#This Row],[ReorderLevel]],"Reorder","Okay")</f>
        <v>Okay</v>
      </c>
    </row>
    <row r="774" spans="1:15" x14ac:dyDescent="0.3">
      <c r="A774">
        <v>77847</v>
      </c>
      <c r="B774" t="s">
        <v>17</v>
      </c>
      <c r="C774" t="s">
        <v>30</v>
      </c>
      <c r="D774">
        <v>370</v>
      </c>
      <c r="E774">
        <v>100</v>
      </c>
      <c r="F774">
        <v>411.15</v>
      </c>
      <c r="G774" t="s">
        <v>33</v>
      </c>
      <c r="H774" s="1">
        <v>45539</v>
      </c>
      <c r="I774" s="1">
        <v>45563</v>
      </c>
      <c r="J774" t="s">
        <v>39</v>
      </c>
      <c r="K774" t="b">
        <f>Table1[[#This Row],[CurrentStock]]&lt;Table1[[#This Row],[ReorderLevel]]</f>
        <v>0</v>
      </c>
      <c r="L774" s="9">
        <f>Table1[[#This Row],[CurrentStock]]*Table1[[#This Row],[UnitPrice]]</f>
        <v>152125.5</v>
      </c>
      <c r="M774" t="str">
        <f>IF(Table1[[#This Row],[ReorderLevel]]-Table1[[#This Row],[CurrentStock]]&gt;0,Table1[[#This Row],[ReorderLevel]]-Table1[[#This Row],[CurrentStock]],"")</f>
        <v/>
      </c>
      <c r="N774" t="str">
        <f>IF(Table1[[#This Row],[CurrentStock]]&gt;Table1[[#This Row],[ReorderLevel]]*3,"Over Stock","Okay")</f>
        <v>Over Stock</v>
      </c>
      <c r="O774" t="str">
        <f>IF(Table1[[#This Row],[CurrentStock]]&lt;Table1[[#This Row],[ReorderLevel]],"Reorder","Okay")</f>
        <v>Okay</v>
      </c>
    </row>
    <row r="775" spans="1:15" x14ac:dyDescent="0.3">
      <c r="A775">
        <v>40492</v>
      </c>
      <c r="B775" t="s">
        <v>24</v>
      </c>
      <c r="C775" t="s">
        <v>31</v>
      </c>
      <c r="D775">
        <v>92</v>
      </c>
      <c r="E775">
        <v>20</v>
      </c>
      <c r="F775">
        <v>50.22</v>
      </c>
      <c r="G775" t="s">
        <v>34</v>
      </c>
      <c r="H775" s="1">
        <v>45445</v>
      </c>
      <c r="I775" s="1">
        <v>45459</v>
      </c>
      <c r="J775" t="s">
        <v>37</v>
      </c>
      <c r="K775" t="b">
        <f>Table1[[#This Row],[CurrentStock]]&lt;Table1[[#This Row],[ReorderLevel]]</f>
        <v>0</v>
      </c>
      <c r="L775" s="9">
        <f>Table1[[#This Row],[CurrentStock]]*Table1[[#This Row],[UnitPrice]]</f>
        <v>4620.24</v>
      </c>
      <c r="M775" t="str">
        <f>IF(Table1[[#This Row],[ReorderLevel]]-Table1[[#This Row],[CurrentStock]]&gt;0,Table1[[#This Row],[ReorderLevel]]-Table1[[#This Row],[CurrentStock]],"")</f>
        <v/>
      </c>
      <c r="N775" t="str">
        <f>IF(Table1[[#This Row],[CurrentStock]]&gt;Table1[[#This Row],[ReorderLevel]]*3,"Over Stock","Okay")</f>
        <v>Over Stock</v>
      </c>
      <c r="O775" t="str">
        <f>IF(Table1[[#This Row],[CurrentStock]]&lt;Table1[[#This Row],[ReorderLevel]],"Reorder","Okay")</f>
        <v>Okay</v>
      </c>
    </row>
    <row r="776" spans="1:15" x14ac:dyDescent="0.3">
      <c r="A776">
        <v>80309</v>
      </c>
      <c r="B776" t="s">
        <v>23</v>
      </c>
      <c r="C776" t="s">
        <v>30</v>
      </c>
      <c r="D776">
        <v>326</v>
      </c>
      <c r="E776">
        <v>150</v>
      </c>
      <c r="F776">
        <v>201.31</v>
      </c>
      <c r="G776" t="s">
        <v>36</v>
      </c>
      <c r="H776" s="1">
        <v>45384</v>
      </c>
      <c r="I776" s="1">
        <v>45404</v>
      </c>
      <c r="J776" t="s">
        <v>37</v>
      </c>
      <c r="K776" t="b">
        <f>Table1[[#This Row],[CurrentStock]]&lt;Table1[[#This Row],[ReorderLevel]]</f>
        <v>0</v>
      </c>
      <c r="L776" s="9">
        <f>Table1[[#This Row],[CurrentStock]]*Table1[[#This Row],[UnitPrice]]</f>
        <v>65627.06</v>
      </c>
      <c r="M776" t="str">
        <f>IF(Table1[[#This Row],[ReorderLevel]]-Table1[[#This Row],[CurrentStock]]&gt;0,Table1[[#This Row],[ReorderLevel]]-Table1[[#This Row],[CurrentStock]],"")</f>
        <v/>
      </c>
      <c r="N776" t="str">
        <f>IF(Table1[[#This Row],[CurrentStock]]&gt;Table1[[#This Row],[ReorderLevel]]*3,"Over Stock","Okay")</f>
        <v>Okay</v>
      </c>
      <c r="O776" t="str">
        <f>IF(Table1[[#This Row],[CurrentStock]]&lt;Table1[[#This Row],[ReorderLevel]],"Reorder","Okay")</f>
        <v>Okay</v>
      </c>
    </row>
    <row r="777" spans="1:15" x14ac:dyDescent="0.3">
      <c r="A777">
        <v>48826</v>
      </c>
      <c r="B777" t="s">
        <v>18</v>
      </c>
      <c r="C777" t="s">
        <v>28</v>
      </c>
      <c r="D777">
        <v>248</v>
      </c>
      <c r="E777">
        <v>150</v>
      </c>
      <c r="F777">
        <v>497.41</v>
      </c>
      <c r="G777" t="s">
        <v>34</v>
      </c>
      <c r="H777" s="1">
        <v>45381</v>
      </c>
      <c r="I777" s="1">
        <v>45414</v>
      </c>
      <c r="J777" t="s">
        <v>38</v>
      </c>
      <c r="K777" t="b">
        <f>Table1[[#This Row],[CurrentStock]]&lt;Table1[[#This Row],[ReorderLevel]]</f>
        <v>0</v>
      </c>
      <c r="L777" s="9">
        <f>Table1[[#This Row],[CurrentStock]]*Table1[[#This Row],[UnitPrice]]</f>
        <v>123357.68000000001</v>
      </c>
      <c r="M777" t="str">
        <f>IF(Table1[[#This Row],[ReorderLevel]]-Table1[[#This Row],[CurrentStock]]&gt;0,Table1[[#This Row],[ReorderLevel]]-Table1[[#This Row],[CurrentStock]],"")</f>
        <v/>
      </c>
      <c r="N777" t="str">
        <f>IF(Table1[[#This Row],[CurrentStock]]&gt;Table1[[#This Row],[ReorderLevel]]*3,"Over Stock","Okay")</f>
        <v>Okay</v>
      </c>
      <c r="O777" t="str">
        <f>IF(Table1[[#This Row],[CurrentStock]]&lt;Table1[[#This Row],[ReorderLevel]],"Reorder","Okay")</f>
        <v>Okay</v>
      </c>
    </row>
    <row r="778" spans="1:15" x14ac:dyDescent="0.3">
      <c r="A778">
        <v>76617</v>
      </c>
      <c r="B778" t="s">
        <v>26</v>
      </c>
      <c r="C778" t="s">
        <v>30</v>
      </c>
      <c r="D778">
        <v>41</v>
      </c>
      <c r="E778">
        <v>150</v>
      </c>
      <c r="F778">
        <v>346.26</v>
      </c>
      <c r="G778" t="s">
        <v>33</v>
      </c>
      <c r="H778" s="1">
        <v>45652</v>
      </c>
      <c r="I778" s="1">
        <v>45683</v>
      </c>
      <c r="J778" t="s">
        <v>37</v>
      </c>
      <c r="K778" t="b">
        <f>Table1[[#This Row],[CurrentStock]]&lt;Table1[[#This Row],[ReorderLevel]]</f>
        <v>1</v>
      </c>
      <c r="L778" s="9">
        <f>Table1[[#This Row],[CurrentStock]]*Table1[[#This Row],[UnitPrice]]</f>
        <v>14196.66</v>
      </c>
      <c r="M778">
        <f>IF(Table1[[#This Row],[ReorderLevel]]-Table1[[#This Row],[CurrentStock]]&gt;0,Table1[[#This Row],[ReorderLevel]]-Table1[[#This Row],[CurrentStock]],"")</f>
        <v>109</v>
      </c>
      <c r="N778" t="str">
        <f>IF(Table1[[#This Row],[CurrentStock]]&gt;Table1[[#This Row],[ReorderLevel]]*3,"Over Stock","Okay")</f>
        <v>Okay</v>
      </c>
      <c r="O778" t="str">
        <f>IF(Table1[[#This Row],[CurrentStock]]&lt;Table1[[#This Row],[ReorderLevel]],"Reorder","Okay")</f>
        <v>Reorder</v>
      </c>
    </row>
    <row r="779" spans="1:15" x14ac:dyDescent="0.3">
      <c r="A779">
        <v>43332</v>
      </c>
      <c r="B779" t="s">
        <v>18</v>
      </c>
      <c r="C779" t="s">
        <v>28</v>
      </c>
      <c r="D779">
        <v>410</v>
      </c>
      <c r="E779">
        <v>20</v>
      </c>
      <c r="F779">
        <v>43.32</v>
      </c>
      <c r="G779" t="s">
        <v>33</v>
      </c>
      <c r="H779" s="1">
        <v>45444</v>
      </c>
      <c r="I779" s="1">
        <v>45451</v>
      </c>
      <c r="J779" t="s">
        <v>39</v>
      </c>
      <c r="K779" t="b">
        <f>Table1[[#This Row],[CurrentStock]]&lt;Table1[[#This Row],[ReorderLevel]]</f>
        <v>0</v>
      </c>
      <c r="L779" s="9">
        <f>Table1[[#This Row],[CurrentStock]]*Table1[[#This Row],[UnitPrice]]</f>
        <v>17761.2</v>
      </c>
      <c r="M779" t="str">
        <f>IF(Table1[[#This Row],[ReorderLevel]]-Table1[[#This Row],[CurrentStock]]&gt;0,Table1[[#This Row],[ReorderLevel]]-Table1[[#This Row],[CurrentStock]],"")</f>
        <v/>
      </c>
      <c r="N779" t="str">
        <f>IF(Table1[[#This Row],[CurrentStock]]&gt;Table1[[#This Row],[ReorderLevel]]*3,"Over Stock","Okay")</f>
        <v>Over Stock</v>
      </c>
      <c r="O779" t="str">
        <f>IF(Table1[[#This Row],[CurrentStock]]&lt;Table1[[#This Row],[ReorderLevel]],"Reorder","Okay")</f>
        <v>Okay</v>
      </c>
    </row>
    <row r="780" spans="1:15" x14ac:dyDescent="0.3">
      <c r="A780">
        <v>96551</v>
      </c>
      <c r="B780" t="s">
        <v>21</v>
      </c>
      <c r="C780" t="s">
        <v>31</v>
      </c>
      <c r="D780">
        <v>86</v>
      </c>
      <c r="E780">
        <v>30</v>
      </c>
      <c r="F780">
        <v>32.83</v>
      </c>
      <c r="G780" t="s">
        <v>34</v>
      </c>
      <c r="H780" s="1">
        <v>45584</v>
      </c>
      <c r="I780" s="1">
        <v>45608</v>
      </c>
      <c r="J780" t="s">
        <v>37</v>
      </c>
      <c r="K780" t="b">
        <f>Table1[[#This Row],[CurrentStock]]&lt;Table1[[#This Row],[ReorderLevel]]</f>
        <v>0</v>
      </c>
      <c r="L780" s="9">
        <f>Table1[[#This Row],[CurrentStock]]*Table1[[#This Row],[UnitPrice]]</f>
        <v>2823.3799999999997</v>
      </c>
      <c r="M780" t="str">
        <f>IF(Table1[[#This Row],[ReorderLevel]]-Table1[[#This Row],[CurrentStock]]&gt;0,Table1[[#This Row],[ReorderLevel]]-Table1[[#This Row],[CurrentStock]],"")</f>
        <v/>
      </c>
      <c r="N780" t="str">
        <f>IF(Table1[[#This Row],[CurrentStock]]&gt;Table1[[#This Row],[ReorderLevel]]*3,"Over Stock","Okay")</f>
        <v>Okay</v>
      </c>
      <c r="O780" t="str">
        <f>IF(Table1[[#This Row],[CurrentStock]]&lt;Table1[[#This Row],[ReorderLevel]],"Reorder","Okay")</f>
        <v>Okay</v>
      </c>
    </row>
    <row r="781" spans="1:15" x14ac:dyDescent="0.3">
      <c r="A781">
        <v>87928</v>
      </c>
      <c r="B781" t="s">
        <v>18</v>
      </c>
      <c r="C781" t="s">
        <v>28</v>
      </c>
      <c r="D781">
        <v>250</v>
      </c>
      <c r="E781">
        <v>20</v>
      </c>
      <c r="F781">
        <v>21.34</v>
      </c>
      <c r="G781" t="s">
        <v>32</v>
      </c>
      <c r="H781" s="1">
        <v>45528</v>
      </c>
      <c r="I781" s="1">
        <v>45562</v>
      </c>
      <c r="J781" t="s">
        <v>39</v>
      </c>
      <c r="K781" t="b">
        <f>Table1[[#This Row],[CurrentStock]]&lt;Table1[[#This Row],[ReorderLevel]]</f>
        <v>0</v>
      </c>
      <c r="L781" s="9">
        <f>Table1[[#This Row],[CurrentStock]]*Table1[[#This Row],[UnitPrice]]</f>
        <v>5335</v>
      </c>
      <c r="M781" t="str">
        <f>IF(Table1[[#This Row],[ReorderLevel]]-Table1[[#This Row],[CurrentStock]]&gt;0,Table1[[#This Row],[ReorderLevel]]-Table1[[#This Row],[CurrentStock]],"")</f>
        <v/>
      </c>
      <c r="N781" t="str">
        <f>IF(Table1[[#This Row],[CurrentStock]]&gt;Table1[[#This Row],[ReorderLevel]]*3,"Over Stock","Okay")</f>
        <v>Over Stock</v>
      </c>
      <c r="O781" t="str">
        <f>IF(Table1[[#This Row],[CurrentStock]]&lt;Table1[[#This Row],[ReorderLevel]],"Reorder","Okay")</f>
        <v>Okay</v>
      </c>
    </row>
    <row r="782" spans="1:15" x14ac:dyDescent="0.3">
      <c r="A782">
        <v>69902</v>
      </c>
      <c r="B782" t="s">
        <v>15</v>
      </c>
      <c r="C782" t="s">
        <v>29</v>
      </c>
      <c r="D782">
        <v>447</v>
      </c>
      <c r="E782">
        <v>50</v>
      </c>
      <c r="F782">
        <v>28.8</v>
      </c>
      <c r="G782" t="s">
        <v>33</v>
      </c>
      <c r="H782" s="1">
        <v>45624</v>
      </c>
      <c r="I782" s="1">
        <v>45629</v>
      </c>
      <c r="J782" t="s">
        <v>38</v>
      </c>
      <c r="K782" t="b">
        <f>Table1[[#This Row],[CurrentStock]]&lt;Table1[[#This Row],[ReorderLevel]]</f>
        <v>0</v>
      </c>
      <c r="L782" s="9">
        <f>Table1[[#This Row],[CurrentStock]]*Table1[[#This Row],[UnitPrice]]</f>
        <v>12873.6</v>
      </c>
      <c r="M782" t="str">
        <f>IF(Table1[[#This Row],[ReorderLevel]]-Table1[[#This Row],[CurrentStock]]&gt;0,Table1[[#This Row],[ReorderLevel]]-Table1[[#This Row],[CurrentStock]],"")</f>
        <v/>
      </c>
      <c r="N782" t="str">
        <f>IF(Table1[[#This Row],[CurrentStock]]&gt;Table1[[#This Row],[ReorderLevel]]*3,"Over Stock","Okay")</f>
        <v>Over Stock</v>
      </c>
      <c r="O782" t="str">
        <f>IF(Table1[[#This Row],[CurrentStock]]&lt;Table1[[#This Row],[ReorderLevel]],"Reorder","Okay")</f>
        <v>Okay</v>
      </c>
    </row>
    <row r="783" spans="1:15" x14ac:dyDescent="0.3">
      <c r="A783">
        <v>76830</v>
      </c>
      <c r="B783" t="s">
        <v>11</v>
      </c>
      <c r="C783" t="s">
        <v>27</v>
      </c>
      <c r="D783">
        <v>463</v>
      </c>
      <c r="E783">
        <v>40</v>
      </c>
      <c r="F783">
        <v>324.73</v>
      </c>
      <c r="G783" t="s">
        <v>35</v>
      </c>
      <c r="H783" s="1">
        <v>45498</v>
      </c>
      <c r="I783" s="1">
        <v>45518</v>
      </c>
      <c r="J783" t="s">
        <v>39</v>
      </c>
      <c r="K783" t="b">
        <f>Table1[[#This Row],[CurrentStock]]&lt;Table1[[#This Row],[ReorderLevel]]</f>
        <v>0</v>
      </c>
      <c r="L783" s="9">
        <f>Table1[[#This Row],[CurrentStock]]*Table1[[#This Row],[UnitPrice]]</f>
        <v>150349.99000000002</v>
      </c>
      <c r="M783" t="str">
        <f>IF(Table1[[#This Row],[ReorderLevel]]-Table1[[#This Row],[CurrentStock]]&gt;0,Table1[[#This Row],[ReorderLevel]]-Table1[[#This Row],[CurrentStock]],"")</f>
        <v/>
      </c>
      <c r="N783" t="str">
        <f>IF(Table1[[#This Row],[CurrentStock]]&gt;Table1[[#This Row],[ReorderLevel]]*3,"Over Stock","Okay")</f>
        <v>Over Stock</v>
      </c>
      <c r="O783" t="str">
        <f>IF(Table1[[#This Row],[CurrentStock]]&lt;Table1[[#This Row],[ReorderLevel]],"Reorder","Okay")</f>
        <v>Okay</v>
      </c>
    </row>
    <row r="784" spans="1:15" x14ac:dyDescent="0.3">
      <c r="A784">
        <v>74994</v>
      </c>
      <c r="B784" t="s">
        <v>20</v>
      </c>
      <c r="C784" t="s">
        <v>29</v>
      </c>
      <c r="D784">
        <v>334</v>
      </c>
      <c r="E784">
        <v>30</v>
      </c>
      <c r="F784">
        <v>158.18</v>
      </c>
      <c r="G784" t="s">
        <v>36</v>
      </c>
      <c r="H784" s="1">
        <v>45590</v>
      </c>
      <c r="I784" s="1">
        <v>45599</v>
      </c>
      <c r="J784" t="s">
        <v>39</v>
      </c>
      <c r="K784" t="b">
        <f>Table1[[#This Row],[CurrentStock]]&lt;Table1[[#This Row],[ReorderLevel]]</f>
        <v>0</v>
      </c>
      <c r="L784" s="9">
        <f>Table1[[#This Row],[CurrentStock]]*Table1[[#This Row],[UnitPrice]]</f>
        <v>52832.12</v>
      </c>
      <c r="M784" t="str">
        <f>IF(Table1[[#This Row],[ReorderLevel]]-Table1[[#This Row],[CurrentStock]]&gt;0,Table1[[#This Row],[ReorderLevel]]-Table1[[#This Row],[CurrentStock]],"")</f>
        <v/>
      </c>
      <c r="N784" t="str">
        <f>IF(Table1[[#This Row],[CurrentStock]]&gt;Table1[[#This Row],[ReorderLevel]]*3,"Over Stock","Okay")</f>
        <v>Over Stock</v>
      </c>
      <c r="O784" t="str">
        <f>IF(Table1[[#This Row],[CurrentStock]]&lt;Table1[[#This Row],[ReorderLevel]],"Reorder","Okay")</f>
        <v>Okay</v>
      </c>
    </row>
    <row r="785" spans="1:15" x14ac:dyDescent="0.3">
      <c r="A785">
        <v>24650</v>
      </c>
      <c r="B785" t="s">
        <v>15</v>
      </c>
      <c r="C785" t="s">
        <v>29</v>
      </c>
      <c r="D785">
        <v>481</v>
      </c>
      <c r="E785">
        <v>150</v>
      </c>
      <c r="F785">
        <v>453.54</v>
      </c>
      <c r="G785" t="s">
        <v>32</v>
      </c>
      <c r="H785" s="1">
        <v>45469</v>
      </c>
      <c r="I785" s="1">
        <v>45496</v>
      </c>
      <c r="J785" t="s">
        <v>38</v>
      </c>
      <c r="K785" t="b">
        <f>Table1[[#This Row],[CurrentStock]]&lt;Table1[[#This Row],[ReorderLevel]]</f>
        <v>0</v>
      </c>
      <c r="L785" s="9">
        <f>Table1[[#This Row],[CurrentStock]]*Table1[[#This Row],[UnitPrice]]</f>
        <v>218152.74000000002</v>
      </c>
      <c r="M785" t="str">
        <f>IF(Table1[[#This Row],[ReorderLevel]]-Table1[[#This Row],[CurrentStock]]&gt;0,Table1[[#This Row],[ReorderLevel]]-Table1[[#This Row],[CurrentStock]],"")</f>
        <v/>
      </c>
      <c r="N785" t="str">
        <f>IF(Table1[[#This Row],[CurrentStock]]&gt;Table1[[#This Row],[ReorderLevel]]*3,"Over Stock","Okay")</f>
        <v>Over Stock</v>
      </c>
      <c r="O785" t="str">
        <f>IF(Table1[[#This Row],[CurrentStock]]&lt;Table1[[#This Row],[ReorderLevel]],"Reorder","Okay")</f>
        <v>Okay</v>
      </c>
    </row>
    <row r="786" spans="1:15" x14ac:dyDescent="0.3">
      <c r="A786">
        <v>22191</v>
      </c>
      <c r="B786" t="s">
        <v>12</v>
      </c>
      <c r="C786" t="s">
        <v>28</v>
      </c>
      <c r="D786">
        <v>160</v>
      </c>
      <c r="E786">
        <v>80</v>
      </c>
      <c r="F786">
        <v>473.91</v>
      </c>
      <c r="G786" t="s">
        <v>34</v>
      </c>
      <c r="H786" s="1">
        <v>45293</v>
      </c>
      <c r="I786" s="1">
        <v>45304</v>
      </c>
      <c r="J786" t="s">
        <v>39</v>
      </c>
      <c r="K786" t="b">
        <f>Table1[[#This Row],[CurrentStock]]&lt;Table1[[#This Row],[ReorderLevel]]</f>
        <v>0</v>
      </c>
      <c r="L786" s="9">
        <f>Table1[[#This Row],[CurrentStock]]*Table1[[#This Row],[UnitPrice]]</f>
        <v>75825.600000000006</v>
      </c>
      <c r="M786" t="str">
        <f>IF(Table1[[#This Row],[ReorderLevel]]-Table1[[#This Row],[CurrentStock]]&gt;0,Table1[[#This Row],[ReorderLevel]]-Table1[[#This Row],[CurrentStock]],"")</f>
        <v/>
      </c>
      <c r="N786" t="str">
        <f>IF(Table1[[#This Row],[CurrentStock]]&gt;Table1[[#This Row],[ReorderLevel]]*3,"Over Stock","Okay")</f>
        <v>Okay</v>
      </c>
      <c r="O786" t="str">
        <f>IF(Table1[[#This Row],[CurrentStock]]&lt;Table1[[#This Row],[ReorderLevel]],"Reorder","Okay")</f>
        <v>Okay</v>
      </c>
    </row>
    <row r="787" spans="1:15" x14ac:dyDescent="0.3">
      <c r="A787">
        <v>50733</v>
      </c>
      <c r="B787" t="s">
        <v>17</v>
      </c>
      <c r="C787" t="s">
        <v>30</v>
      </c>
      <c r="D787">
        <v>287</v>
      </c>
      <c r="E787">
        <v>50</v>
      </c>
      <c r="F787">
        <v>262.83999999999997</v>
      </c>
      <c r="G787" t="s">
        <v>34</v>
      </c>
      <c r="H787" s="1">
        <v>45479</v>
      </c>
      <c r="I787" s="1">
        <v>45518</v>
      </c>
      <c r="J787" t="s">
        <v>37</v>
      </c>
      <c r="K787" t="b">
        <f>Table1[[#This Row],[CurrentStock]]&lt;Table1[[#This Row],[ReorderLevel]]</f>
        <v>0</v>
      </c>
      <c r="L787" s="9">
        <f>Table1[[#This Row],[CurrentStock]]*Table1[[#This Row],[UnitPrice]]</f>
        <v>75435.079999999987</v>
      </c>
      <c r="M787" t="str">
        <f>IF(Table1[[#This Row],[ReorderLevel]]-Table1[[#This Row],[CurrentStock]]&gt;0,Table1[[#This Row],[ReorderLevel]]-Table1[[#This Row],[CurrentStock]],"")</f>
        <v/>
      </c>
      <c r="N787" t="str">
        <f>IF(Table1[[#This Row],[CurrentStock]]&gt;Table1[[#This Row],[ReorderLevel]]*3,"Over Stock","Okay")</f>
        <v>Over Stock</v>
      </c>
      <c r="O787" t="str">
        <f>IF(Table1[[#This Row],[CurrentStock]]&lt;Table1[[#This Row],[ReorderLevel]],"Reorder","Okay")</f>
        <v>Okay</v>
      </c>
    </row>
    <row r="788" spans="1:15" x14ac:dyDescent="0.3">
      <c r="A788">
        <v>30183</v>
      </c>
      <c r="B788" t="s">
        <v>12</v>
      </c>
      <c r="C788" t="s">
        <v>28</v>
      </c>
      <c r="D788">
        <v>82</v>
      </c>
      <c r="E788">
        <v>20</v>
      </c>
      <c r="F788">
        <v>58.08</v>
      </c>
      <c r="G788" t="s">
        <v>32</v>
      </c>
      <c r="H788" s="1">
        <v>45598</v>
      </c>
      <c r="I788" s="1">
        <v>45624</v>
      </c>
      <c r="J788" t="s">
        <v>37</v>
      </c>
      <c r="K788" t="b">
        <f>Table1[[#This Row],[CurrentStock]]&lt;Table1[[#This Row],[ReorderLevel]]</f>
        <v>0</v>
      </c>
      <c r="L788" s="9">
        <f>Table1[[#This Row],[CurrentStock]]*Table1[[#This Row],[UnitPrice]]</f>
        <v>4762.5599999999995</v>
      </c>
      <c r="M788" t="str">
        <f>IF(Table1[[#This Row],[ReorderLevel]]-Table1[[#This Row],[CurrentStock]]&gt;0,Table1[[#This Row],[ReorderLevel]]-Table1[[#This Row],[CurrentStock]],"")</f>
        <v/>
      </c>
      <c r="N788" t="str">
        <f>IF(Table1[[#This Row],[CurrentStock]]&gt;Table1[[#This Row],[ReorderLevel]]*3,"Over Stock","Okay")</f>
        <v>Over Stock</v>
      </c>
      <c r="O788" t="str">
        <f>IF(Table1[[#This Row],[CurrentStock]]&lt;Table1[[#This Row],[ReorderLevel]],"Reorder","Okay")</f>
        <v>Okay</v>
      </c>
    </row>
    <row r="789" spans="1:15" x14ac:dyDescent="0.3">
      <c r="A789">
        <v>60639</v>
      </c>
      <c r="B789" t="s">
        <v>10</v>
      </c>
      <c r="C789" t="s">
        <v>27</v>
      </c>
      <c r="D789">
        <v>180</v>
      </c>
      <c r="E789">
        <v>50</v>
      </c>
      <c r="F789">
        <v>87.59</v>
      </c>
      <c r="G789" t="s">
        <v>35</v>
      </c>
      <c r="H789" s="1">
        <v>45583</v>
      </c>
      <c r="I789" s="1">
        <v>45605</v>
      </c>
      <c r="J789" t="s">
        <v>39</v>
      </c>
      <c r="K789" t="b">
        <f>Table1[[#This Row],[CurrentStock]]&lt;Table1[[#This Row],[ReorderLevel]]</f>
        <v>0</v>
      </c>
      <c r="L789" s="9">
        <f>Table1[[#This Row],[CurrentStock]]*Table1[[#This Row],[UnitPrice]]</f>
        <v>15766.2</v>
      </c>
      <c r="M789" t="str">
        <f>IF(Table1[[#This Row],[ReorderLevel]]-Table1[[#This Row],[CurrentStock]]&gt;0,Table1[[#This Row],[ReorderLevel]]-Table1[[#This Row],[CurrentStock]],"")</f>
        <v/>
      </c>
      <c r="N789" t="str">
        <f>IF(Table1[[#This Row],[CurrentStock]]&gt;Table1[[#This Row],[ReorderLevel]]*3,"Over Stock","Okay")</f>
        <v>Over Stock</v>
      </c>
      <c r="O789" t="str">
        <f>IF(Table1[[#This Row],[CurrentStock]]&lt;Table1[[#This Row],[ReorderLevel]],"Reorder","Okay")</f>
        <v>Okay</v>
      </c>
    </row>
    <row r="790" spans="1:15" x14ac:dyDescent="0.3">
      <c r="A790">
        <v>31301</v>
      </c>
      <c r="B790" t="s">
        <v>24</v>
      </c>
      <c r="C790" t="s">
        <v>31</v>
      </c>
      <c r="D790">
        <v>99</v>
      </c>
      <c r="E790">
        <v>50</v>
      </c>
      <c r="F790">
        <v>316.22000000000003</v>
      </c>
      <c r="G790" t="s">
        <v>33</v>
      </c>
      <c r="H790" s="1">
        <v>45330</v>
      </c>
      <c r="I790" s="1">
        <v>45363</v>
      </c>
      <c r="J790" t="s">
        <v>37</v>
      </c>
      <c r="K790" t="b">
        <f>Table1[[#This Row],[CurrentStock]]&lt;Table1[[#This Row],[ReorderLevel]]</f>
        <v>0</v>
      </c>
      <c r="L790" s="9">
        <f>Table1[[#This Row],[CurrentStock]]*Table1[[#This Row],[UnitPrice]]</f>
        <v>31305.780000000002</v>
      </c>
      <c r="M790" t="str">
        <f>IF(Table1[[#This Row],[ReorderLevel]]-Table1[[#This Row],[CurrentStock]]&gt;0,Table1[[#This Row],[ReorderLevel]]-Table1[[#This Row],[CurrentStock]],"")</f>
        <v/>
      </c>
      <c r="N790" t="str">
        <f>IF(Table1[[#This Row],[CurrentStock]]&gt;Table1[[#This Row],[ReorderLevel]]*3,"Over Stock","Okay")</f>
        <v>Okay</v>
      </c>
      <c r="O790" t="str">
        <f>IF(Table1[[#This Row],[CurrentStock]]&lt;Table1[[#This Row],[ReorderLevel]],"Reorder","Okay")</f>
        <v>Okay</v>
      </c>
    </row>
    <row r="791" spans="1:15" x14ac:dyDescent="0.3">
      <c r="A791">
        <v>32259</v>
      </c>
      <c r="B791" t="s">
        <v>19</v>
      </c>
      <c r="C791" t="s">
        <v>28</v>
      </c>
      <c r="D791">
        <v>242</v>
      </c>
      <c r="E791">
        <v>20</v>
      </c>
      <c r="F791">
        <v>215.27</v>
      </c>
      <c r="G791" t="s">
        <v>32</v>
      </c>
      <c r="H791" s="1">
        <v>45340</v>
      </c>
      <c r="I791" s="1">
        <v>45346</v>
      </c>
      <c r="J791" t="s">
        <v>37</v>
      </c>
      <c r="K791" t="b">
        <f>Table1[[#This Row],[CurrentStock]]&lt;Table1[[#This Row],[ReorderLevel]]</f>
        <v>0</v>
      </c>
      <c r="L791" s="9">
        <f>Table1[[#This Row],[CurrentStock]]*Table1[[#This Row],[UnitPrice]]</f>
        <v>52095.340000000004</v>
      </c>
      <c r="M791" t="str">
        <f>IF(Table1[[#This Row],[ReorderLevel]]-Table1[[#This Row],[CurrentStock]]&gt;0,Table1[[#This Row],[ReorderLevel]]-Table1[[#This Row],[CurrentStock]],"")</f>
        <v/>
      </c>
      <c r="N791" t="str">
        <f>IF(Table1[[#This Row],[CurrentStock]]&gt;Table1[[#This Row],[ReorderLevel]]*3,"Over Stock","Okay")</f>
        <v>Over Stock</v>
      </c>
      <c r="O791" t="str">
        <f>IF(Table1[[#This Row],[CurrentStock]]&lt;Table1[[#This Row],[ReorderLevel]],"Reorder","Okay")</f>
        <v>Okay</v>
      </c>
    </row>
    <row r="792" spans="1:15" x14ac:dyDescent="0.3">
      <c r="A792">
        <v>56202</v>
      </c>
      <c r="B792" t="s">
        <v>15</v>
      </c>
      <c r="C792" t="s">
        <v>29</v>
      </c>
      <c r="D792">
        <v>358</v>
      </c>
      <c r="E792">
        <v>30</v>
      </c>
      <c r="F792">
        <v>125.59</v>
      </c>
      <c r="G792" t="s">
        <v>36</v>
      </c>
      <c r="H792" s="1">
        <v>45293</v>
      </c>
      <c r="I792" s="1">
        <v>45316</v>
      </c>
      <c r="J792" t="s">
        <v>39</v>
      </c>
      <c r="K792" t="b">
        <f>Table1[[#This Row],[CurrentStock]]&lt;Table1[[#This Row],[ReorderLevel]]</f>
        <v>0</v>
      </c>
      <c r="L792" s="9">
        <f>Table1[[#This Row],[CurrentStock]]*Table1[[#This Row],[UnitPrice]]</f>
        <v>44961.22</v>
      </c>
      <c r="M792" t="str">
        <f>IF(Table1[[#This Row],[ReorderLevel]]-Table1[[#This Row],[CurrentStock]]&gt;0,Table1[[#This Row],[ReorderLevel]]-Table1[[#This Row],[CurrentStock]],"")</f>
        <v/>
      </c>
      <c r="N792" t="str">
        <f>IF(Table1[[#This Row],[CurrentStock]]&gt;Table1[[#This Row],[ReorderLevel]]*3,"Over Stock","Okay")</f>
        <v>Over Stock</v>
      </c>
      <c r="O792" t="str">
        <f>IF(Table1[[#This Row],[CurrentStock]]&lt;Table1[[#This Row],[ReorderLevel]],"Reorder","Okay")</f>
        <v>Okay</v>
      </c>
    </row>
    <row r="793" spans="1:15" x14ac:dyDescent="0.3">
      <c r="A793">
        <v>38036</v>
      </c>
      <c r="B793" t="s">
        <v>11</v>
      </c>
      <c r="C793" t="s">
        <v>27</v>
      </c>
      <c r="D793">
        <v>28</v>
      </c>
      <c r="E793">
        <v>150</v>
      </c>
      <c r="F793">
        <v>112.79</v>
      </c>
      <c r="G793" t="s">
        <v>35</v>
      </c>
      <c r="H793" s="1">
        <v>45303</v>
      </c>
      <c r="I793" s="1">
        <v>45342</v>
      </c>
      <c r="J793" t="s">
        <v>39</v>
      </c>
      <c r="K793" t="b">
        <f>Table1[[#This Row],[CurrentStock]]&lt;Table1[[#This Row],[ReorderLevel]]</f>
        <v>1</v>
      </c>
      <c r="L793" s="9">
        <f>Table1[[#This Row],[CurrentStock]]*Table1[[#This Row],[UnitPrice]]</f>
        <v>3158.1200000000003</v>
      </c>
      <c r="M793">
        <f>IF(Table1[[#This Row],[ReorderLevel]]-Table1[[#This Row],[CurrentStock]]&gt;0,Table1[[#This Row],[ReorderLevel]]-Table1[[#This Row],[CurrentStock]],"")</f>
        <v>122</v>
      </c>
      <c r="N793" t="str">
        <f>IF(Table1[[#This Row],[CurrentStock]]&gt;Table1[[#This Row],[ReorderLevel]]*3,"Over Stock","Okay")</f>
        <v>Okay</v>
      </c>
      <c r="O793" t="str">
        <f>IF(Table1[[#This Row],[CurrentStock]]&lt;Table1[[#This Row],[ReorderLevel]],"Reorder","Okay")</f>
        <v>Reorder</v>
      </c>
    </row>
    <row r="794" spans="1:15" x14ac:dyDescent="0.3">
      <c r="A794">
        <v>79603</v>
      </c>
      <c r="B794" t="s">
        <v>21</v>
      </c>
      <c r="C794" t="s">
        <v>31</v>
      </c>
      <c r="D794">
        <v>170</v>
      </c>
      <c r="E794">
        <v>20</v>
      </c>
      <c r="F794">
        <v>476.65</v>
      </c>
      <c r="G794" t="s">
        <v>34</v>
      </c>
      <c r="H794" s="1">
        <v>45653</v>
      </c>
      <c r="I794" s="1">
        <v>45666</v>
      </c>
      <c r="J794" t="s">
        <v>39</v>
      </c>
      <c r="K794" t="b">
        <f>Table1[[#This Row],[CurrentStock]]&lt;Table1[[#This Row],[ReorderLevel]]</f>
        <v>0</v>
      </c>
      <c r="L794" s="9">
        <f>Table1[[#This Row],[CurrentStock]]*Table1[[#This Row],[UnitPrice]]</f>
        <v>81030.5</v>
      </c>
      <c r="M794" t="str">
        <f>IF(Table1[[#This Row],[ReorderLevel]]-Table1[[#This Row],[CurrentStock]]&gt;0,Table1[[#This Row],[ReorderLevel]]-Table1[[#This Row],[CurrentStock]],"")</f>
        <v/>
      </c>
      <c r="N794" t="str">
        <f>IF(Table1[[#This Row],[CurrentStock]]&gt;Table1[[#This Row],[ReorderLevel]]*3,"Over Stock","Okay")</f>
        <v>Over Stock</v>
      </c>
      <c r="O794" t="str">
        <f>IF(Table1[[#This Row],[CurrentStock]]&lt;Table1[[#This Row],[ReorderLevel]],"Reorder","Okay")</f>
        <v>Okay</v>
      </c>
    </row>
    <row r="795" spans="1:15" x14ac:dyDescent="0.3">
      <c r="A795">
        <v>59833</v>
      </c>
      <c r="B795" t="s">
        <v>12</v>
      </c>
      <c r="C795" t="s">
        <v>28</v>
      </c>
      <c r="D795">
        <v>184</v>
      </c>
      <c r="E795">
        <v>80</v>
      </c>
      <c r="F795">
        <v>318.42</v>
      </c>
      <c r="G795" t="s">
        <v>36</v>
      </c>
      <c r="H795" s="1">
        <v>45434</v>
      </c>
      <c r="I795" s="1">
        <v>45444</v>
      </c>
      <c r="J795" t="s">
        <v>38</v>
      </c>
      <c r="K795" t="b">
        <f>Table1[[#This Row],[CurrentStock]]&lt;Table1[[#This Row],[ReorderLevel]]</f>
        <v>0</v>
      </c>
      <c r="L795" s="9">
        <f>Table1[[#This Row],[CurrentStock]]*Table1[[#This Row],[UnitPrice]]</f>
        <v>58589.280000000006</v>
      </c>
      <c r="M795" t="str">
        <f>IF(Table1[[#This Row],[ReorderLevel]]-Table1[[#This Row],[CurrentStock]]&gt;0,Table1[[#This Row],[ReorderLevel]]-Table1[[#This Row],[CurrentStock]],"")</f>
        <v/>
      </c>
      <c r="N795" t="str">
        <f>IF(Table1[[#This Row],[CurrentStock]]&gt;Table1[[#This Row],[ReorderLevel]]*3,"Over Stock","Okay")</f>
        <v>Okay</v>
      </c>
      <c r="O795" t="str">
        <f>IF(Table1[[#This Row],[CurrentStock]]&lt;Table1[[#This Row],[ReorderLevel]],"Reorder","Okay")</f>
        <v>Okay</v>
      </c>
    </row>
    <row r="796" spans="1:15" x14ac:dyDescent="0.3">
      <c r="A796">
        <v>10074</v>
      </c>
      <c r="B796" t="s">
        <v>17</v>
      </c>
      <c r="C796" t="s">
        <v>30</v>
      </c>
      <c r="D796">
        <v>81</v>
      </c>
      <c r="E796">
        <v>30</v>
      </c>
      <c r="F796">
        <v>77.319999999999993</v>
      </c>
      <c r="G796" t="s">
        <v>32</v>
      </c>
      <c r="H796" s="1">
        <v>45463</v>
      </c>
      <c r="I796" s="1">
        <v>45483</v>
      </c>
      <c r="J796" t="s">
        <v>38</v>
      </c>
      <c r="K796" t="b">
        <f>Table1[[#This Row],[CurrentStock]]&lt;Table1[[#This Row],[ReorderLevel]]</f>
        <v>0</v>
      </c>
      <c r="L796" s="9">
        <f>Table1[[#This Row],[CurrentStock]]*Table1[[#This Row],[UnitPrice]]</f>
        <v>6262.9199999999992</v>
      </c>
      <c r="M796" t="str">
        <f>IF(Table1[[#This Row],[ReorderLevel]]-Table1[[#This Row],[CurrentStock]]&gt;0,Table1[[#This Row],[ReorderLevel]]-Table1[[#This Row],[CurrentStock]],"")</f>
        <v/>
      </c>
      <c r="N796" t="str">
        <f>IF(Table1[[#This Row],[CurrentStock]]&gt;Table1[[#This Row],[ReorderLevel]]*3,"Over Stock","Okay")</f>
        <v>Okay</v>
      </c>
      <c r="O796" t="str">
        <f>IF(Table1[[#This Row],[CurrentStock]]&lt;Table1[[#This Row],[ReorderLevel]],"Reorder","Okay")</f>
        <v>Okay</v>
      </c>
    </row>
    <row r="797" spans="1:15" x14ac:dyDescent="0.3">
      <c r="A797">
        <v>33097</v>
      </c>
      <c r="B797" t="s">
        <v>21</v>
      </c>
      <c r="C797" t="s">
        <v>31</v>
      </c>
      <c r="D797">
        <v>361</v>
      </c>
      <c r="E797">
        <v>100</v>
      </c>
      <c r="F797">
        <v>13.37</v>
      </c>
      <c r="G797" t="s">
        <v>35</v>
      </c>
      <c r="H797" s="1">
        <v>45501</v>
      </c>
      <c r="I797" s="1">
        <v>45525</v>
      </c>
      <c r="J797" t="s">
        <v>37</v>
      </c>
      <c r="K797" t="b">
        <f>Table1[[#This Row],[CurrentStock]]&lt;Table1[[#This Row],[ReorderLevel]]</f>
        <v>0</v>
      </c>
      <c r="L797" s="9">
        <f>Table1[[#This Row],[CurrentStock]]*Table1[[#This Row],[UnitPrice]]</f>
        <v>4826.57</v>
      </c>
      <c r="M797" t="str">
        <f>IF(Table1[[#This Row],[ReorderLevel]]-Table1[[#This Row],[CurrentStock]]&gt;0,Table1[[#This Row],[ReorderLevel]]-Table1[[#This Row],[CurrentStock]],"")</f>
        <v/>
      </c>
      <c r="N797" t="str">
        <f>IF(Table1[[#This Row],[CurrentStock]]&gt;Table1[[#This Row],[ReorderLevel]]*3,"Over Stock","Okay")</f>
        <v>Over Stock</v>
      </c>
      <c r="O797" t="str">
        <f>IF(Table1[[#This Row],[CurrentStock]]&lt;Table1[[#This Row],[ReorderLevel]],"Reorder","Okay")</f>
        <v>Okay</v>
      </c>
    </row>
    <row r="798" spans="1:15" x14ac:dyDescent="0.3">
      <c r="A798">
        <v>39483</v>
      </c>
      <c r="B798" t="s">
        <v>17</v>
      </c>
      <c r="C798" t="s">
        <v>30</v>
      </c>
      <c r="D798">
        <v>374</v>
      </c>
      <c r="E798">
        <v>100</v>
      </c>
      <c r="F798">
        <v>341.05</v>
      </c>
      <c r="G798" t="s">
        <v>33</v>
      </c>
      <c r="H798" s="1">
        <v>45343</v>
      </c>
      <c r="I798" s="1">
        <v>45355</v>
      </c>
      <c r="J798" t="s">
        <v>37</v>
      </c>
      <c r="K798" t="b">
        <f>Table1[[#This Row],[CurrentStock]]&lt;Table1[[#This Row],[ReorderLevel]]</f>
        <v>0</v>
      </c>
      <c r="L798" s="9">
        <f>Table1[[#This Row],[CurrentStock]]*Table1[[#This Row],[UnitPrice]]</f>
        <v>127552.7</v>
      </c>
      <c r="M798" t="str">
        <f>IF(Table1[[#This Row],[ReorderLevel]]-Table1[[#This Row],[CurrentStock]]&gt;0,Table1[[#This Row],[ReorderLevel]]-Table1[[#This Row],[CurrentStock]],"")</f>
        <v/>
      </c>
      <c r="N798" t="str">
        <f>IF(Table1[[#This Row],[CurrentStock]]&gt;Table1[[#This Row],[ReorderLevel]]*3,"Over Stock","Okay")</f>
        <v>Over Stock</v>
      </c>
      <c r="O798" t="str">
        <f>IF(Table1[[#This Row],[CurrentStock]]&lt;Table1[[#This Row],[ReorderLevel]],"Reorder","Okay")</f>
        <v>Okay</v>
      </c>
    </row>
    <row r="799" spans="1:15" x14ac:dyDescent="0.3">
      <c r="A799">
        <v>44929</v>
      </c>
      <c r="B799" t="s">
        <v>16</v>
      </c>
      <c r="C799" t="s">
        <v>30</v>
      </c>
      <c r="D799">
        <v>44</v>
      </c>
      <c r="E799">
        <v>20</v>
      </c>
      <c r="F799">
        <v>35.57</v>
      </c>
      <c r="G799" t="s">
        <v>34</v>
      </c>
      <c r="H799" s="1">
        <v>45580</v>
      </c>
      <c r="I799" s="1">
        <v>45587</v>
      </c>
      <c r="J799" t="s">
        <v>37</v>
      </c>
      <c r="K799" t="b">
        <f>Table1[[#This Row],[CurrentStock]]&lt;Table1[[#This Row],[ReorderLevel]]</f>
        <v>0</v>
      </c>
      <c r="L799" s="9">
        <f>Table1[[#This Row],[CurrentStock]]*Table1[[#This Row],[UnitPrice]]</f>
        <v>1565.08</v>
      </c>
      <c r="M799" t="str">
        <f>IF(Table1[[#This Row],[ReorderLevel]]-Table1[[#This Row],[CurrentStock]]&gt;0,Table1[[#This Row],[ReorderLevel]]-Table1[[#This Row],[CurrentStock]],"")</f>
        <v/>
      </c>
      <c r="N799" t="str">
        <f>IF(Table1[[#This Row],[CurrentStock]]&gt;Table1[[#This Row],[ReorderLevel]]*3,"Over Stock","Okay")</f>
        <v>Okay</v>
      </c>
      <c r="O799" t="str">
        <f>IF(Table1[[#This Row],[CurrentStock]]&lt;Table1[[#This Row],[ReorderLevel]],"Reorder","Okay")</f>
        <v>Okay</v>
      </c>
    </row>
    <row r="800" spans="1:15" x14ac:dyDescent="0.3">
      <c r="A800">
        <v>71869</v>
      </c>
      <c r="B800" t="s">
        <v>15</v>
      </c>
      <c r="C800" t="s">
        <v>29</v>
      </c>
      <c r="D800">
        <v>184</v>
      </c>
      <c r="E800">
        <v>80</v>
      </c>
      <c r="F800">
        <v>48.76</v>
      </c>
      <c r="G800" t="s">
        <v>34</v>
      </c>
      <c r="H800" s="1">
        <v>45353</v>
      </c>
      <c r="I800" s="1">
        <v>45360</v>
      </c>
      <c r="J800" t="s">
        <v>37</v>
      </c>
      <c r="K800" t="b">
        <f>Table1[[#This Row],[CurrentStock]]&lt;Table1[[#This Row],[ReorderLevel]]</f>
        <v>0</v>
      </c>
      <c r="L800" s="9">
        <f>Table1[[#This Row],[CurrentStock]]*Table1[[#This Row],[UnitPrice]]</f>
        <v>8971.84</v>
      </c>
      <c r="M800" t="str">
        <f>IF(Table1[[#This Row],[ReorderLevel]]-Table1[[#This Row],[CurrentStock]]&gt;0,Table1[[#This Row],[ReorderLevel]]-Table1[[#This Row],[CurrentStock]],"")</f>
        <v/>
      </c>
      <c r="N800" t="str">
        <f>IF(Table1[[#This Row],[CurrentStock]]&gt;Table1[[#This Row],[ReorderLevel]]*3,"Over Stock","Okay")</f>
        <v>Okay</v>
      </c>
      <c r="O800" t="str">
        <f>IF(Table1[[#This Row],[CurrentStock]]&lt;Table1[[#This Row],[ReorderLevel]],"Reorder","Okay")</f>
        <v>Okay</v>
      </c>
    </row>
    <row r="801" spans="1:15" x14ac:dyDescent="0.3">
      <c r="A801">
        <v>91899</v>
      </c>
      <c r="B801" t="s">
        <v>20</v>
      </c>
      <c r="C801" t="s">
        <v>29</v>
      </c>
      <c r="D801">
        <v>230</v>
      </c>
      <c r="E801">
        <v>50</v>
      </c>
      <c r="F801">
        <v>73.180000000000007</v>
      </c>
      <c r="G801" t="s">
        <v>33</v>
      </c>
      <c r="H801" s="1">
        <v>45421</v>
      </c>
      <c r="I801" s="1">
        <v>45456</v>
      </c>
      <c r="J801" t="s">
        <v>39</v>
      </c>
      <c r="K801" t="b">
        <f>Table1[[#This Row],[CurrentStock]]&lt;Table1[[#This Row],[ReorderLevel]]</f>
        <v>0</v>
      </c>
      <c r="L801" s="9">
        <f>Table1[[#This Row],[CurrentStock]]*Table1[[#This Row],[UnitPrice]]</f>
        <v>16831.400000000001</v>
      </c>
      <c r="M801" t="str">
        <f>IF(Table1[[#This Row],[ReorderLevel]]-Table1[[#This Row],[CurrentStock]]&gt;0,Table1[[#This Row],[ReorderLevel]]-Table1[[#This Row],[CurrentStock]],"")</f>
        <v/>
      </c>
      <c r="N801" t="str">
        <f>IF(Table1[[#This Row],[CurrentStock]]&gt;Table1[[#This Row],[ReorderLevel]]*3,"Over Stock","Okay")</f>
        <v>Over Stock</v>
      </c>
      <c r="O801" t="str">
        <f>IF(Table1[[#This Row],[CurrentStock]]&lt;Table1[[#This Row],[ReorderLevel]],"Reorder","Okay")</f>
        <v>Okay</v>
      </c>
    </row>
    <row r="802" spans="1:15" x14ac:dyDescent="0.3">
      <c r="A802">
        <v>50097</v>
      </c>
      <c r="B802" t="s">
        <v>23</v>
      </c>
      <c r="C802" t="s">
        <v>30</v>
      </c>
      <c r="D802">
        <v>68</v>
      </c>
      <c r="E802">
        <v>30</v>
      </c>
      <c r="F802">
        <v>36.28</v>
      </c>
      <c r="G802" t="s">
        <v>36</v>
      </c>
      <c r="H802" s="1">
        <v>45621</v>
      </c>
      <c r="I802" s="1">
        <v>45650</v>
      </c>
      <c r="J802" t="s">
        <v>39</v>
      </c>
      <c r="K802" t="b">
        <f>Table1[[#This Row],[CurrentStock]]&lt;Table1[[#This Row],[ReorderLevel]]</f>
        <v>0</v>
      </c>
      <c r="L802" s="9">
        <f>Table1[[#This Row],[CurrentStock]]*Table1[[#This Row],[UnitPrice]]</f>
        <v>2467.04</v>
      </c>
      <c r="M802" t="str">
        <f>IF(Table1[[#This Row],[ReorderLevel]]-Table1[[#This Row],[CurrentStock]]&gt;0,Table1[[#This Row],[ReorderLevel]]-Table1[[#This Row],[CurrentStock]],"")</f>
        <v/>
      </c>
      <c r="N802" t="str">
        <f>IF(Table1[[#This Row],[CurrentStock]]&gt;Table1[[#This Row],[ReorderLevel]]*3,"Over Stock","Okay")</f>
        <v>Okay</v>
      </c>
      <c r="O802" t="str">
        <f>IF(Table1[[#This Row],[CurrentStock]]&lt;Table1[[#This Row],[ReorderLevel]],"Reorder","Okay")</f>
        <v>Okay</v>
      </c>
    </row>
    <row r="803" spans="1:15" x14ac:dyDescent="0.3">
      <c r="A803">
        <v>27194</v>
      </c>
      <c r="B803" t="s">
        <v>20</v>
      </c>
      <c r="C803" t="s">
        <v>29</v>
      </c>
      <c r="D803">
        <v>2</v>
      </c>
      <c r="E803">
        <v>30</v>
      </c>
      <c r="F803">
        <v>319.29000000000002</v>
      </c>
      <c r="G803" t="s">
        <v>34</v>
      </c>
      <c r="H803" s="1">
        <v>45344</v>
      </c>
      <c r="I803" s="1">
        <v>45354</v>
      </c>
      <c r="J803" t="s">
        <v>39</v>
      </c>
      <c r="K803" t="b">
        <f>Table1[[#This Row],[CurrentStock]]&lt;Table1[[#This Row],[ReorderLevel]]</f>
        <v>1</v>
      </c>
      <c r="L803" s="9">
        <f>Table1[[#This Row],[CurrentStock]]*Table1[[#This Row],[UnitPrice]]</f>
        <v>638.58000000000004</v>
      </c>
      <c r="M803">
        <f>IF(Table1[[#This Row],[ReorderLevel]]-Table1[[#This Row],[CurrentStock]]&gt;0,Table1[[#This Row],[ReorderLevel]]-Table1[[#This Row],[CurrentStock]],"")</f>
        <v>28</v>
      </c>
      <c r="N803" t="str">
        <f>IF(Table1[[#This Row],[CurrentStock]]&gt;Table1[[#This Row],[ReorderLevel]]*3,"Over Stock","Okay")</f>
        <v>Okay</v>
      </c>
      <c r="O803" t="str">
        <f>IF(Table1[[#This Row],[CurrentStock]]&lt;Table1[[#This Row],[ReorderLevel]],"Reorder","Okay")</f>
        <v>Reorder</v>
      </c>
    </row>
    <row r="804" spans="1:15" x14ac:dyDescent="0.3">
      <c r="A804">
        <v>12147</v>
      </c>
      <c r="B804" t="s">
        <v>12</v>
      </c>
      <c r="C804" t="s">
        <v>28</v>
      </c>
      <c r="D804">
        <v>203</v>
      </c>
      <c r="E804">
        <v>20</v>
      </c>
      <c r="F804">
        <v>358.9</v>
      </c>
      <c r="G804" t="s">
        <v>34</v>
      </c>
      <c r="H804" s="1">
        <v>45302</v>
      </c>
      <c r="I804" s="1">
        <v>45340</v>
      </c>
      <c r="J804" t="s">
        <v>39</v>
      </c>
      <c r="K804" t="b">
        <f>Table1[[#This Row],[CurrentStock]]&lt;Table1[[#This Row],[ReorderLevel]]</f>
        <v>0</v>
      </c>
      <c r="L804" s="9">
        <f>Table1[[#This Row],[CurrentStock]]*Table1[[#This Row],[UnitPrice]]</f>
        <v>72856.7</v>
      </c>
      <c r="M804" t="str">
        <f>IF(Table1[[#This Row],[ReorderLevel]]-Table1[[#This Row],[CurrentStock]]&gt;0,Table1[[#This Row],[ReorderLevel]]-Table1[[#This Row],[CurrentStock]],"")</f>
        <v/>
      </c>
      <c r="N804" t="str">
        <f>IF(Table1[[#This Row],[CurrentStock]]&gt;Table1[[#This Row],[ReorderLevel]]*3,"Over Stock","Okay")</f>
        <v>Over Stock</v>
      </c>
      <c r="O804" t="str">
        <f>IF(Table1[[#This Row],[CurrentStock]]&lt;Table1[[#This Row],[ReorderLevel]],"Reorder","Okay")</f>
        <v>Okay</v>
      </c>
    </row>
    <row r="805" spans="1:15" x14ac:dyDescent="0.3">
      <c r="A805">
        <v>19479</v>
      </c>
      <c r="B805" t="s">
        <v>14</v>
      </c>
      <c r="C805" t="s">
        <v>27</v>
      </c>
      <c r="D805">
        <v>180</v>
      </c>
      <c r="E805">
        <v>40</v>
      </c>
      <c r="F805">
        <v>227.59</v>
      </c>
      <c r="G805" t="s">
        <v>33</v>
      </c>
      <c r="H805" s="1">
        <v>45546</v>
      </c>
      <c r="I805" s="1">
        <v>45580</v>
      </c>
      <c r="J805" t="s">
        <v>37</v>
      </c>
      <c r="K805" t="b">
        <f>Table1[[#This Row],[CurrentStock]]&lt;Table1[[#This Row],[ReorderLevel]]</f>
        <v>0</v>
      </c>
      <c r="L805" s="9">
        <f>Table1[[#This Row],[CurrentStock]]*Table1[[#This Row],[UnitPrice]]</f>
        <v>40966.199999999997</v>
      </c>
      <c r="M805" t="str">
        <f>IF(Table1[[#This Row],[ReorderLevel]]-Table1[[#This Row],[CurrentStock]]&gt;0,Table1[[#This Row],[ReorderLevel]]-Table1[[#This Row],[CurrentStock]],"")</f>
        <v/>
      </c>
      <c r="N805" t="str">
        <f>IF(Table1[[#This Row],[CurrentStock]]&gt;Table1[[#This Row],[ReorderLevel]]*3,"Over Stock","Okay")</f>
        <v>Over Stock</v>
      </c>
      <c r="O805" t="str">
        <f>IF(Table1[[#This Row],[CurrentStock]]&lt;Table1[[#This Row],[ReorderLevel]],"Reorder","Okay")</f>
        <v>Okay</v>
      </c>
    </row>
    <row r="806" spans="1:15" x14ac:dyDescent="0.3">
      <c r="A806">
        <v>79959</v>
      </c>
      <c r="B806" t="s">
        <v>19</v>
      </c>
      <c r="C806" t="s">
        <v>28</v>
      </c>
      <c r="D806">
        <v>275</v>
      </c>
      <c r="E806">
        <v>20</v>
      </c>
      <c r="F806">
        <v>333.85</v>
      </c>
      <c r="G806" t="s">
        <v>32</v>
      </c>
      <c r="H806" s="1">
        <v>45622</v>
      </c>
      <c r="I806" s="1">
        <v>45641</v>
      </c>
      <c r="J806" t="s">
        <v>38</v>
      </c>
      <c r="K806" t="b">
        <f>Table1[[#This Row],[CurrentStock]]&lt;Table1[[#This Row],[ReorderLevel]]</f>
        <v>0</v>
      </c>
      <c r="L806" s="9">
        <f>Table1[[#This Row],[CurrentStock]]*Table1[[#This Row],[UnitPrice]]</f>
        <v>91808.75</v>
      </c>
      <c r="M806" t="str">
        <f>IF(Table1[[#This Row],[ReorderLevel]]-Table1[[#This Row],[CurrentStock]]&gt;0,Table1[[#This Row],[ReorderLevel]]-Table1[[#This Row],[CurrentStock]],"")</f>
        <v/>
      </c>
      <c r="N806" t="str">
        <f>IF(Table1[[#This Row],[CurrentStock]]&gt;Table1[[#This Row],[ReorderLevel]]*3,"Over Stock","Okay")</f>
        <v>Over Stock</v>
      </c>
      <c r="O806" t="str">
        <f>IF(Table1[[#This Row],[CurrentStock]]&lt;Table1[[#This Row],[ReorderLevel]],"Reorder","Okay")</f>
        <v>Okay</v>
      </c>
    </row>
    <row r="807" spans="1:15" x14ac:dyDescent="0.3">
      <c r="A807">
        <v>87990</v>
      </c>
      <c r="B807" t="s">
        <v>15</v>
      </c>
      <c r="C807" t="s">
        <v>29</v>
      </c>
      <c r="D807">
        <v>26</v>
      </c>
      <c r="E807">
        <v>100</v>
      </c>
      <c r="F807">
        <v>264.95</v>
      </c>
      <c r="G807" t="s">
        <v>34</v>
      </c>
      <c r="H807" s="1">
        <v>45461</v>
      </c>
      <c r="I807" s="1">
        <v>45494</v>
      </c>
      <c r="J807" t="s">
        <v>37</v>
      </c>
      <c r="K807" t="b">
        <f>Table1[[#This Row],[CurrentStock]]&lt;Table1[[#This Row],[ReorderLevel]]</f>
        <v>1</v>
      </c>
      <c r="L807" s="9">
        <f>Table1[[#This Row],[CurrentStock]]*Table1[[#This Row],[UnitPrice]]</f>
        <v>6888.7</v>
      </c>
      <c r="M807">
        <f>IF(Table1[[#This Row],[ReorderLevel]]-Table1[[#This Row],[CurrentStock]]&gt;0,Table1[[#This Row],[ReorderLevel]]-Table1[[#This Row],[CurrentStock]],"")</f>
        <v>74</v>
      </c>
      <c r="N807" t="str">
        <f>IF(Table1[[#This Row],[CurrentStock]]&gt;Table1[[#This Row],[ReorderLevel]]*3,"Over Stock","Okay")</f>
        <v>Okay</v>
      </c>
      <c r="O807" t="str">
        <f>IF(Table1[[#This Row],[CurrentStock]]&lt;Table1[[#This Row],[ReorderLevel]],"Reorder","Okay")</f>
        <v>Reorder</v>
      </c>
    </row>
    <row r="808" spans="1:15" x14ac:dyDescent="0.3">
      <c r="A808">
        <v>47387</v>
      </c>
      <c r="B808" t="s">
        <v>19</v>
      </c>
      <c r="C808" t="s">
        <v>28</v>
      </c>
      <c r="D808">
        <v>228</v>
      </c>
      <c r="E808">
        <v>40</v>
      </c>
      <c r="F808">
        <v>138.25</v>
      </c>
      <c r="G808" t="s">
        <v>36</v>
      </c>
      <c r="H808" s="1">
        <v>45307</v>
      </c>
      <c r="I808" s="1">
        <v>45334</v>
      </c>
      <c r="J808" t="s">
        <v>39</v>
      </c>
      <c r="K808" t="b">
        <f>Table1[[#This Row],[CurrentStock]]&lt;Table1[[#This Row],[ReorderLevel]]</f>
        <v>0</v>
      </c>
      <c r="L808" s="9">
        <f>Table1[[#This Row],[CurrentStock]]*Table1[[#This Row],[UnitPrice]]</f>
        <v>31521</v>
      </c>
      <c r="M808" t="str">
        <f>IF(Table1[[#This Row],[ReorderLevel]]-Table1[[#This Row],[CurrentStock]]&gt;0,Table1[[#This Row],[ReorderLevel]]-Table1[[#This Row],[CurrentStock]],"")</f>
        <v/>
      </c>
      <c r="N808" t="str">
        <f>IF(Table1[[#This Row],[CurrentStock]]&gt;Table1[[#This Row],[ReorderLevel]]*3,"Over Stock","Okay")</f>
        <v>Over Stock</v>
      </c>
      <c r="O808" t="str">
        <f>IF(Table1[[#This Row],[CurrentStock]]&lt;Table1[[#This Row],[ReorderLevel]],"Reorder","Okay")</f>
        <v>Okay</v>
      </c>
    </row>
    <row r="809" spans="1:15" x14ac:dyDescent="0.3">
      <c r="A809">
        <v>40988</v>
      </c>
      <c r="B809" t="s">
        <v>10</v>
      </c>
      <c r="C809" t="s">
        <v>27</v>
      </c>
      <c r="D809">
        <v>452</v>
      </c>
      <c r="E809">
        <v>20</v>
      </c>
      <c r="F809">
        <v>210.74</v>
      </c>
      <c r="G809" t="s">
        <v>34</v>
      </c>
      <c r="H809" s="1">
        <v>45313</v>
      </c>
      <c r="I809" s="1">
        <v>45332</v>
      </c>
      <c r="J809" t="s">
        <v>37</v>
      </c>
      <c r="K809" t="b">
        <f>Table1[[#This Row],[CurrentStock]]&lt;Table1[[#This Row],[ReorderLevel]]</f>
        <v>0</v>
      </c>
      <c r="L809" s="9">
        <f>Table1[[#This Row],[CurrentStock]]*Table1[[#This Row],[UnitPrice]]</f>
        <v>95254.48000000001</v>
      </c>
      <c r="M809" t="str">
        <f>IF(Table1[[#This Row],[ReorderLevel]]-Table1[[#This Row],[CurrentStock]]&gt;0,Table1[[#This Row],[ReorderLevel]]-Table1[[#This Row],[CurrentStock]],"")</f>
        <v/>
      </c>
      <c r="N809" t="str">
        <f>IF(Table1[[#This Row],[CurrentStock]]&gt;Table1[[#This Row],[ReorderLevel]]*3,"Over Stock","Okay")</f>
        <v>Over Stock</v>
      </c>
      <c r="O809" t="str">
        <f>IF(Table1[[#This Row],[CurrentStock]]&lt;Table1[[#This Row],[ReorderLevel]],"Reorder","Okay")</f>
        <v>Okay</v>
      </c>
    </row>
    <row r="810" spans="1:15" x14ac:dyDescent="0.3">
      <c r="A810">
        <v>75305</v>
      </c>
      <c r="B810" t="s">
        <v>13</v>
      </c>
      <c r="C810" t="s">
        <v>29</v>
      </c>
      <c r="D810">
        <v>352</v>
      </c>
      <c r="E810">
        <v>40</v>
      </c>
      <c r="F810">
        <v>352.07</v>
      </c>
      <c r="G810" t="s">
        <v>36</v>
      </c>
      <c r="H810" s="1">
        <v>45408</v>
      </c>
      <c r="I810" s="1">
        <v>45442</v>
      </c>
      <c r="J810" t="s">
        <v>38</v>
      </c>
      <c r="K810" t="b">
        <f>Table1[[#This Row],[CurrentStock]]&lt;Table1[[#This Row],[ReorderLevel]]</f>
        <v>0</v>
      </c>
      <c r="L810" s="9">
        <f>Table1[[#This Row],[CurrentStock]]*Table1[[#This Row],[UnitPrice]]</f>
        <v>123928.64</v>
      </c>
      <c r="M810" t="str">
        <f>IF(Table1[[#This Row],[ReorderLevel]]-Table1[[#This Row],[CurrentStock]]&gt;0,Table1[[#This Row],[ReorderLevel]]-Table1[[#This Row],[CurrentStock]],"")</f>
        <v/>
      </c>
      <c r="N810" t="str">
        <f>IF(Table1[[#This Row],[CurrentStock]]&gt;Table1[[#This Row],[ReorderLevel]]*3,"Over Stock","Okay")</f>
        <v>Over Stock</v>
      </c>
      <c r="O810" t="str">
        <f>IF(Table1[[#This Row],[CurrentStock]]&lt;Table1[[#This Row],[ReorderLevel]],"Reorder","Okay")</f>
        <v>Okay</v>
      </c>
    </row>
    <row r="811" spans="1:15" x14ac:dyDescent="0.3">
      <c r="A811">
        <v>96673</v>
      </c>
      <c r="B811" t="s">
        <v>12</v>
      </c>
      <c r="C811" t="s">
        <v>28</v>
      </c>
      <c r="D811">
        <v>175</v>
      </c>
      <c r="E811">
        <v>20</v>
      </c>
      <c r="F811">
        <v>69.680000000000007</v>
      </c>
      <c r="G811" t="s">
        <v>32</v>
      </c>
      <c r="H811" s="1">
        <v>45425</v>
      </c>
      <c r="I811" s="1">
        <v>45453</v>
      </c>
      <c r="J811" t="s">
        <v>37</v>
      </c>
      <c r="K811" t="b">
        <f>Table1[[#This Row],[CurrentStock]]&lt;Table1[[#This Row],[ReorderLevel]]</f>
        <v>0</v>
      </c>
      <c r="L811" s="9">
        <f>Table1[[#This Row],[CurrentStock]]*Table1[[#This Row],[UnitPrice]]</f>
        <v>12194.000000000002</v>
      </c>
      <c r="M811" t="str">
        <f>IF(Table1[[#This Row],[ReorderLevel]]-Table1[[#This Row],[CurrentStock]]&gt;0,Table1[[#This Row],[ReorderLevel]]-Table1[[#This Row],[CurrentStock]],"")</f>
        <v/>
      </c>
      <c r="N811" t="str">
        <f>IF(Table1[[#This Row],[CurrentStock]]&gt;Table1[[#This Row],[ReorderLevel]]*3,"Over Stock","Okay")</f>
        <v>Over Stock</v>
      </c>
      <c r="O811" t="str">
        <f>IF(Table1[[#This Row],[CurrentStock]]&lt;Table1[[#This Row],[ReorderLevel]],"Reorder","Okay")</f>
        <v>Okay</v>
      </c>
    </row>
    <row r="812" spans="1:15" x14ac:dyDescent="0.3">
      <c r="A812">
        <v>90021</v>
      </c>
      <c r="B812" t="s">
        <v>14</v>
      </c>
      <c r="C812" t="s">
        <v>27</v>
      </c>
      <c r="D812">
        <v>272</v>
      </c>
      <c r="E812">
        <v>150</v>
      </c>
      <c r="F812">
        <v>112.77</v>
      </c>
      <c r="G812" t="s">
        <v>33</v>
      </c>
      <c r="H812" s="1">
        <v>45477</v>
      </c>
      <c r="I812" s="1">
        <v>45487</v>
      </c>
      <c r="J812" t="s">
        <v>38</v>
      </c>
      <c r="K812" t="b">
        <f>Table1[[#This Row],[CurrentStock]]&lt;Table1[[#This Row],[ReorderLevel]]</f>
        <v>0</v>
      </c>
      <c r="L812" s="9">
        <f>Table1[[#This Row],[CurrentStock]]*Table1[[#This Row],[UnitPrice]]</f>
        <v>30673.439999999999</v>
      </c>
      <c r="M812" t="str">
        <f>IF(Table1[[#This Row],[ReorderLevel]]-Table1[[#This Row],[CurrentStock]]&gt;0,Table1[[#This Row],[ReorderLevel]]-Table1[[#This Row],[CurrentStock]],"")</f>
        <v/>
      </c>
      <c r="N812" t="str">
        <f>IF(Table1[[#This Row],[CurrentStock]]&gt;Table1[[#This Row],[ReorderLevel]]*3,"Over Stock","Okay")</f>
        <v>Okay</v>
      </c>
      <c r="O812" t="str">
        <f>IF(Table1[[#This Row],[CurrentStock]]&lt;Table1[[#This Row],[ReorderLevel]],"Reorder","Okay")</f>
        <v>Okay</v>
      </c>
    </row>
    <row r="813" spans="1:15" x14ac:dyDescent="0.3">
      <c r="A813">
        <v>32760</v>
      </c>
      <c r="B813" t="s">
        <v>22</v>
      </c>
      <c r="C813" t="s">
        <v>27</v>
      </c>
      <c r="D813">
        <v>397</v>
      </c>
      <c r="E813">
        <v>100</v>
      </c>
      <c r="F813">
        <v>449.84</v>
      </c>
      <c r="G813" t="s">
        <v>33</v>
      </c>
      <c r="H813" s="1">
        <v>45395</v>
      </c>
      <c r="I813" s="1">
        <v>45424</v>
      </c>
      <c r="J813" t="s">
        <v>37</v>
      </c>
      <c r="K813" t="b">
        <f>Table1[[#This Row],[CurrentStock]]&lt;Table1[[#This Row],[ReorderLevel]]</f>
        <v>0</v>
      </c>
      <c r="L813" s="9">
        <f>Table1[[#This Row],[CurrentStock]]*Table1[[#This Row],[UnitPrice]]</f>
        <v>178586.47999999998</v>
      </c>
      <c r="M813" t="str">
        <f>IF(Table1[[#This Row],[ReorderLevel]]-Table1[[#This Row],[CurrentStock]]&gt;0,Table1[[#This Row],[ReorderLevel]]-Table1[[#This Row],[CurrentStock]],"")</f>
        <v/>
      </c>
      <c r="N813" t="str">
        <f>IF(Table1[[#This Row],[CurrentStock]]&gt;Table1[[#This Row],[ReorderLevel]]*3,"Over Stock","Okay")</f>
        <v>Over Stock</v>
      </c>
      <c r="O813" t="str">
        <f>IF(Table1[[#This Row],[CurrentStock]]&lt;Table1[[#This Row],[ReorderLevel]],"Reorder","Okay")</f>
        <v>Okay</v>
      </c>
    </row>
    <row r="814" spans="1:15" x14ac:dyDescent="0.3">
      <c r="A814">
        <v>23362</v>
      </c>
      <c r="B814" t="s">
        <v>20</v>
      </c>
      <c r="C814" t="s">
        <v>29</v>
      </c>
      <c r="D814">
        <v>78</v>
      </c>
      <c r="E814">
        <v>50</v>
      </c>
      <c r="F814">
        <v>206.13</v>
      </c>
      <c r="G814" t="s">
        <v>33</v>
      </c>
      <c r="H814" s="1">
        <v>45560</v>
      </c>
      <c r="I814" s="1">
        <v>45598</v>
      </c>
      <c r="J814" t="s">
        <v>39</v>
      </c>
      <c r="K814" t="b">
        <f>Table1[[#This Row],[CurrentStock]]&lt;Table1[[#This Row],[ReorderLevel]]</f>
        <v>0</v>
      </c>
      <c r="L814" s="9">
        <f>Table1[[#This Row],[CurrentStock]]*Table1[[#This Row],[UnitPrice]]</f>
        <v>16078.14</v>
      </c>
      <c r="M814" t="str">
        <f>IF(Table1[[#This Row],[ReorderLevel]]-Table1[[#This Row],[CurrentStock]]&gt;0,Table1[[#This Row],[ReorderLevel]]-Table1[[#This Row],[CurrentStock]],"")</f>
        <v/>
      </c>
      <c r="N814" t="str">
        <f>IF(Table1[[#This Row],[CurrentStock]]&gt;Table1[[#This Row],[ReorderLevel]]*3,"Over Stock","Okay")</f>
        <v>Okay</v>
      </c>
      <c r="O814" t="str">
        <f>IF(Table1[[#This Row],[CurrentStock]]&lt;Table1[[#This Row],[ReorderLevel]],"Reorder","Okay")</f>
        <v>Okay</v>
      </c>
    </row>
    <row r="815" spans="1:15" x14ac:dyDescent="0.3">
      <c r="A815">
        <v>77906</v>
      </c>
      <c r="B815" t="s">
        <v>15</v>
      </c>
      <c r="C815" t="s">
        <v>29</v>
      </c>
      <c r="D815">
        <v>130</v>
      </c>
      <c r="E815">
        <v>150</v>
      </c>
      <c r="F815">
        <v>18.97</v>
      </c>
      <c r="G815" t="s">
        <v>33</v>
      </c>
      <c r="H815" s="1">
        <v>45617</v>
      </c>
      <c r="I815" s="1">
        <v>45640</v>
      </c>
      <c r="J815" t="s">
        <v>38</v>
      </c>
      <c r="K815" t="b">
        <f>Table1[[#This Row],[CurrentStock]]&lt;Table1[[#This Row],[ReorderLevel]]</f>
        <v>1</v>
      </c>
      <c r="L815" s="9">
        <f>Table1[[#This Row],[CurrentStock]]*Table1[[#This Row],[UnitPrice]]</f>
        <v>2466.1</v>
      </c>
      <c r="M815">
        <f>IF(Table1[[#This Row],[ReorderLevel]]-Table1[[#This Row],[CurrentStock]]&gt;0,Table1[[#This Row],[ReorderLevel]]-Table1[[#This Row],[CurrentStock]],"")</f>
        <v>20</v>
      </c>
      <c r="N815" t="str">
        <f>IF(Table1[[#This Row],[CurrentStock]]&gt;Table1[[#This Row],[ReorderLevel]]*3,"Over Stock","Okay")</f>
        <v>Okay</v>
      </c>
      <c r="O815" t="str">
        <f>IF(Table1[[#This Row],[CurrentStock]]&lt;Table1[[#This Row],[ReorderLevel]],"Reorder","Okay")</f>
        <v>Reorder</v>
      </c>
    </row>
    <row r="816" spans="1:15" x14ac:dyDescent="0.3">
      <c r="A816">
        <v>79211</v>
      </c>
      <c r="B816" t="s">
        <v>18</v>
      </c>
      <c r="C816" t="s">
        <v>28</v>
      </c>
      <c r="D816">
        <v>322</v>
      </c>
      <c r="E816">
        <v>40</v>
      </c>
      <c r="F816">
        <v>148.27000000000001</v>
      </c>
      <c r="G816" t="s">
        <v>36</v>
      </c>
      <c r="H816" s="1">
        <v>45420</v>
      </c>
      <c r="I816" s="1">
        <v>45451</v>
      </c>
      <c r="J816" t="s">
        <v>39</v>
      </c>
      <c r="K816" t="b">
        <f>Table1[[#This Row],[CurrentStock]]&lt;Table1[[#This Row],[ReorderLevel]]</f>
        <v>0</v>
      </c>
      <c r="L816" s="9">
        <f>Table1[[#This Row],[CurrentStock]]*Table1[[#This Row],[UnitPrice]]</f>
        <v>47742.94</v>
      </c>
      <c r="M816" t="str">
        <f>IF(Table1[[#This Row],[ReorderLevel]]-Table1[[#This Row],[CurrentStock]]&gt;0,Table1[[#This Row],[ReorderLevel]]-Table1[[#This Row],[CurrentStock]],"")</f>
        <v/>
      </c>
      <c r="N816" t="str">
        <f>IF(Table1[[#This Row],[CurrentStock]]&gt;Table1[[#This Row],[ReorderLevel]]*3,"Over Stock","Okay")</f>
        <v>Over Stock</v>
      </c>
      <c r="O816" t="str">
        <f>IF(Table1[[#This Row],[CurrentStock]]&lt;Table1[[#This Row],[ReorderLevel]],"Reorder","Okay")</f>
        <v>Okay</v>
      </c>
    </row>
    <row r="817" spans="1:15" x14ac:dyDescent="0.3">
      <c r="A817">
        <v>78706</v>
      </c>
      <c r="B817" t="s">
        <v>10</v>
      </c>
      <c r="C817" t="s">
        <v>27</v>
      </c>
      <c r="D817">
        <v>296</v>
      </c>
      <c r="E817">
        <v>30</v>
      </c>
      <c r="F817">
        <v>17.21</v>
      </c>
      <c r="G817" t="s">
        <v>34</v>
      </c>
      <c r="H817" s="1">
        <v>45499</v>
      </c>
      <c r="I817" s="1">
        <v>45527</v>
      </c>
      <c r="J817" t="s">
        <v>38</v>
      </c>
      <c r="K817" t="b">
        <f>Table1[[#This Row],[CurrentStock]]&lt;Table1[[#This Row],[ReorderLevel]]</f>
        <v>0</v>
      </c>
      <c r="L817" s="9">
        <f>Table1[[#This Row],[CurrentStock]]*Table1[[#This Row],[UnitPrice]]</f>
        <v>5094.16</v>
      </c>
      <c r="M817" t="str">
        <f>IF(Table1[[#This Row],[ReorderLevel]]-Table1[[#This Row],[CurrentStock]]&gt;0,Table1[[#This Row],[ReorderLevel]]-Table1[[#This Row],[CurrentStock]],"")</f>
        <v/>
      </c>
      <c r="N817" t="str">
        <f>IF(Table1[[#This Row],[CurrentStock]]&gt;Table1[[#This Row],[ReorderLevel]]*3,"Over Stock","Okay")</f>
        <v>Over Stock</v>
      </c>
      <c r="O817" t="str">
        <f>IF(Table1[[#This Row],[CurrentStock]]&lt;Table1[[#This Row],[ReorderLevel]],"Reorder","Okay")</f>
        <v>Okay</v>
      </c>
    </row>
    <row r="818" spans="1:15" x14ac:dyDescent="0.3">
      <c r="A818">
        <v>57657</v>
      </c>
      <c r="B818" t="s">
        <v>21</v>
      </c>
      <c r="C818" t="s">
        <v>31</v>
      </c>
      <c r="D818">
        <v>28</v>
      </c>
      <c r="E818">
        <v>40</v>
      </c>
      <c r="F818">
        <v>319.45999999999998</v>
      </c>
      <c r="G818" t="s">
        <v>35</v>
      </c>
      <c r="H818" s="1">
        <v>45434</v>
      </c>
      <c r="I818" s="1">
        <v>45469</v>
      </c>
      <c r="J818" t="s">
        <v>38</v>
      </c>
      <c r="K818" t="b">
        <f>Table1[[#This Row],[CurrentStock]]&lt;Table1[[#This Row],[ReorderLevel]]</f>
        <v>1</v>
      </c>
      <c r="L818" s="9">
        <f>Table1[[#This Row],[CurrentStock]]*Table1[[#This Row],[UnitPrice]]</f>
        <v>8944.8799999999992</v>
      </c>
      <c r="M818">
        <f>IF(Table1[[#This Row],[ReorderLevel]]-Table1[[#This Row],[CurrentStock]]&gt;0,Table1[[#This Row],[ReorderLevel]]-Table1[[#This Row],[CurrentStock]],"")</f>
        <v>12</v>
      </c>
      <c r="N818" t="str">
        <f>IF(Table1[[#This Row],[CurrentStock]]&gt;Table1[[#This Row],[ReorderLevel]]*3,"Over Stock","Okay")</f>
        <v>Okay</v>
      </c>
      <c r="O818" t="str">
        <f>IF(Table1[[#This Row],[CurrentStock]]&lt;Table1[[#This Row],[ReorderLevel]],"Reorder","Okay")</f>
        <v>Reorder</v>
      </c>
    </row>
    <row r="819" spans="1:15" x14ac:dyDescent="0.3">
      <c r="A819">
        <v>69557</v>
      </c>
      <c r="B819" t="s">
        <v>24</v>
      </c>
      <c r="C819" t="s">
        <v>31</v>
      </c>
      <c r="D819">
        <v>191</v>
      </c>
      <c r="E819">
        <v>40</v>
      </c>
      <c r="F819">
        <v>172.56</v>
      </c>
      <c r="G819" t="s">
        <v>32</v>
      </c>
      <c r="H819" s="1">
        <v>45506</v>
      </c>
      <c r="I819" s="1">
        <v>45512</v>
      </c>
      <c r="J819" t="s">
        <v>39</v>
      </c>
      <c r="K819" t="b">
        <f>Table1[[#This Row],[CurrentStock]]&lt;Table1[[#This Row],[ReorderLevel]]</f>
        <v>0</v>
      </c>
      <c r="L819" s="9">
        <f>Table1[[#This Row],[CurrentStock]]*Table1[[#This Row],[UnitPrice]]</f>
        <v>32958.959999999999</v>
      </c>
      <c r="M819" t="str">
        <f>IF(Table1[[#This Row],[ReorderLevel]]-Table1[[#This Row],[CurrentStock]]&gt;0,Table1[[#This Row],[ReorderLevel]]-Table1[[#This Row],[CurrentStock]],"")</f>
        <v/>
      </c>
      <c r="N819" t="str">
        <f>IF(Table1[[#This Row],[CurrentStock]]&gt;Table1[[#This Row],[ReorderLevel]]*3,"Over Stock","Okay")</f>
        <v>Over Stock</v>
      </c>
      <c r="O819" t="str">
        <f>IF(Table1[[#This Row],[CurrentStock]]&lt;Table1[[#This Row],[ReorderLevel]],"Reorder","Okay")</f>
        <v>Okay</v>
      </c>
    </row>
    <row r="820" spans="1:15" x14ac:dyDescent="0.3">
      <c r="A820">
        <v>38561</v>
      </c>
      <c r="B820" t="s">
        <v>16</v>
      </c>
      <c r="C820" t="s">
        <v>30</v>
      </c>
      <c r="D820">
        <v>333</v>
      </c>
      <c r="E820">
        <v>20</v>
      </c>
      <c r="F820">
        <v>20.6</v>
      </c>
      <c r="G820" t="s">
        <v>35</v>
      </c>
      <c r="H820" s="1">
        <v>45614</v>
      </c>
      <c r="I820" s="1">
        <v>45644</v>
      </c>
      <c r="J820" t="s">
        <v>39</v>
      </c>
      <c r="K820" t="b">
        <f>Table1[[#This Row],[CurrentStock]]&lt;Table1[[#This Row],[ReorderLevel]]</f>
        <v>0</v>
      </c>
      <c r="L820" s="9">
        <f>Table1[[#This Row],[CurrentStock]]*Table1[[#This Row],[UnitPrice]]</f>
        <v>6859.8</v>
      </c>
      <c r="M820" t="str">
        <f>IF(Table1[[#This Row],[ReorderLevel]]-Table1[[#This Row],[CurrentStock]]&gt;0,Table1[[#This Row],[ReorderLevel]]-Table1[[#This Row],[CurrentStock]],"")</f>
        <v/>
      </c>
      <c r="N820" t="str">
        <f>IF(Table1[[#This Row],[CurrentStock]]&gt;Table1[[#This Row],[ReorderLevel]]*3,"Over Stock","Okay")</f>
        <v>Over Stock</v>
      </c>
      <c r="O820" t="str">
        <f>IF(Table1[[#This Row],[CurrentStock]]&lt;Table1[[#This Row],[ReorderLevel]],"Reorder","Okay")</f>
        <v>Okay</v>
      </c>
    </row>
    <row r="821" spans="1:15" x14ac:dyDescent="0.3">
      <c r="A821">
        <v>54460</v>
      </c>
      <c r="B821" t="s">
        <v>26</v>
      </c>
      <c r="C821" t="s">
        <v>30</v>
      </c>
      <c r="D821">
        <v>320</v>
      </c>
      <c r="E821">
        <v>80</v>
      </c>
      <c r="F821">
        <v>422.87</v>
      </c>
      <c r="G821" t="s">
        <v>35</v>
      </c>
      <c r="H821" s="1">
        <v>45489</v>
      </c>
      <c r="I821" s="1">
        <v>45521</v>
      </c>
      <c r="J821" t="s">
        <v>38</v>
      </c>
      <c r="K821" t="b">
        <f>Table1[[#This Row],[CurrentStock]]&lt;Table1[[#This Row],[ReorderLevel]]</f>
        <v>0</v>
      </c>
      <c r="L821" s="9">
        <f>Table1[[#This Row],[CurrentStock]]*Table1[[#This Row],[UnitPrice]]</f>
        <v>135318.39999999999</v>
      </c>
      <c r="M821" t="str">
        <f>IF(Table1[[#This Row],[ReorderLevel]]-Table1[[#This Row],[CurrentStock]]&gt;0,Table1[[#This Row],[ReorderLevel]]-Table1[[#This Row],[CurrentStock]],"")</f>
        <v/>
      </c>
      <c r="N821" t="str">
        <f>IF(Table1[[#This Row],[CurrentStock]]&gt;Table1[[#This Row],[ReorderLevel]]*3,"Over Stock","Okay")</f>
        <v>Over Stock</v>
      </c>
      <c r="O821" t="str">
        <f>IF(Table1[[#This Row],[CurrentStock]]&lt;Table1[[#This Row],[ReorderLevel]],"Reorder","Okay")</f>
        <v>Okay</v>
      </c>
    </row>
    <row r="822" spans="1:15" x14ac:dyDescent="0.3">
      <c r="A822">
        <v>70663</v>
      </c>
      <c r="B822" t="s">
        <v>15</v>
      </c>
      <c r="C822" t="s">
        <v>29</v>
      </c>
      <c r="D822">
        <v>243</v>
      </c>
      <c r="E822">
        <v>40</v>
      </c>
      <c r="F822">
        <v>413.64</v>
      </c>
      <c r="G822" t="s">
        <v>36</v>
      </c>
      <c r="H822" s="1">
        <v>45495</v>
      </c>
      <c r="I822" s="1">
        <v>45501</v>
      </c>
      <c r="J822" t="s">
        <v>37</v>
      </c>
      <c r="K822" t="b">
        <f>Table1[[#This Row],[CurrentStock]]&lt;Table1[[#This Row],[ReorderLevel]]</f>
        <v>0</v>
      </c>
      <c r="L822" s="9">
        <f>Table1[[#This Row],[CurrentStock]]*Table1[[#This Row],[UnitPrice]]</f>
        <v>100514.51999999999</v>
      </c>
      <c r="M822" t="str">
        <f>IF(Table1[[#This Row],[ReorderLevel]]-Table1[[#This Row],[CurrentStock]]&gt;0,Table1[[#This Row],[ReorderLevel]]-Table1[[#This Row],[CurrentStock]],"")</f>
        <v/>
      </c>
      <c r="N822" t="str">
        <f>IF(Table1[[#This Row],[CurrentStock]]&gt;Table1[[#This Row],[ReorderLevel]]*3,"Over Stock","Okay")</f>
        <v>Over Stock</v>
      </c>
      <c r="O822" t="str">
        <f>IF(Table1[[#This Row],[CurrentStock]]&lt;Table1[[#This Row],[ReorderLevel]],"Reorder","Okay")</f>
        <v>Okay</v>
      </c>
    </row>
    <row r="823" spans="1:15" x14ac:dyDescent="0.3">
      <c r="A823">
        <v>84400</v>
      </c>
      <c r="B823" t="s">
        <v>16</v>
      </c>
      <c r="C823" t="s">
        <v>30</v>
      </c>
      <c r="D823">
        <v>68</v>
      </c>
      <c r="E823">
        <v>40</v>
      </c>
      <c r="F823">
        <v>285.88</v>
      </c>
      <c r="G823" t="s">
        <v>36</v>
      </c>
      <c r="H823" s="1">
        <v>45507</v>
      </c>
      <c r="I823" s="1">
        <v>45542</v>
      </c>
      <c r="J823" t="s">
        <v>38</v>
      </c>
      <c r="K823" t="b">
        <f>Table1[[#This Row],[CurrentStock]]&lt;Table1[[#This Row],[ReorderLevel]]</f>
        <v>0</v>
      </c>
      <c r="L823" s="9">
        <f>Table1[[#This Row],[CurrentStock]]*Table1[[#This Row],[UnitPrice]]</f>
        <v>19439.84</v>
      </c>
      <c r="M823" t="str">
        <f>IF(Table1[[#This Row],[ReorderLevel]]-Table1[[#This Row],[CurrentStock]]&gt;0,Table1[[#This Row],[ReorderLevel]]-Table1[[#This Row],[CurrentStock]],"")</f>
        <v/>
      </c>
      <c r="N823" t="str">
        <f>IF(Table1[[#This Row],[CurrentStock]]&gt;Table1[[#This Row],[ReorderLevel]]*3,"Over Stock","Okay")</f>
        <v>Okay</v>
      </c>
      <c r="O823" t="str">
        <f>IF(Table1[[#This Row],[CurrentStock]]&lt;Table1[[#This Row],[ReorderLevel]],"Reorder","Okay")</f>
        <v>Okay</v>
      </c>
    </row>
    <row r="824" spans="1:15" x14ac:dyDescent="0.3">
      <c r="A824">
        <v>78322</v>
      </c>
      <c r="B824" t="s">
        <v>11</v>
      </c>
      <c r="C824" t="s">
        <v>27</v>
      </c>
      <c r="D824">
        <v>30</v>
      </c>
      <c r="E824">
        <v>40</v>
      </c>
      <c r="F824">
        <v>75.819999999999993</v>
      </c>
      <c r="G824" t="s">
        <v>33</v>
      </c>
      <c r="H824" s="1">
        <v>45421</v>
      </c>
      <c r="I824" s="1">
        <v>45452</v>
      </c>
      <c r="J824" t="s">
        <v>38</v>
      </c>
      <c r="K824" t="b">
        <f>Table1[[#This Row],[CurrentStock]]&lt;Table1[[#This Row],[ReorderLevel]]</f>
        <v>1</v>
      </c>
      <c r="L824" s="9">
        <f>Table1[[#This Row],[CurrentStock]]*Table1[[#This Row],[UnitPrice]]</f>
        <v>2274.6</v>
      </c>
      <c r="M824">
        <f>IF(Table1[[#This Row],[ReorderLevel]]-Table1[[#This Row],[CurrentStock]]&gt;0,Table1[[#This Row],[ReorderLevel]]-Table1[[#This Row],[CurrentStock]],"")</f>
        <v>10</v>
      </c>
      <c r="N824" t="str">
        <f>IF(Table1[[#This Row],[CurrentStock]]&gt;Table1[[#This Row],[ReorderLevel]]*3,"Over Stock","Okay")</f>
        <v>Okay</v>
      </c>
      <c r="O824" t="str">
        <f>IF(Table1[[#This Row],[CurrentStock]]&lt;Table1[[#This Row],[ReorderLevel]],"Reorder","Okay")</f>
        <v>Reorder</v>
      </c>
    </row>
    <row r="825" spans="1:15" x14ac:dyDescent="0.3">
      <c r="A825">
        <v>33806</v>
      </c>
      <c r="B825" t="s">
        <v>26</v>
      </c>
      <c r="C825" t="s">
        <v>30</v>
      </c>
      <c r="D825">
        <v>57</v>
      </c>
      <c r="E825">
        <v>80</v>
      </c>
      <c r="F825">
        <v>476.89</v>
      </c>
      <c r="G825" t="s">
        <v>36</v>
      </c>
      <c r="H825" s="1">
        <v>45632</v>
      </c>
      <c r="I825" s="1">
        <v>45665</v>
      </c>
      <c r="J825" t="s">
        <v>39</v>
      </c>
      <c r="K825" t="b">
        <f>Table1[[#This Row],[CurrentStock]]&lt;Table1[[#This Row],[ReorderLevel]]</f>
        <v>1</v>
      </c>
      <c r="L825" s="9">
        <f>Table1[[#This Row],[CurrentStock]]*Table1[[#This Row],[UnitPrice]]</f>
        <v>27182.73</v>
      </c>
      <c r="M825">
        <f>IF(Table1[[#This Row],[ReorderLevel]]-Table1[[#This Row],[CurrentStock]]&gt;0,Table1[[#This Row],[ReorderLevel]]-Table1[[#This Row],[CurrentStock]],"")</f>
        <v>23</v>
      </c>
      <c r="N825" t="str">
        <f>IF(Table1[[#This Row],[CurrentStock]]&gt;Table1[[#This Row],[ReorderLevel]]*3,"Over Stock","Okay")</f>
        <v>Okay</v>
      </c>
      <c r="O825" t="str">
        <f>IF(Table1[[#This Row],[CurrentStock]]&lt;Table1[[#This Row],[ReorderLevel]],"Reorder","Okay")</f>
        <v>Reorder</v>
      </c>
    </row>
    <row r="826" spans="1:15" x14ac:dyDescent="0.3">
      <c r="A826">
        <v>85432</v>
      </c>
      <c r="B826" t="s">
        <v>14</v>
      </c>
      <c r="C826" t="s">
        <v>27</v>
      </c>
      <c r="D826">
        <v>24</v>
      </c>
      <c r="E826">
        <v>30</v>
      </c>
      <c r="F826">
        <v>383.94</v>
      </c>
      <c r="G826" t="s">
        <v>35</v>
      </c>
      <c r="H826" s="1">
        <v>45317</v>
      </c>
      <c r="I826" s="1">
        <v>45327</v>
      </c>
      <c r="J826" t="s">
        <v>38</v>
      </c>
      <c r="K826" t="b">
        <f>Table1[[#This Row],[CurrentStock]]&lt;Table1[[#This Row],[ReorderLevel]]</f>
        <v>1</v>
      </c>
      <c r="L826" s="9">
        <f>Table1[[#This Row],[CurrentStock]]*Table1[[#This Row],[UnitPrice]]</f>
        <v>9214.56</v>
      </c>
      <c r="M826">
        <f>IF(Table1[[#This Row],[ReorderLevel]]-Table1[[#This Row],[CurrentStock]]&gt;0,Table1[[#This Row],[ReorderLevel]]-Table1[[#This Row],[CurrentStock]],"")</f>
        <v>6</v>
      </c>
      <c r="N826" t="str">
        <f>IF(Table1[[#This Row],[CurrentStock]]&gt;Table1[[#This Row],[ReorderLevel]]*3,"Over Stock","Okay")</f>
        <v>Okay</v>
      </c>
      <c r="O826" t="str">
        <f>IF(Table1[[#This Row],[CurrentStock]]&lt;Table1[[#This Row],[ReorderLevel]],"Reorder","Okay")</f>
        <v>Reorder</v>
      </c>
    </row>
    <row r="827" spans="1:15" x14ac:dyDescent="0.3">
      <c r="A827">
        <v>96840</v>
      </c>
      <c r="B827" t="s">
        <v>18</v>
      </c>
      <c r="C827" t="s">
        <v>28</v>
      </c>
      <c r="D827">
        <v>306</v>
      </c>
      <c r="E827">
        <v>80</v>
      </c>
      <c r="F827">
        <v>436.84</v>
      </c>
      <c r="G827" t="s">
        <v>32</v>
      </c>
      <c r="H827" s="1">
        <v>45339</v>
      </c>
      <c r="I827" s="1">
        <v>45368</v>
      </c>
      <c r="J827" t="s">
        <v>38</v>
      </c>
      <c r="K827" t="b">
        <f>Table1[[#This Row],[CurrentStock]]&lt;Table1[[#This Row],[ReorderLevel]]</f>
        <v>0</v>
      </c>
      <c r="L827" s="9">
        <f>Table1[[#This Row],[CurrentStock]]*Table1[[#This Row],[UnitPrice]]</f>
        <v>133673.03999999998</v>
      </c>
      <c r="M827" t="str">
        <f>IF(Table1[[#This Row],[ReorderLevel]]-Table1[[#This Row],[CurrentStock]]&gt;0,Table1[[#This Row],[ReorderLevel]]-Table1[[#This Row],[CurrentStock]],"")</f>
        <v/>
      </c>
      <c r="N827" t="str">
        <f>IF(Table1[[#This Row],[CurrentStock]]&gt;Table1[[#This Row],[ReorderLevel]]*3,"Over Stock","Okay")</f>
        <v>Over Stock</v>
      </c>
      <c r="O827" t="str">
        <f>IF(Table1[[#This Row],[CurrentStock]]&lt;Table1[[#This Row],[ReorderLevel]],"Reorder","Okay")</f>
        <v>Okay</v>
      </c>
    </row>
    <row r="828" spans="1:15" x14ac:dyDescent="0.3">
      <c r="A828">
        <v>91787</v>
      </c>
      <c r="B828" t="s">
        <v>14</v>
      </c>
      <c r="C828" t="s">
        <v>27</v>
      </c>
      <c r="D828">
        <v>260</v>
      </c>
      <c r="E828">
        <v>30</v>
      </c>
      <c r="F828">
        <v>315.27999999999997</v>
      </c>
      <c r="G828" t="s">
        <v>36</v>
      </c>
      <c r="H828" s="1">
        <v>45496</v>
      </c>
      <c r="I828" s="1">
        <v>45503</v>
      </c>
      <c r="J828" t="s">
        <v>38</v>
      </c>
      <c r="K828" t="b">
        <f>Table1[[#This Row],[CurrentStock]]&lt;Table1[[#This Row],[ReorderLevel]]</f>
        <v>0</v>
      </c>
      <c r="L828" s="9">
        <f>Table1[[#This Row],[CurrentStock]]*Table1[[#This Row],[UnitPrice]]</f>
        <v>81972.799999999988</v>
      </c>
      <c r="M828" t="str">
        <f>IF(Table1[[#This Row],[ReorderLevel]]-Table1[[#This Row],[CurrentStock]]&gt;0,Table1[[#This Row],[ReorderLevel]]-Table1[[#This Row],[CurrentStock]],"")</f>
        <v/>
      </c>
      <c r="N828" t="str">
        <f>IF(Table1[[#This Row],[CurrentStock]]&gt;Table1[[#This Row],[ReorderLevel]]*3,"Over Stock","Okay")</f>
        <v>Over Stock</v>
      </c>
      <c r="O828" t="str">
        <f>IF(Table1[[#This Row],[CurrentStock]]&lt;Table1[[#This Row],[ReorderLevel]],"Reorder","Okay")</f>
        <v>Okay</v>
      </c>
    </row>
    <row r="829" spans="1:15" x14ac:dyDescent="0.3">
      <c r="A829">
        <v>67851</v>
      </c>
      <c r="B829" t="s">
        <v>17</v>
      </c>
      <c r="C829" t="s">
        <v>30</v>
      </c>
      <c r="D829">
        <v>103</v>
      </c>
      <c r="E829">
        <v>100</v>
      </c>
      <c r="F829">
        <v>433.89</v>
      </c>
      <c r="G829" t="s">
        <v>33</v>
      </c>
      <c r="H829" s="1">
        <v>45507</v>
      </c>
      <c r="I829" s="1">
        <v>45531</v>
      </c>
      <c r="J829" t="s">
        <v>37</v>
      </c>
      <c r="K829" t="b">
        <f>Table1[[#This Row],[CurrentStock]]&lt;Table1[[#This Row],[ReorderLevel]]</f>
        <v>0</v>
      </c>
      <c r="L829" s="9">
        <f>Table1[[#This Row],[CurrentStock]]*Table1[[#This Row],[UnitPrice]]</f>
        <v>44690.67</v>
      </c>
      <c r="M829" t="str">
        <f>IF(Table1[[#This Row],[ReorderLevel]]-Table1[[#This Row],[CurrentStock]]&gt;0,Table1[[#This Row],[ReorderLevel]]-Table1[[#This Row],[CurrentStock]],"")</f>
        <v/>
      </c>
      <c r="N829" t="str">
        <f>IF(Table1[[#This Row],[CurrentStock]]&gt;Table1[[#This Row],[ReorderLevel]]*3,"Over Stock","Okay")</f>
        <v>Okay</v>
      </c>
      <c r="O829" t="str">
        <f>IF(Table1[[#This Row],[CurrentStock]]&lt;Table1[[#This Row],[ReorderLevel]],"Reorder","Okay")</f>
        <v>Okay</v>
      </c>
    </row>
    <row r="830" spans="1:15" x14ac:dyDescent="0.3">
      <c r="A830">
        <v>31359</v>
      </c>
      <c r="B830" t="s">
        <v>23</v>
      </c>
      <c r="C830" t="s">
        <v>30</v>
      </c>
      <c r="D830">
        <v>38</v>
      </c>
      <c r="E830">
        <v>20</v>
      </c>
      <c r="F830">
        <v>54.12</v>
      </c>
      <c r="G830" t="s">
        <v>34</v>
      </c>
      <c r="H830" s="1">
        <v>45545</v>
      </c>
      <c r="I830" s="1">
        <v>45573</v>
      </c>
      <c r="J830" t="s">
        <v>37</v>
      </c>
      <c r="K830" t="b">
        <f>Table1[[#This Row],[CurrentStock]]&lt;Table1[[#This Row],[ReorderLevel]]</f>
        <v>0</v>
      </c>
      <c r="L830" s="9">
        <f>Table1[[#This Row],[CurrentStock]]*Table1[[#This Row],[UnitPrice]]</f>
        <v>2056.56</v>
      </c>
      <c r="M830" t="str">
        <f>IF(Table1[[#This Row],[ReorderLevel]]-Table1[[#This Row],[CurrentStock]]&gt;0,Table1[[#This Row],[ReorderLevel]]-Table1[[#This Row],[CurrentStock]],"")</f>
        <v/>
      </c>
      <c r="N830" t="str">
        <f>IF(Table1[[#This Row],[CurrentStock]]&gt;Table1[[#This Row],[ReorderLevel]]*3,"Over Stock","Okay")</f>
        <v>Okay</v>
      </c>
      <c r="O830" t="str">
        <f>IF(Table1[[#This Row],[CurrentStock]]&lt;Table1[[#This Row],[ReorderLevel]],"Reorder","Okay")</f>
        <v>Okay</v>
      </c>
    </row>
    <row r="831" spans="1:15" x14ac:dyDescent="0.3">
      <c r="A831">
        <v>91103</v>
      </c>
      <c r="B831" t="s">
        <v>25</v>
      </c>
      <c r="C831" t="s">
        <v>31</v>
      </c>
      <c r="D831">
        <v>383</v>
      </c>
      <c r="E831">
        <v>30</v>
      </c>
      <c r="F831">
        <v>313.45</v>
      </c>
      <c r="G831" t="s">
        <v>35</v>
      </c>
      <c r="H831" s="1">
        <v>45306</v>
      </c>
      <c r="I831" s="1">
        <v>45315</v>
      </c>
      <c r="J831" t="s">
        <v>39</v>
      </c>
      <c r="K831" t="b">
        <f>Table1[[#This Row],[CurrentStock]]&lt;Table1[[#This Row],[ReorderLevel]]</f>
        <v>0</v>
      </c>
      <c r="L831" s="9">
        <f>Table1[[#This Row],[CurrentStock]]*Table1[[#This Row],[UnitPrice]]</f>
        <v>120051.34999999999</v>
      </c>
      <c r="M831" t="str">
        <f>IF(Table1[[#This Row],[ReorderLevel]]-Table1[[#This Row],[CurrentStock]]&gt;0,Table1[[#This Row],[ReorderLevel]]-Table1[[#This Row],[CurrentStock]],"")</f>
        <v/>
      </c>
      <c r="N831" t="str">
        <f>IF(Table1[[#This Row],[CurrentStock]]&gt;Table1[[#This Row],[ReorderLevel]]*3,"Over Stock","Okay")</f>
        <v>Over Stock</v>
      </c>
      <c r="O831" t="str">
        <f>IF(Table1[[#This Row],[CurrentStock]]&lt;Table1[[#This Row],[ReorderLevel]],"Reorder","Okay")</f>
        <v>Okay</v>
      </c>
    </row>
    <row r="832" spans="1:15" x14ac:dyDescent="0.3">
      <c r="A832">
        <v>19215</v>
      </c>
      <c r="B832" t="s">
        <v>24</v>
      </c>
      <c r="C832" t="s">
        <v>31</v>
      </c>
      <c r="D832">
        <v>145</v>
      </c>
      <c r="E832">
        <v>150</v>
      </c>
      <c r="F832">
        <v>211.85</v>
      </c>
      <c r="G832" t="s">
        <v>33</v>
      </c>
      <c r="H832" s="1">
        <v>45351</v>
      </c>
      <c r="I832" s="1">
        <v>45371</v>
      </c>
      <c r="J832" t="s">
        <v>39</v>
      </c>
      <c r="K832" t="b">
        <f>Table1[[#This Row],[CurrentStock]]&lt;Table1[[#This Row],[ReorderLevel]]</f>
        <v>1</v>
      </c>
      <c r="L832" s="9">
        <f>Table1[[#This Row],[CurrentStock]]*Table1[[#This Row],[UnitPrice]]</f>
        <v>30718.25</v>
      </c>
      <c r="M832">
        <f>IF(Table1[[#This Row],[ReorderLevel]]-Table1[[#This Row],[CurrentStock]]&gt;0,Table1[[#This Row],[ReorderLevel]]-Table1[[#This Row],[CurrentStock]],"")</f>
        <v>5</v>
      </c>
      <c r="N832" t="str">
        <f>IF(Table1[[#This Row],[CurrentStock]]&gt;Table1[[#This Row],[ReorderLevel]]*3,"Over Stock","Okay")</f>
        <v>Okay</v>
      </c>
      <c r="O832" t="str">
        <f>IF(Table1[[#This Row],[CurrentStock]]&lt;Table1[[#This Row],[ReorderLevel]],"Reorder","Okay")</f>
        <v>Reorder</v>
      </c>
    </row>
    <row r="833" spans="1:15" x14ac:dyDescent="0.3">
      <c r="A833">
        <v>99876</v>
      </c>
      <c r="B833" t="s">
        <v>16</v>
      </c>
      <c r="C833" t="s">
        <v>30</v>
      </c>
      <c r="D833">
        <v>244</v>
      </c>
      <c r="E833">
        <v>100</v>
      </c>
      <c r="F833">
        <v>292.75</v>
      </c>
      <c r="G833" t="s">
        <v>35</v>
      </c>
      <c r="H833" s="1">
        <v>45580</v>
      </c>
      <c r="I833" s="1">
        <v>45609</v>
      </c>
      <c r="J833" t="s">
        <v>38</v>
      </c>
      <c r="K833" t="b">
        <f>Table1[[#This Row],[CurrentStock]]&lt;Table1[[#This Row],[ReorderLevel]]</f>
        <v>0</v>
      </c>
      <c r="L833" s="9">
        <f>Table1[[#This Row],[CurrentStock]]*Table1[[#This Row],[UnitPrice]]</f>
        <v>71431</v>
      </c>
      <c r="M833" t="str">
        <f>IF(Table1[[#This Row],[ReorderLevel]]-Table1[[#This Row],[CurrentStock]]&gt;0,Table1[[#This Row],[ReorderLevel]]-Table1[[#This Row],[CurrentStock]],"")</f>
        <v/>
      </c>
      <c r="N833" t="str">
        <f>IF(Table1[[#This Row],[CurrentStock]]&gt;Table1[[#This Row],[ReorderLevel]]*3,"Over Stock","Okay")</f>
        <v>Okay</v>
      </c>
      <c r="O833" t="str">
        <f>IF(Table1[[#This Row],[CurrentStock]]&lt;Table1[[#This Row],[ReorderLevel]],"Reorder","Okay")</f>
        <v>Okay</v>
      </c>
    </row>
    <row r="834" spans="1:15" x14ac:dyDescent="0.3">
      <c r="A834">
        <v>83396</v>
      </c>
      <c r="B834" t="s">
        <v>19</v>
      </c>
      <c r="C834" t="s">
        <v>28</v>
      </c>
      <c r="D834">
        <v>464</v>
      </c>
      <c r="E834">
        <v>30</v>
      </c>
      <c r="F834">
        <v>270.17</v>
      </c>
      <c r="G834" t="s">
        <v>36</v>
      </c>
      <c r="H834" s="1">
        <v>45567</v>
      </c>
      <c r="I834" s="1">
        <v>45601</v>
      </c>
      <c r="J834" t="s">
        <v>39</v>
      </c>
      <c r="K834" t="b">
        <f>Table1[[#This Row],[CurrentStock]]&lt;Table1[[#This Row],[ReorderLevel]]</f>
        <v>0</v>
      </c>
      <c r="L834" s="9">
        <f>Table1[[#This Row],[CurrentStock]]*Table1[[#This Row],[UnitPrice]]</f>
        <v>125358.88</v>
      </c>
      <c r="M834" t="str">
        <f>IF(Table1[[#This Row],[ReorderLevel]]-Table1[[#This Row],[CurrentStock]]&gt;0,Table1[[#This Row],[ReorderLevel]]-Table1[[#This Row],[CurrentStock]],"")</f>
        <v/>
      </c>
      <c r="N834" t="str">
        <f>IF(Table1[[#This Row],[CurrentStock]]&gt;Table1[[#This Row],[ReorderLevel]]*3,"Over Stock","Okay")</f>
        <v>Over Stock</v>
      </c>
      <c r="O834" t="str">
        <f>IF(Table1[[#This Row],[CurrentStock]]&lt;Table1[[#This Row],[ReorderLevel]],"Reorder","Okay")</f>
        <v>Okay</v>
      </c>
    </row>
    <row r="835" spans="1:15" x14ac:dyDescent="0.3">
      <c r="A835">
        <v>85282</v>
      </c>
      <c r="B835" t="s">
        <v>19</v>
      </c>
      <c r="C835" t="s">
        <v>28</v>
      </c>
      <c r="D835">
        <v>487</v>
      </c>
      <c r="E835">
        <v>30</v>
      </c>
      <c r="F835">
        <v>296.01</v>
      </c>
      <c r="G835" t="s">
        <v>32</v>
      </c>
      <c r="H835" s="1">
        <v>45480</v>
      </c>
      <c r="I835" s="1">
        <v>45501</v>
      </c>
      <c r="J835" t="s">
        <v>39</v>
      </c>
      <c r="K835" t="b">
        <f>Table1[[#This Row],[CurrentStock]]&lt;Table1[[#This Row],[ReorderLevel]]</f>
        <v>0</v>
      </c>
      <c r="L835" s="9">
        <f>Table1[[#This Row],[CurrentStock]]*Table1[[#This Row],[UnitPrice]]</f>
        <v>144156.87</v>
      </c>
      <c r="M835" t="str">
        <f>IF(Table1[[#This Row],[ReorderLevel]]-Table1[[#This Row],[CurrentStock]]&gt;0,Table1[[#This Row],[ReorderLevel]]-Table1[[#This Row],[CurrentStock]],"")</f>
        <v/>
      </c>
      <c r="N835" t="str">
        <f>IF(Table1[[#This Row],[CurrentStock]]&gt;Table1[[#This Row],[ReorderLevel]]*3,"Over Stock","Okay")</f>
        <v>Over Stock</v>
      </c>
      <c r="O835" t="str">
        <f>IF(Table1[[#This Row],[CurrentStock]]&lt;Table1[[#This Row],[ReorderLevel]],"Reorder","Okay")</f>
        <v>Okay</v>
      </c>
    </row>
    <row r="836" spans="1:15" x14ac:dyDescent="0.3">
      <c r="A836">
        <v>30823</v>
      </c>
      <c r="B836" t="s">
        <v>20</v>
      </c>
      <c r="C836" t="s">
        <v>29</v>
      </c>
      <c r="D836">
        <v>33</v>
      </c>
      <c r="E836">
        <v>50</v>
      </c>
      <c r="F836">
        <v>280.93</v>
      </c>
      <c r="G836" t="s">
        <v>36</v>
      </c>
      <c r="H836" s="1">
        <v>45621</v>
      </c>
      <c r="I836" s="1">
        <v>45635</v>
      </c>
      <c r="J836" t="s">
        <v>38</v>
      </c>
      <c r="K836" t="b">
        <f>Table1[[#This Row],[CurrentStock]]&lt;Table1[[#This Row],[ReorderLevel]]</f>
        <v>1</v>
      </c>
      <c r="L836" s="9">
        <f>Table1[[#This Row],[CurrentStock]]*Table1[[#This Row],[UnitPrice]]</f>
        <v>9270.69</v>
      </c>
      <c r="M836">
        <f>IF(Table1[[#This Row],[ReorderLevel]]-Table1[[#This Row],[CurrentStock]]&gt;0,Table1[[#This Row],[ReorderLevel]]-Table1[[#This Row],[CurrentStock]],"")</f>
        <v>17</v>
      </c>
      <c r="N836" t="str">
        <f>IF(Table1[[#This Row],[CurrentStock]]&gt;Table1[[#This Row],[ReorderLevel]]*3,"Over Stock","Okay")</f>
        <v>Okay</v>
      </c>
      <c r="O836" t="str">
        <f>IF(Table1[[#This Row],[CurrentStock]]&lt;Table1[[#This Row],[ReorderLevel]],"Reorder","Okay")</f>
        <v>Reorder</v>
      </c>
    </row>
    <row r="837" spans="1:15" x14ac:dyDescent="0.3">
      <c r="A837">
        <v>99826</v>
      </c>
      <c r="B837" t="s">
        <v>15</v>
      </c>
      <c r="C837" t="s">
        <v>29</v>
      </c>
      <c r="D837">
        <v>444</v>
      </c>
      <c r="E837">
        <v>80</v>
      </c>
      <c r="F837">
        <v>226.44</v>
      </c>
      <c r="G837" t="s">
        <v>33</v>
      </c>
      <c r="H837" s="1">
        <v>45371</v>
      </c>
      <c r="I837" s="1">
        <v>45382</v>
      </c>
      <c r="J837" t="s">
        <v>39</v>
      </c>
      <c r="K837" t="b">
        <f>Table1[[#This Row],[CurrentStock]]&lt;Table1[[#This Row],[ReorderLevel]]</f>
        <v>0</v>
      </c>
      <c r="L837" s="9">
        <f>Table1[[#This Row],[CurrentStock]]*Table1[[#This Row],[UnitPrice]]</f>
        <v>100539.36</v>
      </c>
      <c r="M837" t="str">
        <f>IF(Table1[[#This Row],[ReorderLevel]]-Table1[[#This Row],[CurrentStock]]&gt;0,Table1[[#This Row],[ReorderLevel]]-Table1[[#This Row],[CurrentStock]],"")</f>
        <v/>
      </c>
      <c r="N837" t="str">
        <f>IF(Table1[[#This Row],[CurrentStock]]&gt;Table1[[#This Row],[ReorderLevel]]*3,"Over Stock","Okay")</f>
        <v>Over Stock</v>
      </c>
      <c r="O837" t="str">
        <f>IF(Table1[[#This Row],[CurrentStock]]&lt;Table1[[#This Row],[ReorderLevel]],"Reorder","Okay")</f>
        <v>Okay</v>
      </c>
    </row>
    <row r="838" spans="1:15" x14ac:dyDescent="0.3">
      <c r="A838">
        <v>85039</v>
      </c>
      <c r="B838" t="s">
        <v>22</v>
      </c>
      <c r="C838" t="s">
        <v>27</v>
      </c>
      <c r="D838">
        <v>240</v>
      </c>
      <c r="E838">
        <v>80</v>
      </c>
      <c r="F838">
        <v>482.93</v>
      </c>
      <c r="G838" t="s">
        <v>35</v>
      </c>
      <c r="H838" s="1">
        <v>45519</v>
      </c>
      <c r="I838" s="1">
        <v>45540</v>
      </c>
      <c r="J838" t="s">
        <v>39</v>
      </c>
      <c r="K838" t="b">
        <f>Table1[[#This Row],[CurrentStock]]&lt;Table1[[#This Row],[ReorderLevel]]</f>
        <v>0</v>
      </c>
      <c r="L838" s="9">
        <f>Table1[[#This Row],[CurrentStock]]*Table1[[#This Row],[UnitPrice]]</f>
        <v>115903.2</v>
      </c>
      <c r="M838" t="str">
        <f>IF(Table1[[#This Row],[ReorderLevel]]-Table1[[#This Row],[CurrentStock]]&gt;0,Table1[[#This Row],[ReorderLevel]]-Table1[[#This Row],[CurrentStock]],"")</f>
        <v/>
      </c>
      <c r="N838" t="str">
        <f>IF(Table1[[#This Row],[CurrentStock]]&gt;Table1[[#This Row],[ReorderLevel]]*3,"Over Stock","Okay")</f>
        <v>Okay</v>
      </c>
      <c r="O838" t="str">
        <f>IF(Table1[[#This Row],[CurrentStock]]&lt;Table1[[#This Row],[ReorderLevel]],"Reorder","Okay")</f>
        <v>Okay</v>
      </c>
    </row>
    <row r="839" spans="1:15" x14ac:dyDescent="0.3">
      <c r="A839">
        <v>81621</v>
      </c>
      <c r="B839" t="s">
        <v>20</v>
      </c>
      <c r="C839" t="s">
        <v>29</v>
      </c>
      <c r="D839">
        <v>65</v>
      </c>
      <c r="E839">
        <v>20</v>
      </c>
      <c r="F839">
        <v>356.1</v>
      </c>
      <c r="G839" t="s">
        <v>35</v>
      </c>
      <c r="H839" s="1">
        <v>45608</v>
      </c>
      <c r="I839" s="1">
        <v>45615</v>
      </c>
      <c r="J839" t="s">
        <v>38</v>
      </c>
      <c r="K839" t="b">
        <f>Table1[[#This Row],[CurrentStock]]&lt;Table1[[#This Row],[ReorderLevel]]</f>
        <v>0</v>
      </c>
      <c r="L839" s="9">
        <f>Table1[[#This Row],[CurrentStock]]*Table1[[#This Row],[UnitPrice]]</f>
        <v>23146.5</v>
      </c>
      <c r="M839" t="str">
        <f>IF(Table1[[#This Row],[ReorderLevel]]-Table1[[#This Row],[CurrentStock]]&gt;0,Table1[[#This Row],[ReorderLevel]]-Table1[[#This Row],[CurrentStock]],"")</f>
        <v/>
      </c>
      <c r="N839" t="str">
        <f>IF(Table1[[#This Row],[CurrentStock]]&gt;Table1[[#This Row],[ReorderLevel]]*3,"Over Stock","Okay")</f>
        <v>Over Stock</v>
      </c>
      <c r="O839" t="str">
        <f>IF(Table1[[#This Row],[CurrentStock]]&lt;Table1[[#This Row],[ReorderLevel]],"Reorder","Okay")</f>
        <v>Okay</v>
      </c>
    </row>
    <row r="840" spans="1:15" x14ac:dyDescent="0.3">
      <c r="A840">
        <v>19336</v>
      </c>
      <c r="B840" t="s">
        <v>18</v>
      </c>
      <c r="C840" t="s">
        <v>28</v>
      </c>
      <c r="D840">
        <v>197</v>
      </c>
      <c r="E840">
        <v>80</v>
      </c>
      <c r="F840">
        <v>372.29</v>
      </c>
      <c r="G840" t="s">
        <v>33</v>
      </c>
      <c r="H840" s="1">
        <v>45528</v>
      </c>
      <c r="I840" s="1">
        <v>45558</v>
      </c>
      <c r="J840" t="s">
        <v>39</v>
      </c>
      <c r="K840" t="b">
        <f>Table1[[#This Row],[CurrentStock]]&lt;Table1[[#This Row],[ReorderLevel]]</f>
        <v>0</v>
      </c>
      <c r="L840" s="9">
        <f>Table1[[#This Row],[CurrentStock]]*Table1[[#This Row],[UnitPrice]]</f>
        <v>73341.13</v>
      </c>
      <c r="M840" t="str">
        <f>IF(Table1[[#This Row],[ReorderLevel]]-Table1[[#This Row],[CurrentStock]]&gt;0,Table1[[#This Row],[ReorderLevel]]-Table1[[#This Row],[CurrentStock]],"")</f>
        <v/>
      </c>
      <c r="N840" t="str">
        <f>IF(Table1[[#This Row],[CurrentStock]]&gt;Table1[[#This Row],[ReorderLevel]]*3,"Over Stock","Okay")</f>
        <v>Okay</v>
      </c>
      <c r="O840" t="str">
        <f>IF(Table1[[#This Row],[CurrentStock]]&lt;Table1[[#This Row],[ReorderLevel]],"Reorder","Okay")</f>
        <v>Okay</v>
      </c>
    </row>
    <row r="841" spans="1:15" x14ac:dyDescent="0.3">
      <c r="A841">
        <v>59037</v>
      </c>
      <c r="B841" t="s">
        <v>25</v>
      </c>
      <c r="C841" t="s">
        <v>31</v>
      </c>
      <c r="D841">
        <v>471</v>
      </c>
      <c r="E841">
        <v>40</v>
      </c>
      <c r="F841">
        <v>453.43</v>
      </c>
      <c r="G841" t="s">
        <v>34</v>
      </c>
      <c r="H841" s="1">
        <v>45397</v>
      </c>
      <c r="I841" s="1">
        <v>45433</v>
      </c>
      <c r="J841" t="s">
        <v>39</v>
      </c>
      <c r="K841" t="b">
        <f>Table1[[#This Row],[CurrentStock]]&lt;Table1[[#This Row],[ReorderLevel]]</f>
        <v>0</v>
      </c>
      <c r="L841" s="9">
        <f>Table1[[#This Row],[CurrentStock]]*Table1[[#This Row],[UnitPrice]]</f>
        <v>213565.53</v>
      </c>
      <c r="M841" t="str">
        <f>IF(Table1[[#This Row],[ReorderLevel]]-Table1[[#This Row],[CurrentStock]]&gt;0,Table1[[#This Row],[ReorderLevel]]-Table1[[#This Row],[CurrentStock]],"")</f>
        <v/>
      </c>
      <c r="N841" t="str">
        <f>IF(Table1[[#This Row],[CurrentStock]]&gt;Table1[[#This Row],[ReorderLevel]]*3,"Over Stock","Okay")</f>
        <v>Over Stock</v>
      </c>
      <c r="O841" t="str">
        <f>IF(Table1[[#This Row],[CurrentStock]]&lt;Table1[[#This Row],[ReorderLevel]],"Reorder","Okay")</f>
        <v>Okay</v>
      </c>
    </row>
    <row r="842" spans="1:15" x14ac:dyDescent="0.3">
      <c r="A842">
        <v>36393</v>
      </c>
      <c r="B842" t="s">
        <v>16</v>
      </c>
      <c r="C842" t="s">
        <v>30</v>
      </c>
      <c r="D842">
        <v>346</v>
      </c>
      <c r="E842">
        <v>20</v>
      </c>
      <c r="F842">
        <v>164.16</v>
      </c>
      <c r="G842" t="s">
        <v>35</v>
      </c>
      <c r="H842" s="1">
        <v>45407</v>
      </c>
      <c r="I842" s="1">
        <v>45429</v>
      </c>
      <c r="J842" t="s">
        <v>38</v>
      </c>
      <c r="K842" t="b">
        <f>Table1[[#This Row],[CurrentStock]]&lt;Table1[[#This Row],[ReorderLevel]]</f>
        <v>0</v>
      </c>
      <c r="L842" s="9">
        <f>Table1[[#This Row],[CurrentStock]]*Table1[[#This Row],[UnitPrice]]</f>
        <v>56799.360000000001</v>
      </c>
      <c r="M842" t="str">
        <f>IF(Table1[[#This Row],[ReorderLevel]]-Table1[[#This Row],[CurrentStock]]&gt;0,Table1[[#This Row],[ReorderLevel]]-Table1[[#This Row],[CurrentStock]],"")</f>
        <v/>
      </c>
      <c r="N842" t="str">
        <f>IF(Table1[[#This Row],[CurrentStock]]&gt;Table1[[#This Row],[ReorderLevel]]*3,"Over Stock","Okay")</f>
        <v>Over Stock</v>
      </c>
      <c r="O842" t="str">
        <f>IF(Table1[[#This Row],[CurrentStock]]&lt;Table1[[#This Row],[ReorderLevel]],"Reorder","Okay")</f>
        <v>Okay</v>
      </c>
    </row>
    <row r="843" spans="1:15" x14ac:dyDescent="0.3">
      <c r="A843">
        <v>62066</v>
      </c>
      <c r="B843" t="s">
        <v>14</v>
      </c>
      <c r="C843" t="s">
        <v>27</v>
      </c>
      <c r="D843">
        <v>361</v>
      </c>
      <c r="E843">
        <v>100</v>
      </c>
      <c r="F843">
        <v>30.75</v>
      </c>
      <c r="G843" t="s">
        <v>32</v>
      </c>
      <c r="H843" s="1">
        <v>45344</v>
      </c>
      <c r="I843" s="1">
        <v>45376</v>
      </c>
      <c r="J843" t="s">
        <v>38</v>
      </c>
      <c r="K843" t="b">
        <f>Table1[[#This Row],[CurrentStock]]&lt;Table1[[#This Row],[ReorderLevel]]</f>
        <v>0</v>
      </c>
      <c r="L843" s="9">
        <f>Table1[[#This Row],[CurrentStock]]*Table1[[#This Row],[UnitPrice]]</f>
        <v>11100.75</v>
      </c>
      <c r="M843" t="str">
        <f>IF(Table1[[#This Row],[ReorderLevel]]-Table1[[#This Row],[CurrentStock]]&gt;0,Table1[[#This Row],[ReorderLevel]]-Table1[[#This Row],[CurrentStock]],"")</f>
        <v/>
      </c>
      <c r="N843" t="str">
        <f>IF(Table1[[#This Row],[CurrentStock]]&gt;Table1[[#This Row],[ReorderLevel]]*3,"Over Stock","Okay")</f>
        <v>Over Stock</v>
      </c>
      <c r="O843" t="str">
        <f>IF(Table1[[#This Row],[CurrentStock]]&lt;Table1[[#This Row],[ReorderLevel]],"Reorder","Okay")</f>
        <v>Okay</v>
      </c>
    </row>
    <row r="844" spans="1:15" x14ac:dyDescent="0.3">
      <c r="A844">
        <v>92315</v>
      </c>
      <c r="B844" t="s">
        <v>13</v>
      </c>
      <c r="C844" t="s">
        <v>29</v>
      </c>
      <c r="D844">
        <v>432</v>
      </c>
      <c r="E844">
        <v>150</v>
      </c>
      <c r="F844">
        <v>257.31</v>
      </c>
      <c r="G844" t="s">
        <v>32</v>
      </c>
      <c r="H844" s="1">
        <v>45378</v>
      </c>
      <c r="I844" s="1">
        <v>45401</v>
      </c>
      <c r="J844" t="s">
        <v>37</v>
      </c>
      <c r="K844" t="b">
        <f>Table1[[#This Row],[CurrentStock]]&lt;Table1[[#This Row],[ReorderLevel]]</f>
        <v>0</v>
      </c>
      <c r="L844" s="9">
        <f>Table1[[#This Row],[CurrentStock]]*Table1[[#This Row],[UnitPrice]]</f>
        <v>111157.92</v>
      </c>
      <c r="M844" t="str">
        <f>IF(Table1[[#This Row],[ReorderLevel]]-Table1[[#This Row],[CurrentStock]]&gt;0,Table1[[#This Row],[ReorderLevel]]-Table1[[#This Row],[CurrentStock]],"")</f>
        <v/>
      </c>
      <c r="N844" t="str">
        <f>IF(Table1[[#This Row],[CurrentStock]]&gt;Table1[[#This Row],[ReorderLevel]]*3,"Over Stock","Okay")</f>
        <v>Okay</v>
      </c>
      <c r="O844" t="str">
        <f>IF(Table1[[#This Row],[CurrentStock]]&lt;Table1[[#This Row],[ReorderLevel]],"Reorder","Okay")</f>
        <v>Okay</v>
      </c>
    </row>
    <row r="845" spans="1:15" x14ac:dyDescent="0.3">
      <c r="A845">
        <v>63331</v>
      </c>
      <c r="B845" t="s">
        <v>16</v>
      </c>
      <c r="C845" t="s">
        <v>30</v>
      </c>
      <c r="D845">
        <v>28</v>
      </c>
      <c r="E845">
        <v>30</v>
      </c>
      <c r="F845">
        <v>101.52</v>
      </c>
      <c r="G845" t="s">
        <v>34</v>
      </c>
      <c r="H845" s="1">
        <v>45655</v>
      </c>
      <c r="I845" s="1">
        <v>45661</v>
      </c>
      <c r="J845" t="s">
        <v>39</v>
      </c>
      <c r="K845" t="b">
        <f>Table1[[#This Row],[CurrentStock]]&lt;Table1[[#This Row],[ReorderLevel]]</f>
        <v>1</v>
      </c>
      <c r="L845" s="9">
        <f>Table1[[#This Row],[CurrentStock]]*Table1[[#This Row],[UnitPrice]]</f>
        <v>2842.56</v>
      </c>
      <c r="M845">
        <f>IF(Table1[[#This Row],[ReorderLevel]]-Table1[[#This Row],[CurrentStock]]&gt;0,Table1[[#This Row],[ReorderLevel]]-Table1[[#This Row],[CurrentStock]],"")</f>
        <v>2</v>
      </c>
      <c r="N845" t="str">
        <f>IF(Table1[[#This Row],[CurrentStock]]&gt;Table1[[#This Row],[ReorderLevel]]*3,"Over Stock","Okay")</f>
        <v>Okay</v>
      </c>
      <c r="O845" t="str">
        <f>IF(Table1[[#This Row],[CurrentStock]]&lt;Table1[[#This Row],[ReorderLevel]],"Reorder","Okay")</f>
        <v>Reorder</v>
      </c>
    </row>
    <row r="846" spans="1:15" x14ac:dyDescent="0.3">
      <c r="A846">
        <v>19719</v>
      </c>
      <c r="B846" t="s">
        <v>21</v>
      </c>
      <c r="C846" t="s">
        <v>31</v>
      </c>
      <c r="D846">
        <v>278</v>
      </c>
      <c r="E846">
        <v>40</v>
      </c>
      <c r="F846">
        <v>401.9</v>
      </c>
      <c r="G846" t="s">
        <v>33</v>
      </c>
      <c r="H846" s="1">
        <v>45622</v>
      </c>
      <c r="I846" s="1">
        <v>45654</v>
      </c>
      <c r="J846" t="s">
        <v>38</v>
      </c>
      <c r="K846" t="b">
        <f>Table1[[#This Row],[CurrentStock]]&lt;Table1[[#This Row],[ReorderLevel]]</f>
        <v>0</v>
      </c>
      <c r="L846" s="9">
        <f>Table1[[#This Row],[CurrentStock]]*Table1[[#This Row],[UnitPrice]]</f>
        <v>111728.2</v>
      </c>
      <c r="M846" t="str">
        <f>IF(Table1[[#This Row],[ReorderLevel]]-Table1[[#This Row],[CurrentStock]]&gt;0,Table1[[#This Row],[ReorderLevel]]-Table1[[#This Row],[CurrentStock]],"")</f>
        <v/>
      </c>
      <c r="N846" t="str">
        <f>IF(Table1[[#This Row],[CurrentStock]]&gt;Table1[[#This Row],[ReorderLevel]]*3,"Over Stock","Okay")</f>
        <v>Over Stock</v>
      </c>
      <c r="O846" t="str">
        <f>IF(Table1[[#This Row],[CurrentStock]]&lt;Table1[[#This Row],[ReorderLevel]],"Reorder","Okay")</f>
        <v>Okay</v>
      </c>
    </row>
    <row r="847" spans="1:15" x14ac:dyDescent="0.3">
      <c r="A847">
        <v>49029</v>
      </c>
      <c r="B847" t="s">
        <v>16</v>
      </c>
      <c r="C847" t="s">
        <v>30</v>
      </c>
      <c r="D847">
        <v>228</v>
      </c>
      <c r="E847">
        <v>30</v>
      </c>
      <c r="F847">
        <v>88.22</v>
      </c>
      <c r="G847" t="s">
        <v>33</v>
      </c>
      <c r="H847" s="1">
        <v>45341</v>
      </c>
      <c r="I847" s="1">
        <v>45359</v>
      </c>
      <c r="J847" t="s">
        <v>38</v>
      </c>
      <c r="K847" t="b">
        <f>Table1[[#This Row],[CurrentStock]]&lt;Table1[[#This Row],[ReorderLevel]]</f>
        <v>0</v>
      </c>
      <c r="L847" s="9">
        <f>Table1[[#This Row],[CurrentStock]]*Table1[[#This Row],[UnitPrice]]</f>
        <v>20114.16</v>
      </c>
      <c r="M847" t="str">
        <f>IF(Table1[[#This Row],[ReorderLevel]]-Table1[[#This Row],[CurrentStock]]&gt;0,Table1[[#This Row],[ReorderLevel]]-Table1[[#This Row],[CurrentStock]],"")</f>
        <v/>
      </c>
      <c r="N847" t="str">
        <f>IF(Table1[[#This Row],[CurrentStock]]&gt;Table1[[#This Row],[ReorderLevel]]*3,"Over Stock","Okay")</f>
        <v>Over Stock</v>
      </c>
      <c r="O847" t="str">
        <f>IF(Table1[[#This Row],[CurrentStock]]&lt;Table1[[#This Row],[ReorderLevel]],"Reorder","Okay")</f>
        <v>Okay</v>
      </c>
    </row>
    <row r="848" spans="1:15" x14ac:dyDescent="0.3">
      <c r="A848">
        <v>66247</v>
      </c>
      <c r="B848" t="s">
        <v>19</v>
      </c>
      <c r="C848" t="s">
        <v>28</v>
      </c>
      <c r="D848">
        <v>394</v>
      </c>
      <c r="E848">
        <v>150</v>
      </c>
      <c r="F848">
        <v>337.96</v>
      </c>
      <c r="G848" t="s">
        <v>34</v>
      </c>
      <c r="H848" s="1">
        <v>45614</v>
      </c>
      <c r="I848" s="1">
        <v>45632</v>
      </c>
      <c r="J848" t="s">
        <v>38</v>
      </c>
      <c r="K848" t="b">
        <f>Table1[[#This Row],[CurrentStock]]&lt;Table1[[#This Row],[ReorderLevel]]</f>
        <v>0</v>
      </c>
      <c r="L848" s="9">
        <f>Table1[[#This Row],[CurrentStock]]*Table1[[#This Row],[UnitPrice]]</f>
        <v>133156.24</v>
      </c>
      <c r="M848" t="str">
        <f>IF(Table1[[#This Row],[ReorderLevel]]-Table1[[#This Row],[CurrentStock]]&gt;0,Table1[[#This Row],[ReorderLevel]]-Table1[[#This Row],[CurrentStock]],"")</f>
        <v/>
      </c>
      <c r="N848" t="str">
        <f>IF(Table1[[#This Row],[CurrentStock]]&gt;Table1[[#This Row],[ReorderLevel]]*3,"Over Stock","Okay")</f>
        <v>Okay</v>
      </c>
      <c r="O848" t="str">
        <f>IF(Table1[[#This Row],[CurrentStock]]&lt;Table1[[#This Row],[ReorderLevel]],"Reorder","Okay")</f>
        <v>Okay</v>
      </c>
    </row>
    <row r="849" spans="1:15" x14ac:dyDescent="0.3">
      <c r="A849">
        <v>56228</v>
      </c>
      <c r="B849" t="s">
        <v>18</v>
      </c>
      <c r="C849" t="s">
        <v>28</v>
      </c>
      <c r="D849">
        <v>393</v>
      </c>
      <c r="E849">
        <v>40</v>
      </c>
      <c r="F849">
        <v>497.83</v>
      </c>
      <c r="G849" t="s">
        <v>34</v>
      </c>
      <c r="H849" s="1">
        <v>45339</v>
      </c>
      <c r="I849" s="1">
        <v>45365</v>
      </c>
      <c r="J849" t="s">
        <v>39</v>
      </c>
      <c r="K849" t="b">
        <f>Table1[[#This Row],[CurrentStock]]&lt;Table1[[#This Row],[ReorderLevel]]</f>
        <v>0</v>
      </c>
      <c r="L849" s="9">
        <f>Table1[[#This Row],[CurrentStock]]*Table1[[#This Row],[UnitPrice]]</f>
        <v>195647.19</v>
      </c>
      <c r="M849" t="str">
        <f>IF(Table1[[#This Row],[ReorderLevel]]-Table1[[#This Row],[CurrentStock]]&gt;0,Table1[[#This Row],[ReorderLevel]]-Table1[[#This Row],[CurrentStock]],"")</f>
        <v/>
      </c>
      <c r="N849" t="str">
        <f>IF(Table1[[#This Row],[CurrentStock]]&gt;Table1[[#This Row],[ReorderLevel]]*3,"Over Stock","Okay")</f>
        <v>Over Stock</v>
      </c>
      <c r="O849" t="str">
        <f>IF(Table1[[#This Row],[CurrentStock]]&lt;Table1[[#This Row],[ReorderLevel]],"Reorder","Okay")</f>
        <v>Okay</v>
      </c>
    </row>
    <row r="850" spans="1:15" x14ac:dyDescent="0.3">
      <c r="A850">
        <v>87924</v>
      </c>
      <c r="B850" t="s">
        <v>26</v>
      </c>
      <c r="C850" t="s">
        <v>30</v>
      </c>
      <c r="D850">
        <v>259</v>
      </c>
      <c r="E850">
        <v>50</v>
      </c>
      <c r="F850">
        <v>247.03</v>
      </c>
      <c r="G850" t="s">
        <v>36</v>
      </c>
      <c r="H850" s="1">
        <v>45300</v>
      </c>
      <c r="I850" s="1">
        <v>45339</v>
      </c>
      <c r="J850" t="s">
        <v>39</v>
      </c>
      <c r="K850" t="b">
        <f>Table1[[#This Row],[CurrentStock]]&lt;Table1[[#This Row],[ReorderLevel]]</f>
        <v>0</v>
      </c>
      <c r="L850" s="9">
        <f>Table1[[#This Row],[CurrentStock]]*Table1[[#This Row],[UnitPrice]]</f>
        <v>63980.77</v>
      </c>
      <c r="M850" t="str">
        <f>IF(Table1[[#This Row],[ReorderLevel]]-Table1[[#This Row],[CurrentStock]]&gt;0,Table1[[#This Row],[ReorderLevel]]-Table1[[#This Row],[CurrentStock]],"")</f>
        <v/>
      </c>
      <c r="N850" t="str">
        <f>IF(Table1[[#This Row],[CurrentStock]]&gt;Table1[[#This Row],[ReorderLevel]]*3,"Over Stock","Okay")</f>
        <v>Over Stock</v>
      </c>
      <c r="O850" t="str">
        <f>IF(Table1[[#This Row],[CurrentStock]]&lt;Table1[[#This Row],[ReorderLevel]],"Reorder","Okay")</f>
        <v>Okay</v>
      </c>
    </row>
    <row r="851" spans="1:15" x14ac:dyDescent="0.3">
      <c r="A851">
        <v>36849</v>
      </c>
      <c r="B851" t="s">
        <v>24</v>
      </c>
      <c r="C851" t="s">
        <v>31</v>
      </c>
      <c r="D851">
        <v>455</v>
      </c>
      <c r="E851">
        <v>40</v>
      </c>
      <c r="F851">
        <v>143.27000000000001</v>
      </c>
      <c r="G851" t="s">
        <v>32</v>
      </c>
      <c r="H851" s="1">
        <v>45628</v>
      </c>
      <c r="I851" s="1">
        <v>45663</v>
      </c>
      <c r="J851" t="s">
        <v>37</v>
      </c>
      <c r="K851" t="b">
        <f>Table1[[#This Row],[CurrentStock]]&lt;Table1[[#This Row],[ReorderLevel]]</f>
        <v>0</v>
      </c>
      <c r="L851" s="9">
        <f>Table1[[#This Row],[CurrentStock]]*Table1[[#This Row],[UnitPrice]]</f>
        <v>65187.850000000006</v>
      </c>
      <c r="M851" t="str">
        <f>IF(Table1[[#This Row],[ReorderLevel]]-Table1[[#This Row],[CurrentStock]]&gt;0,Table1[[#This Row],[ReorderLevel]]-Table1[[#This Row],[CurrentStock]],"")</f>
        <v/>
      </c>
      <c r="N851" t="str">
        <f>IF(Table1[[#This Row],[CurrentStock]]&gt;Table1[[#This Row],[ReorderLevel]]*3,"Over Stock","Okay")</f>
        <v>Over Stock</v>
      </c>
      <c r="O851" t="str">
        <f>IF(Table1[[#This Row],[CurrentStock]]&lt;Table1[[#This Row],[ReorderLevel]],"Reorder","Okay")</f>
        <v>Okay</v>
      </c>
    </row>
    <row r="852" spans="1:15" x14ac:dyDescent="0.3">
      <c r="A852">
        <v>96669</v>
      </c>
      <c r="B852" t="s">
        <v>21</v>
      </c>
      <c r="C852" t="s">
        <v>31</v>
      </c>
      <c r="D852">
        <v>398</v>
      </c>
      <c r="E852">
        <v>150</v>
      </c>
      <c r="F852">
        <v>256.33999999999997</v>
      </c>
      <c r="G852" t="s">
        <v>34</v>
      </c>
      <c r="H852" s="1">
        <v>45426</v>
      </c>
      <c r="I852" s="1">
        <v>45460</v>
      </c>
      <c r="J852" t="s">
        <v>39</v>
      </c>
      <c r="K852" t="b">
        <f>Table1[[#This Row],[CurrentStock]]&lt;Table1[[#This Row],[ReorderLevel]]</f>
        <v>0</v>
      </c>
      <c r="L852" s="9">
        <f>Table1[[#This Row],[CurrentStock]]*Table1[[#This Row],[UnitPrice]]</f>
        <v>102023.31999999999</v>
      </c>
      <c r="M852" t="str">
        <f>IF(Table1[[#This Row],[ReorderLevel]]-Table1[[#This Row],[CurrentStock]]&gt;0,Table1[[#This Row],[ReorderLevel]]-Table1[[#This Row],[CurrentStock]],"")</f>
        <v/>
      </c>
      <c r="N852" t="str">
        <f>IF(Table1[[#This Row],[CurrentStock]]&gt;Table1[[#This Row],[ReorderLevel]]*3,"Over Stock","Okay")</f>
        <v>Okay</v>
      </c>
      <c r="O852" t="str">
        <f>IF(Table1[[#This Row],[CurrentStock]]&lt;Table1[[#This Row],[ReorderLevel]],"Reorder","Okay")</f>
        <v>Okay</v>
      </c>
    </row>
    <row r="853" spans="1:15" x14ac:dyDescent="0.3">
      <c r="A853">
        <v>86631</v>
      </c>
      <c r="B853" t="s">
        <v>12</v>
      </c>
      <c r="C853" t="s">
        <v>28</v>
      </c>
      <c r="D853">
        <v>325</v>
      </c>
      <c r="E853">
        <v>40</v>
      </c>
      <c r="F853">
        <v>49.46</v>
      </c>
      <c r="G853" t="s">
        <v>36</v>
      </c>
      <c r="H853" s="1">
        <v>45574</v>
      </c>
      <c r="I853" s="1">
        <v>45596</v>
      </c>
      <c r="J853" t="s">
        <v>39</v>
      </c>
      <c r="K853" t="b">
        <f>Table1[[#This Row],[CurrentStock]]&lt;Table1[[#This Row],[ReorderLevel]]</f>
        <v>0</v>
      </c>
      <c r="L853" s="9">
        <f>Table1[[#This Row],[CurrentStock]]*Table1[[#This Row],[UnitPrice]]</f>
        <v>16074.5</v>
      </c>
      <c r="M853" t="str">
        <f>IF(Table1[[#This Row],[ReorderLevel]]-Table1[[#This Row],[CurrentStock]]&gt;0,Table1[[#This Row],[ReorderLevel]]-Table1[[#This Row],[CurrentStock]],"")</f>
        <v/>
      </c>
      <c r="N853" t="str">
        <f>IF(Table1[[#This Row],[CurrentStock]]&gt;Table1[[#This Row],[ReorderLevel]]*3,"Over Stock","Okay")</f>
        <v>Over Stock</v>
      </c>
      <c r="O853" t="str">
        <f>IF(Table1[[#This Row],[CurrentStock]]&lt;Table1[[#This Row],[ReorderLevel]],"Reorder","Okay")</f>
        <v>Okay</v>
      </c>
    </row>
    <row r="854" spans="1:15" x14ac:dyDescent="0.3">
      <c r="A854">
        <v>28705</v>
      </c>
      <c r="B854" t="s">
        <v>25</v>
      </c>
      <c r="C854" t="s">
        <v>31</v>
      </c>
      <c r="D854">
        <v>462</v>
      </c>
      <c r="E854">
        <v>40</v>
      </c>
      <c r="F854">
        <v>321.14</v>
      </c>
      <c r="G854" t="s">
        <v>34</v>
      </c>
      <c r="H854" s="1">
        <v>45315</v>
      </c>
      <c r="I854" s="1">
        <v>45320</v>
      </c>
      <c r="J854" t="s">
        <v>37</v>
      </c>
      <c r="K854" t="b">
        <f>Table1[[#This Row],[CurrentStock]]&lt;Table1[[#This Row],[ReorderLevel]]</f>
        <v>0</v>
      </c>
      <c r="L854" s="9">
        <f>Table1[[#This Row],[CurrentStock]]*Table1[[#This Row],[UnitPrice]]</f>
        <v>148366.68</v>
      </c>
      <c r="M854" t="str">
        <f>IF(Table1[[#This Row],[ReorderLevel]]-Table1[[#This Row],[CurrentStock]]&gt;0,Table1[[#This Row],[ReorderLevel]]-Table1[[#This Row],[CurrentStock]],"")</f>
        <v/>
      </c>
      <c r="N854" t="str">
        <f>IF(Table1[[#This Row],[CurrentStock]]&gt;Table1[[#This Row],[ReorderLevel]]*3,"Over Stock","Okay")</f>
        <v>Over Stock</v>
      </c>
      <c r="O854" t="str">
        <f>IF(Table1[[#This Row],[CurrentStock]]&lt;Table1[[#This Row],[ReorderLevel]],"Reorder","Okay")</f>
        <v>Okay</v>
      </c>
    </row>
    <row r="855" spans="1:15" x14ac:dyDescent="0.3">
      <c r="A855">
        <v>36739</v>
      </c>
      <c r="B855" t="s">
        <v>13</v>
      </c>
      <c r="C855" t="s">
        <v>29</v>
      </c>
      <c r="D855">
        <v>406</v>
      </c>
      <c r="E855">
        <v>80</v>
      </c>
      <c r="F855">
        <v>460.42</v>
      </c>
      <c r="G855" t="s">
        <v>36</v>
      </c>
      <c r="H855" s="1">
        <v>45525</v>
      </c>
      <c r="I855" s="1">
        <v>45564</v>
      </c>
      <c r="J855" t="s">
        <v>39</v>
      </c>
      <c r="K855" t="b">
        <f>Table1[[#This Row],[CurrentStock]]&lt;Table1[[#This Row],[ReorderLevel]]</f>
        <v>0</v>
      </c>
      <c r="L855" s="9">
        <f>Table1[[#This Row],[CurrentStock]]*Table1[[#This Row],[UnitPrice]]</f>
        <v>186930.52000000002</v>
      </c>
      <c r="M855" t="str">
        <f>IF(Table1[[#This Row],[ReorderLevel]]-Table1[[#This Row],[CurrentStock]]&gt;0,Table1[[#This Row],[ReorderLevel]]-Table1[[#This Row],[CurrentStock]],"")</f>
        <v/>
      </c>
      <c r="N855" t="str">
        <f>IF(Table1[[#This Row],[CurrentStock]]&gt;Table1[[#This Row],[ReorderLevel]]*3,"Over Stock","Okay")</f>
        <v>Over Stock</v>
      </c>
      <c r="O855" t="str">
        <f>IF(Table1[[#This Row],[CurrentStock]]&lt;Table1[[#This Row],[ReorderLevel]],"Reorder","Okay")</f>
        <v>Okay</v>
      </c>
    </row>
    <row r="856" spans="1:15" x14ac:dyDescent="0.3">
      <c r="A856">
        <v>94085</v>
      </c>
      <c r="B856" t="s">
        <v>22</v>
      </c>
      <c r="C856" t="s">
        <v>27</v>
      </c>
      <c r="D856">
        <v>209</v>
      </c>
      <c r="E856">
        <v>100</v>
      </c>
      <c r="F856">
        <v>204.12</v>
      </c>
      <c r="G856" t="s">
        <v>36</v>
      </c>
      <c r="H856" s="1">
        <v>45571</v>
      </c>
      <c r="I856" s="1">
        <v>45583</v>
      </c>
      <c r="J856" t="s">
        <v>37</v>
      </c>
      <c r="K856" t="b">
        <f>Table1[[#This Row],[CurrentStock]]&lt;Table1[[#This Row],[ReorderLevel]]</f>
        <v>0</v>
      </c>
      <c r="L856" s="9">
        <f>Table1[[#This Row],[CurrentStock]]*Table1[[#This Row],[UnitPrice]]</f>
        <v>42661.08</v>
      </c>
      <c r="M856" t="str">
        <f>IF(Table1[[#This Row],[ReorderLevel]]-Table1[[#This Row],[CurrentStock]]&gt;0,Table1[[#This Row],[ReorderLevel]]-Table1[[#This Row],[CurrentStock]],"")</f>
        <v/>
      </c>
      <c r="N856" t="str">
        <f>IF(Table1[[#This Row],[CurrentStock]]&gt;Table1[[#This Row],[ReorderLevel]]*3,"Over Stock","Okay")</f>
        <v>Okay</v>
      </c>
      <c r="O856" t="str">
        <f>IF(Table1[[#This Row],[CurrentStock]]&lt;Table1[[#This Row],[ReorderLevel]],"Reorder","Okay")</f>
        <v>Okay</v>
      </c>
    </row>
    <row r="857" spans="1:15" x14ac:dyDescent="0.3">
      <c r="A857">
        <v>29558</v>
      </c>
      <c r="B857" t="s">
        <v>22</v>
      </c>
      <c r="C857" t="s">
        <v>27</v>
      </c>
      <c r="D857">
        <v>99</v>
      </c>
      <c r="E857">
        <v>80</v>
      </c>
      <c r="F857">
        <v>56.89</v>
      </c>
      <c r="G857" t="s">
        <v>33</v>
      </c>
      <c r="H857" s="1">
        <v>45645</v>
      </c>
      <c r="I857" s="1">
        <v>45679</v>
      </c>
      <c r="J857" t="s">
        <v>37</v>
      </c>
      <c r="K857" t="b">
        <f>Table1[[#This Row],[CurrentStock]]&lt;Table1[[#This Row],[ReorderLevel]]</f>
        <v>0</v>
      </c>
      <c r="L857" s="9">
        <f>Table1[[#This Row],[CurrentStock]]*Table1[[#This Row],[UnitPrice]]</f>
        <v>5632.11</v>
      </c>
      <c r="M857" t="str">
        <f>IF(Table1[[#This Row],[ReorderLevel]]-Table1[[#This Row],[CurrentStock]]&gt;0,Table1[[#This Row],[ReorderLevel]]-Table1[[#This Row],[CurrentStock]],"")</f>
        <v/>
      </c>
      <c r="N857" t="str">
        <f>IF(Table1[[#This Row],[CurrentStock]]&gt;Table1[[#This Row],[ReorderLevel]]*3,"Over Stock","Okay")</f>
        <v>Okay</v>
      </c>
      <c r="O857" t="str">
        <f>IF(Table1[[#This Row],[CurrentStock]]&lt;Table1[[#This Row],[ReorderLevel]],"Reorder","Okay")</f>
        <v>Okay</v>
      </c>
    </row>
    <row r="858" spans="1:15" x14ac:dyDescent="0.3">
      <c r="A858">
        <v>70926</v>
      </c>
      <c r="B858" t="s">
        <v>23</v>
      </c>
      <c r="C858" t="s">
        <v>30</v>
      </c>
      <c r="D858">
        <v>6</v>
      </c>
      <c r="E858">
        <v>150</v>
      </c>
      <c r="F858">
        <v>206.18</v>
      </c>
      <c r="G858" t="s">
        <v>36</v>
      </c>
      <c r="H858" s="1">
        <v>45481</v>
      </c>
      <c r="I858" s="1">
        <v>45513</v>
      </c>
      <c r="J858" t="s">
        <v>39</v>
      </c>
      <c r="K858" t="b">
        <f>Table1[[#This Row],[CurrentStock]]&lt;Table1[[#This Row],[ReorderLevel]]</f>
        <v>1</v>
      </c>
      <c r="L858" s="9">
        <f>Table1[[#This Row],[CurrentStock]]*Table1[[#This Row],[UnitPrice]]</f>
        <v>1237.08</v>
      </c>
      <c r="M858">
        <f>IF(Table1[[#This Row],[ReorderLevel]]-Table1[[#This Row],[CurrentStock]]&gt;0,Table1[[#This Row],[ReorderLevel]]-Table1[[#This Row],[CurrentStock]],"")</f>
        <v>144</v>
      </c>
      <c r="N858" t="str">
        <f>IF(Table1[[#This Row],[CurrentStock]]&gt;Table1[[#This Row],[ReorderLevel]]*3,"Over Stock","Okay")</f>
        <v>Okay</v>
      </c>
      <c r="O858" t="str">
        <f>IF(Table1[[#This Row],[CurrentStock]]&lt;Table1[[#This Row],[ReorderLevel]],"Reorder","Okay")</f>
        <v>Reorder</v>
      </c>
    </row>
    <row r="859" spans="1:15" x14ac:dyDescent="0.3">
      <c r="A859">
        <v>23163</v>
      </c>
      <c r="B859" t="s">
        <v>14</v>
      </c>
      <c r="C859" t="s">
        <v>27</v>
      </c>
      <c r="D859">
        <v>465</v>
      </c>
      <c r="E859">
        <v>50</v>
      </c>
      <c r="F859">
        <v>198.17</v>
      </c>
      <c r="G859" t="s">
        <v>33</v>
      </c>
      <c r="H859" s="1">
        <v>45298</v>
      </c>
      <c r="I859" s="1">
        <v>45330</v>
      </c>
      <c r="J859" t="s">
        <v>39</v>
      </c>
      <c r="K859" t="b">
        <f>Table1[[#This Row],[CurrentStock]]&lt;Table1[[#This Row],[ReorderLevel]]</f>
        <v>0</v>
      </c>
      <c r="L859" s="9">
        <f>Table1[[#This Row],[CurrentStock]]*Table1[[#This Row],[UnitPrice]]</f>
        <v>92149.049999999988</v>
      </c>
      <c r="M859" t="str">
        <f>IF(Table1[[#This Row],[ReorderLevel]]-Table1[[#This Row],[CurrentStock]]&gt;0,Table1[[#This Row],[ReorderLevel]]-Table1[[#This Row],[CurrentStock]],"")</f>
        <v/>
      </c>
      <c r="N859" t="str">
        <f>IF(Table1[[#This Row],[CurrentStock]]&gt;Table1[[#This Row],[ReorderLevel]]*3,"Over Stock","Okay")</f>
        <v>Over Stock</v>
      </c>
      <c r="O859" t="str">
        <f>IF(Table1[[#This Row],[CurrentStock]]&lt;Table1[[#This Row],[ReorderLevel]],"Reorder","Okay")</f>
        <v>Okay</v>
      </c>
    </row>
    <row r="860" spans="1:15" x14ac:dyDescent="0.3">
      <c r="A860">
        <v>12413</v>
      </c>
      <c r="B860" t="s">
        <v>22</v>
      </c>
      <c r="C860" t="s">
        <v>27</v>
      </c>
      <c r="D860">
        <v>239</v>
      </c>
      <c r="E860">
        <v>50</v>
      </c>
      <c r="F860">
        <v>327.11</v>
      </c>
      <c r="G860" t="s">
        <v>33</v>
      </c>
      <c r="H860" s="1">
        <v>45614</v>
      </c>
      <c r="I860" s="1">
        <v>45641</v>
      </c>
      <c r="J860" t="s">
        <v>39</v>
      </c>
      <c r="K860" t="b">
        <f>Table1[[#This Row],[CurrentStock]]&lt;Table1[[#This Row],[ReorderLevel]]</f>
        <v>0</v>
      </c>
      <c r="L860" s="9">
        <f>Table1[[#This Row],[CurrentStock]]*Table1[[#This Row],[UnitPrice]]</f>
        <v>78179.290000000008</v>
      </c>
      <c r="M860" t="str">
        <f>IF(Table1[[#This Row],[ReorderLevel]]-Table1[[#This Row],[CurrentStock]]&gt;0,Table1[[#This Row],[ReorderLevel]]-Table1[[#This Row],[CurrentStock]],"")</f>
        <v/>
      </c>
      <c r="N860" t="str">
        <f>IF(Table1[[#This Row],[CurrentStock]]&gt;Table1[[#This Row],[ReorderLevel]]*3,"Over Stock","Okay")</f>
        <v>Over Stock</v>
      </c>
      <c r="O860" t="str">
        <f>IF(Table1[[#This Row],[CurrentStock]]&lt;Table1[[#This Row],[ReorderLevel]],"Reorder","Okay")</f>
        <v>Okay</v>
      </c>
    </row>
    <row r="861" spans="1:15" x14ac:dyDescent="0.3">
      <c r="A861">
        <v>89731</v>
      </c>
      <c r="B861" t="s">
        <v>15</v>
      </c>
      <c r="C861" t="s">
        <v>29</v>
      </c>
      <c r="D861">
        <v>8</v>
      </c>
      <c r="E861">
        <v>40</v>
      </c>
      <c r="F861">
        <v>305.32</v>
      </c>
      <c r="G861" t="s">
        <v>34</v>
      </c>
      <c r="H861" s="1">
        <v>45595</v>
      </c>
      <c r="I861" s="1">
        <v>45624</v>
      </c>
      <c r="J861" t="s">
        <v>37</v>
      </c>
      <c r="K861" t="b">
        <f>Table1[[#This Row],[CurrentStock]]&lt;Table1[[#This Row],[ReorderLevel]]</f>
        <v>1</v>
      </c>
      <c r="L861" s="9">
        <f>Table1[[#This Row],[CurrentStock]]*Table1[[#This Row],[UnitPrice]]</f>
        <v>2442.56</v>
      </c>
      <c r="M861">
        <f>IF(Table1[[#This Row],[ReorderLevel]]-Table1[[#This Row],[CurrentStock]]&gt;0,Table1[[#This Row],[ReorderLevel]]-Table1[[#This Row],[CurrentStock]],"")</f>
        <v>32</v>
      </c>
      <c r="N861" t="str">
        <f>IF(Table1[[#This Row],[CurrentStock]]&gt;Table1[[#This Row],[ReorderLevel]]*3,"Over Stock","Okay")</f>
        <v>Okay</v>
      </c>
      <c r="O861" t="str">
        <f>IF(Table1[[#This Row],[CurrentStock]]&lt;Table1[[#This Row],[ReorderLevel]],"Reorder","Okay")</f>
        <v>Reorder</v>
      </c>
    </row>
    <row r="862" spans="1:15" x14ac:dyDescent="0.3">
      <c r="A862">
        <v>11214</v>
      </c>
      <c r="B862" t="s">
        <v>13</v>
      </c>
      <c r="C862" t="s">
        <v>29</v>
      </c>
      <c r="D862">
        <v>118</v>
      </c>
      <c r="E862">
        <v>150</v>
      </c>
      <c r="F862">
        <v>172.05</v>
      </c>
      <c r="G862" t="s">
        <v>34</v>
      </c>
      <c r="H862" s="1">
        <v>45395</v>
      </c>
      <c r="I862" s="1">
        <v>45409</v>
      </c>
      <c r="J862" t="s">
        <v>38</v>
      </c>
      <c r="K862" t="b">
        <f>Table1[[#This Row],[CurrentStock]]&lt;Table1[[#This Row],[ReorderLevel]]</f>
        <v>1</v>
      </c>
      <c r="L862" s="9">
        <f>Table1[[#This Row],[CurrentStock]]*Table1[[#This Row],[UnitPrice]]</f>
        <v>20301.900000000001</v>
      </c>
      <c r="M862">
        <f>IF(Table1[[#This Row],[ReorderLevel]]-Table1[[#This Row],[CurrentStock]]&gt;0,Table1[[#This Row],[ReorderLevel]]-Table1[[#This Row],[CurrentStock]],"")</f>
        <v>32</v>
      </c>
      <c r="N862" t="str">
        <f>IF(Table1[[#This Row],[CurrentStock]]&gt;Table1[[#This Row],[ReorderLevel]]*3,"Over Stock","Okay")</f>
        <v>Okay</v>
      </c>
      <c r="O862" t="str">
        <f>IF(Table1[[#This Row],[CurrentStock]]&lt;Table1[[#This Row],[ReorderLevel]],"Reorder","Okay")</f>
        <v>Reorder</v>
      </c>
    </row>
    <row r="863" spans="1:15" x14ac:dyDescent="0.3">
      <c r="A863">
        <v>55807</v>
      </c>
      <c r="B863" t="s">
        <v>13</v>
      </c>
      <c r="C863" t="s">
        <v>29</v>
      </c>
      <c r="D863">
        <v>283</v>
      </c>
      <c r="E863">
        <v>80</v>
      </c>
      <c r="F863">
        <v>338.19</v>
      </c>
      <c r="G863" t="s">
        <v>33</v>
      </c>
      <c r="H863" s="1">
        <v>45497</v>
      </c>
      <c r="I863" s="1">
        <v>45534</v>
      </c>
      <c r="J863" t="s">
        <v>38</v>
      </c>
      <c r="K863" t="b">
        <f>Table1[[#This Row],[CurrentStock]]&lt;Table1[[#This Row],[ReorderLevel]]</f>
        <v>0</v>
      </c>
      <c r="L863" s="9">
        <f>Table1[[#This Row],[CurrentStock]]*Table1[[#This Row],[UnitPrice]]</f>
        <v>95707.77</v>
      </c>
      <c r="M863" t="str">
        <f>IF(Table1[[#This Row],[ReorderLevel]]-Table1[[#This Row],[CurrentStock]]&gt;0,Table1[[#This Row],[ReorderLevel]]-Table1[[#This Row],[CurrentStock]],"")</f>
        <v/>
      </c>
      <c r="N863" t="str">
        <f>IF(Table1[[#This Row],[CurrentStock]]&gt;Table1[[#This Row],[ReorderLevel]]*3,"Over Stock","Okay")</f>
        <v>Over Stock</v>
      </c>
      <c r="O863" t="str">
        <f>IF(Table1[[#This Row],[CurrentStock]]&lt;Table1[[#This Row],[ReorderLevel]],"Reorder","Okay")</f>
        <v>Okay</v>
      </c>
    </row>
    <row r="864" spans="1:15" x14ac:dyDescent="0.3">
      <c r="A864">
        <v>38469</v>
      </c>
      <c r="B864" t="s">
        <v>20</v>
      </c>
      <c r="C864" t="s">
        <v>29</v>
      </c>
      <c r="D864">
        <v>104</v>
      </c>
      <c r="E864">
        <v>30</v>
      </c>
      <c r="F864">
        <v>422.06</v>
      </c>
      <c r="G864" t="s">
        <v>32</v>
      </c>
      <c r="H864" s="1">
        <v>45549</v>
      </c>
      <c r="I864" s="1">
        <v>45565</v>
      </c>
      <c r="J864" t="s">
        <v>38</v>
      </c>
      <c r="K864" t="b">
        <f>Table1[[#This Row],[CurrentStock]]&lt;Table1[[#This Row],[ReorderLevel]]</f>
        <v>0</v>
      </c>
      <c r="L864" s="9">
        <f>Table1[[#This Row],[CurrentStock]]*Table1[[#This Row],[UnitPrice]]</f>
        <v>43894.239999999998</v>
      </c>
      <c r="M864" t="str">
        <f>IF(Table1[[#This Row],[ReorderLevel]]-Table1[[#This Row],[CurrentStock]]&gt;0,Table1[[#This Row],[ReorderLevel]]-Table1[[#This Row],[CurrentStock]],"")</f>
        <v/>
      </c>
      <c r="N864" t="str">
        <f>IF(Table1[[#This Row],[CurrentStock]]&gt;Table1[[#This Row],[ReorderLevel]]*3,"Over Stock","Okay")</f>
        <v>Over Stock</v>
      </c>
      <c r="O864" t="str">
        <f>IF(Table1[[#This Row],[CurrentStock]]&lt;Table1[[#This Row],[ReorderLevel]],"Reorder","Okay")</f>
        <v>Okay</v>
      </c>
    </row>
    <row r="865" spans="1:15" x14ac:dyDescent="0.3">
      <c r="A865">
        <v>26608</v>
      </c>
      <c r="B865" t="s">
        <v>10</v>
      </c>
      <c r="C865" t="s">
        <v>27</v>
      </c>
      <c r="D865">
        <v>378</v>
      </c>
      <c r="E865">
        <v>100</v>
      </c>
      <c r="F865">
        <v>337.08</v>
      </c>
      <c r="G865" t="s">
        <v>33</v>
      </c>
      <c r="H865" s="1">
        <v>45549</v>
      </c>
      <c r="I865" s="1">
        <v>45582</v>
      </c>
      <c r="J865" t="s">
        <v>39</v>
      </c>
      <c r="K865" t="b">
        <f>Table1[[#This Row],[CurrentStock]]&lt;Table1[[#This Row],[ReorderLevel]]</f>
        <v>0</v>
      </c>
      <c r="L865" s="9">
        <f>Table1[[#This Row],[CurrentStock]]*Table1[[#This Row],[UnitPrice]]</f>
        <v>127416.23999999999</v>
      </c>
      <c r="M865" t="str">
        <f>IF(Table1[[#This Row],[ReorderLevel]]-Table1[[#This Row],[CurrentStock]]&gt;0,Table1[[#This Row],[ReorderLevel]]-Table1[[#This Row],[CurrentStock]],"")</f>
        <v/>
      </c>
      <c r="N865" t="str">
        <f>IF(Table1[[#This Row],[CurrentStock]]&gt;Table1[[#This Row],[ReorderLevel]]*3,"Over Stock","Okay")</f>
        <v>Over Stock</v>
      </c>
      <c r="O865" t="str">
        <f>IF(Table1[[#This Row],[CurrentStock]]&lt;Table1[[#This Row],[ReorderLevel]],"Reorder","Okay")</f>
        <v>Okay</v>
      </c>
    </row>
    <row r="866" spans="1:15" x14ac:dyDescent="0.3">
      <c r="A866">
        <v>31630</v>
      </c>
      <c r="B866" t="s">
        <v>22</v>
      </c>
      <c r="C866" t="s">
        <v>27</v>
      </c>
      <c r="D866">
        <v>199</v>
      </c>
      <c r="E866">
        <v>80</v>
      </c>
      <c r="F866">
        <v>312.86</v>
      </c>
      <c r="G866" t="s">
        <v>36</v>
      </c>
      <c r="H866" s="1">
        <v>45644</v>
      </c>
      <c r="I866" s="1">
        <v>45654</v>
      </c>
      <c r="J866" t="s">
        <v>38</v>
      </c>
      <c r="K866" t="b">
        <f>Table1[[#This Row],[CurrentStock]]&lt;Table1[[#This Row],[ReorderLevel]]</f>
        <v>0</v>
      </c>
      <c r="L866" s="9">
        <f>Table1[[#This Row],[CurrentStock]]*Table1[[#This Row],[UnitPrice]]</f>
        <v>62259.14</v>
      </c>
      <c r="M866" t="str">
        <f>IF(Table1[[#This Row],[ReorderLevel]]-Table1[[#This Row],[CurrentStock]]&gt;0,Table1[[#This Row],[ReorderLevel]]-Table1[[#This Row],[CurrentStock]],"")</f>
        <v/>
      </c>
      <c r="N866" t="str">
        <f>IF(Table1[[#This Row],[CurrentStock]]&gt;Table1[[#This Row],[ReorderLevel]]*3,"Over Stock","Okay")</f>
        <v>Okay</v>
      </c>
      <c r="O866" t="str">
        <f>IF(Table1[[#This Row],[CurrentStock]]&lt;Table1[[#This Row],[ReorderLevel]],"Reorder","Okay")</f>
        <v>Okay</v>
      </c>
    </row>
    <row r="867" spans="1:15" x14ac:dyDescent="0.3">
      <c r="A867">
        <v>82388</v>
      </c>
      <c r="B867" t="s">
        <v>20</v>
      </c>
      <c r="C867" t="s">
        <v>29</v>
      </c>
      <c r="D867">
        <v>234</v>
      </c>
      <c r="E867">
        <v>50</v>
      </c>
      <c r="F867">
        <v>107.72</v>
      </c>
      <c r="G867" t="s">
        <v>35</v>
      </c>
      <c r="H867" s="1">
        <v>45331</v>
      </c>
      <c r="I867" s="1">
        <v>45367</v>
      </c>
      <c r="J867" t="s">
        <v>39</v>
      </c>
      <c r="K867" t="b">
        <f>Table1[[#This Row],[CurrentStock]]&lt;Table1[[#This Row],[ReorderLevel]]</f>
        <v>0</v>
      </c>
      <c r="L867" s="9">
        <f>Table1[[#This Row],[CurrentStock]]*Table1[[#This Row],[UnitPrice]]</f>
        <v>25206.48</v>
      </c>
      <c r="M867" t="str">
        <f>IF(Table1[[#This Row],[ReorderLevel]]-Table1[[#This Row],[CurrentStock]]&gt;0,Table1[[#This Row],[ReorderLevel]]-Table1[[#This Row],[CurrentStock]],"")</f>
        <v/>
      </c>
      <c r="N867" t="str">
        <f>IF(Table1[[#This Row],[CurrentStock]]&gt;Table1[[#This Row],[ReorderLevel]]*3,"Over Stock","Okay")</f>
        <v>Over Stock</v>
      </c>
      <c r="O867" t="str">
        <f>IF(Table1[[#This Row],[CurrentStock]]&lt;Table1[[#This Row],[ReorderLevel]],"Reorder","Okay")</f>
        <v>Okay</v>
      </c>
    </row>
    <row r="868" spans="1:15" x14ac:dyDescent="0.3">
      <c r="A868">
        <v>34014</v>
      </c>
      <c r="B868" t="s">
        <v>12</v>
      </c>
      <c r="C868" t="s">
        <v>28</v>
      </c>
      <c r="D868">
        <v>97</v>
      </c>
      <c r="E868">
        <v>20</v>
      </c>
      <c r="F868">
        <v>75.680000000000007</v>
      </c>
      <c r="G868" t="s">
        <v>36</v>
      </c>
      <c r="H868" s="1">
        <v>45533</v>
      </c>
      <c r="I868" s="1">
        <v>45544</v>
      </c>
      <c r="J868" t="s">
        <v>39</v>
      </c>
      <c r="K868" t="b">
        <f>Table1[[#This Row],[CurrentStock]]&lt;Table1[[#This Row],[ReorderLevel]]</f>
        <v>0</v>
      </c>
      <c r="L868" s="9">
        <f>Table1[[#This Row],[CurrentStock]]*Table1[[#This Row],[UnitPrice]]</f>
        <v>7340.9600000000009</v>
      </c>
      <c r="M868" t="str">
        <f>IF(Table1[[#This Row],[ReorderLevel]]-Table1[[#This Row],[CurrentStock]]&gt;0,Table1[[#This Row],[ReorderLevel]]-Table1[[#This Row],[CurrentStock]],"")</f>
        <v/>
      </c>
      <c r="N868" t="str">
        <f>IF(Table1[[#This Row],[CurrentStock]]&gt;Table1[[#This Row],[ReorderLevel]]*3,"Over Stock","Okay")</f>
        <v>Over Stock</v>
      </c>
      <c r="O868" t="str">
        <f>IF(Table1[[#This Row],[CurrentStock]]&lt;Table1[[#This Row],[ReorderLevel]],"Reorder","Okay")</f>
        <v>Okay</v>
      </c>
    </row>
    <row r="869" spans="1:15" x14ac:dyDescent="0.3">
      <c r="A869">
        <v>93245</v>
      </c>
      <c r="B869" t="s">
        <v>14</v>
      </c>
      <c r="C869" t="s">
        <v>27</v>
      </c>
      <c r="D869">
        <v>280</v>
      </c>
      <c r="E869">
        <v>40</v>
      </c>
      <c r="F869">
        <v>178.34</v>
      </c>
      <c r="G869" t="s">
        <v>32</v>
      </c>
      <c r="H869" s="1">
        <v>45443</v>
      </c>
      <c r="I869" s="1">
        <v>45481</v>
      </c>
      <c r="J869" t="s">
        <v>38</v>
      </c>
      <c r="K869" t="b">
        <f>Table1[[#This Row],[CurrentStock]]&lt;Table1[[#This Row],[ReorderLevel]]</f>
        <v>0</v>
      </c>
      <c r="L869" s="9">
        <f>Table1[[#This Row],[CurrentStock]]*Table1[[#This Row],[UnitPrice]]</f>
        <v>49935.200000000004</v>
      </c>
      <c r="M869" t="str">
        <f>IF(Table1[[#This Row],[ReorderLevel]]-Table1[[#This Row],[CurrentStock]]&gt;0,Table1[[#This Row],[ReorderLevel]]-Table1[[#This Row],[CurrentStock]],"")</f>
        <v/>
      </c>
      <c r="N869" t="str">
        <f>IF(Table1[[#This Row],[CurrentStock]]&gt;Table1[[#This Row],[ReorderLevel]]*3,"Over Stock","Okay")</f>
        <v>Over Stock</v>
      </c>
      <c r="O869" t="str">
        <f>IF(Table1[[#This Row],[CurrentStock]]&lt;Table1[[#This Row],[ReorderLevel]],"Reorder","Okay")</f>
        <v>Okay</v>
      </c>
    </row>
    <row r="870" spans="1:15" x14ac:dyDescent="0.3">
      <c r="A870">
        <v>11831</v>
      </c>
      <c r="B870" t="s">
        <v>13</v>
      </c>
      <c r="C870" t="s">
        <v>29</v>
      </c>
      <c r="D870">
        <v>48</v>
      </c>
      <c r="E870">
        <v>100</v>
      </c>
      <c r="F870">
        <v>194.27</v>
      </c>
      <c r="G870" t="s">
        <v>33</v>
      </c>
      <c r="H870" s="1">
        <v>45601</v>
      </c>
      <c r="I870" s="1">
        <v>45632</v>
      </c>
      <c r="J870" t="s">
        <v>38</v>
      </c>
      <c r="K870" t="b">
        <f>Table1[[#This Row],[CurrentStock]]&lt;Table1[[#This Row],[ReorderLevel]]</f>
        <v>1</v>
      </c>
      <c r="L870" s="9">
        <f>Table1[[#This Row],[CurrentStock]]*Table1[[#This Row],[UnitPrice]]</f>
        <v>9324.9600000000009</v>
      </c>
      <c r="M870">
        <f>IF(Table1[[#This Row],[ReorderLevel]]-Table1[[#This Row],[CurrentStock]]&gt;0,Table1[[#This Row],[ReorderLevel]]-Table1[[#This Row],[CurrentStock]],"")</f>
        <v>52</v>
      </c>
      <c r="N870" t="str">
        <f>IF(Table1[[#This Row],[CurrentStock]]&gt;Table1[[#This Row],[ReorderLevel]]*3,"Over Stock","Okay")</f>
        <v>Okay</v>
      </c>
      <c r="O870" t="str">
        <f>IF(Table1[[#This Row],[CurrentStock]]&lt;Table1[[#This Row],[ReorderLevel]],"Reorder","Okay")</f>
        <v>Reorder</v>
      </c>
    </row>
    <row r="871" spans="1:15" x14ac:dyDescent="0.3">
      <c r="A871">
        <v>86508</v>
      </c>
      <c r="B871" t="s">
        <v>22</v>
      </c>
      <c r="C871" t="s">
        <v>27</v>
      </c>
      <c r="D871">
        <v>272</v>
      </c>
      <c r="E871">
        <v>20</v>
      </c>
      <c r="F871">
        <v>264.51</v>
      </c>
      <c r="G871" t="s">
        <v>35</v>
      </c>
      <c r="H871" s="1">
        <v>45599</v>
      </c>
      <c r="I871" s="1">
        <v>45619</v>
      </c>
      <c r="J871" t="s">
        <v>37</v>
      </c>
      <c r="K871" t="b">
        <f>Table1[[#This Row],[CurrentStock]]&lt;Table1[[#This Row],[ReorderLevel]]</f>
        <v>0</v>
      </c>
      <c r="L871" s="9">
        <f>Table1[[#This Row],[CurrentStock]]*Table1[[#This Row],[UnitPrice]]</f>
        <v>71946.720000000001</v>
      </c>
      <c r="M871" t="str">
        <f>IF(Table1[[#This Row],[ReorderLevel]]-Table1[[#This Row],[CurrentStock]]&gt;0,Table1[[#This Row],[ReorderLevel]]-Table1[[#This Row],[CurrentStock]],"")</f>
        <v/>
      </c>
      <c r="N871" t="str">
        <f>IF(Table1[[#This Row],[CurrentStock]]&gt;Table1[[#This Row],[ReorderLevel]]*3,"Over Stock","Okay")</f>
        <v>Over Stock</v>
      </c>
      <c r="O871" t="str">
        <f>IF(Table1[[#This Row],[CurrentStock]]&lt;Table1[[#This Row],[ReorderLevel]],"Reorder","Okay")</f>
        <v>Okay</v>
      </c>
    </row>
    <row r="872" spans="1:15" x14ac:dyDescent="0.3">
      <c r="A872">
        <v>21017</v>
      </c>
      <c r="B872" t="s">
        <v>10</v>
      </c>
      <c r="C872" t="s">
        <v>27</v>
      </c>
      <c r="D872">
        <v>476</v>
      </c>
      <c r="E872">
        <v>80</v>
      </c>
      <c r="F872">
        <v>290.70999999999998</v>
      </c>
      <c r="G872" t="s">
        <v>32</v>
      </c>
      <c r="H872" s="1">
        <v>45632</v>
      </c>
      <c r="I872" s="1">
        <v>45641</v>
      </c>
      <c r="J872" t="s">
        <v>37</v>
      </c>
      <c r="K872" t="b">
        <f>Table1[[#This Row],[CurrentStock]]&lt;Table1[[#This Row],[ReorderLevel]]</f>
        <v>0</v>
      </c>
      <c r="L872" s="9">
        <f>Table1[[#This Row],[CurrentStock]]*Table1[[#This Row],[UnitPrice]]</f>
        <v>138377.96</v>
      </c>
      <c r="M872" t="str">
        <f>IF(Table1[[#This Row],[ReorderLevel]]-Table1[[#This Row],[CurrentStock]]&gt;0,Table1[[#This Row],[ReorderLevel]]-Table1[[#This Row],[CurrentStock]],"")</f>
        <v/>
      </c>
      <c r="N872" t="str">
        <f>IF(Table1[[#This Row],[CurrentStock]]&gt;Table1[[#This Row],[ReorderLevel]]*3,"Over Stock","Okay")</f>
        <v>Over Stock</v>
      </c>
      <c r="O872" t="str">
        <f>IF(Table1[[#This Row],[CurrentStock]]&lt;Table1[[#This Row],[ReorderLevel]],"Reorder","Okay")</f>
        <v>Okay</v>
      </c>
    </row>
    <row r="873" spans="1:15" x14ac:dyDescent="0.3">
      <c r="A873">
        <v>10368</v>
      </c>
      <c r="B873" t="s">
        <v>26</v>
      </c>
      <c r="C873" t="s">
        <v>30</v>
      </c>
      <c r="D873">
        <v>275</v>
      </c>
      <c r="E873">
        <v>20</v>
      </c>
      <c r="F873">
        <v>216.02</v>
      </c>
      <c r="G873" t="s">
        <v>35</v>
      </c>
      <c r="H873" s="1">
        <v>45301</v>
      </c>
      <c r="I873" s="1">
        <v>45314</v>
      </c>
      <c r="J873" t="s">
        <v>38</v>
      </c>
      <c r="K873" t="b">
        <f>Table1[[#This Row],[CurrentStock]]&lt;Table1[[#This Row],[ReorderLevel]]</f>
        <v>0</v>
      </c>
      <c r="L873" s="9">
        <f>Table1[[#This Row],[CurrentStock]]*Table1[[#This Row],[UnitPrice]]</f>
        <v>59405.5</v>
      </c>
      <c r="M873" t="str">
        <f>IF(Table1[[#This Row],[ReorderLevel]]-Table1[[#This Row],[CurrentStock]]&gt;0,Table1[[#This Row],[ReorderLevel]]-Table1[[#This Row],[CurrentStock]],"")</f>
        <v/>
      </c>
      <c r="N873" t="str">
        <f>IF(Table1[[#This Row],[CurrentStock]]&gt;Table1[[#This Row],[ReorderLevel]]*3,"Over Stock","Okay")</f>
        <v>Over Stock</v>
      </c>
      <c r="O873" t="str">
        <f>IF(Table1[[#This Row],[CurrentStock]]&lt;Table1[[#This Row],[ReorderLevel]],"Reorder","Okay")</f>
        <v>Okay</v>
      </c>
    </row>
    <row r="874" spans="1:15" x14ac:dyDescent="0.3">
      <c r="A874">
        <v>38365</v>
      </c>
      <c r="B874" t="s">
        <v>15</v>
      </c>
      <c r="C874" t="s">
        <v>29</v>
      </c>
      <c r="D874">
        <v>408</v>
      </c>
      <c r="E874">
        <v>20</v>
      </c>
      <c r="F874">
        <v>23.6</v>
      </c>
      <c r="G874" t="s">
        <v>35</v>
      </c>
      <c r="H874" s="1">
        <v>45302</v>
      </c>
      <c r="I874" s="1">
        <v>45332</v>
      </c>
      <c r="J874" t="s">
        <v>39</v>
      </c>
      <c r="K874" t="b">
        <f>Table1[[#This Row],[CurrentStock]]&lt;Table1[[#This Row],[ReorderLevel]]</f>
        <v>0</v>
      </c>
      <c r="L874" s="9">
        <f>Table1[[#This Row],[CurrentStock]]*Table1[[#This Row],[UnitPrice]]</f>
        <v>9628.8000000000011</v>
      </c>
      <c r="M874" t="str">
        <f>IF(Table1[[#This Row],[ReorderLevel]]-Table1[[#This Row],[CurrentStock]]&gt;0,Table1[[#This Row],[ReorderLevel]]-Table1[[#This Row],[CurrentStock]],"")</f>
        <v/>
      </c>
      <c r="N874" t="str">
        <f>IF(Table1[[#This Row],[CurrentStock]]&gt;Table1[[#This Row],[ReorderLevel]]*3,"Over Stock","Okay")</f>
        <v>Over Stock</v>
      </c>
      <c r="O874" t="str">
        <f>IF(Table1[[#This Row],[CurrentStock]]&lt;Table1[[#This Row],[ReorderLevel]],"Reorder","Okay")</f>
        <v>Okay</v>
      </c>
    </row>
    <row r="875" spans="1:15" x14ac:dyDescent="0.3">
      <c r="A875">
        <v>45670</v>
      </c>
      <c r="B875" t="s">
        <v>10</v>
      </c>
      <c r="C875" t="s">
        <v>27</v>
      </c>
      <c r="D875">
        <v>285</v>
      </c>
      <c r="E875">
        <v>50</v>
      </c>
      <c r="F875">
        <v>127.49</v>
      </c>
      <c r="G875" t="s">
        <v>34</v>
      </c>
      <c r="H875" s="1">
        <v>45624</v>
      </c>
      <c r="I875" s="1">
        <v>45659</v>
      </c>
      <c r="J875" t="s">
        <v>38</v>
      </c>
      <c r="K875" t="b">
        <f>Table1[[#This Row],[CurrentStock]]&lt;Table1[[#This Row],[ReorderLevel]]</f>
        <v>0</v>
      </c>
      <c r="L875" s="9">
        <f>Table1[[#This Row],[CurrentStock]]*Table1[[#This Row],[UnitPrice]]</f>
        <v>36334.65</v>
      </c>
      <c r="M875" t="str">
        <f>IF(Table1[[#This Row],[ReorderLevel]]-Table1[[#This Row],[CurrentStock]]&gt;0,Table1[[#This Row],[ReorderLevel]]-Table1[[#This Row],[CurrentStock]],"")</f>
        <v/>
      </c>
      <c r="N875" t="str">
        <f>IF(Table1[[#This Row],[CurrentStock]]&gt;Table1[[#This Row],[ReorderLevel]]*3,"Over Stock","Okay")</f>
        <v>Over Stock</v>
      </c>
      <c r="O875" t="str">
        <f>IF(Table1[[#This Row],[CurrentStock]]&lt;Table1[[#This Row],[ReorderLevel]],"Reorder","Okay")</f>
        <v>Okay</v>
      </c>
    </row>
    <row r="876" spans="1:15" x14ac:dyDescent="0.3">
      <c r="A876">
        <v>66326</v>
      </c>
      <c r="B876" t="s">
        <v>16</v>
      </c>
      <c r="C876" t="s">
        <v>30</v>
      </c>
      <c r="D876">
        <v>439</v>
      </c>
      <c r="E876">
        <v>20</v>
      </c>
      <c r="F876">
        <v>137.78</v>
      </c>
      <c r="G876" t="s">
        <v>32</v>
      </c>
      <c r="H876" s="1">
        <v>45483</v>
      </c>
      <c r="I876" s="1">
        <v>45499</v>
      </c>
      <c r="J876" t="s">
        <v>38</v>
      </c>
      <c r="K876" t="b">
        <f>Table1[[#This Row],[CurrentStock]]&lt;Table1[[#This Row],[ReorderLevel]]</f>
        <v>0</v>
      </c>
      <c r="L876" s="9">
        <f>Table1[[#This Row],[CurrentStock]]*Table1[[#This Row],[UnitPrice]]</f>
        <v>60485.42</v>
      </c>
      <c r="M876" t="str">
        <f>IF(Table1[[#This Row],[ReorderLevel]]-Table1[[#This Row],[CurrentStock]]&gt;0,Table1[[#This Row],[ReorderLevel]]-Table1[[#This Row],[CurrentStock]],"")</f>
        <v/>
      </c>
      <c r="N876" t="str">
        <f>IF(Table1[[#This Row],[CurrentStock]]&gt;Table1[[#This Row],[ReorderLevel]]*3,"Over Stock","Okay")</f>
        <v>Over Stock</v>
      </c>
      <c r="O876" t="str">
        <f>IF(Table1[[#This Row],[CurrentStock]]&lt;Table1[[#This Row],[ReorderLevel]],"Reorder","Okay")</f>
        <v>Okay</v>
      </c>
    </row>
    <row r="877" spans="1:15" x14ac:dyDescent="0.3">
      <c r="A877">
        <v>51964</v>
      </c>
      <c r="B877" t="s">
        <v>21</v>
      </c>
      <c r="C877" t="s">
        <v>31</v>
      </c>
      <c r="D877">
        <v>239</v>
      </c>
      <c r="E877">
        <v>30</v>
      </c>
      <c r="F877">
        <v>272.57</v>
      </c>
      <c r="G877" t="s">
        <v>36</v>
      </c>
      <c r="H877" s="1">
        <v>45524</v>
      </c>
      <c r="I877" s="1">
        <v>45562</v>
      </c>
      <c r="J877" t="s">
        <v>38</v>
      </c>
      <c r="K877" t="b">
        <f>Table1[[#This Row],[CurrentStock]]&lt;Table1[[#This Row],[ReorderLevel]]</f>
        <v>0</v>
      </c>
      <c r="L877" s="9">
        <f>Table1[[#This Row],[CurrentStock]]*Table1[[#This Row],[UnitPrice]]</f>
        <v>65144.229999999996</v>
      </c>
      <c r="M877" t="str">
        <f>IF(Table1[[#This Row],[ReorderLevel]]-Table1[[#This Row],[CurrentStock]]&gt;0,Table1[[#This Row],[ReorderLevel]]-Table1[[#This Row],[CurrentStock]],"")</f>
        <v/>
      </c>
      <c r="N877" t="str">
        <f>IF(Table1[[#This Row],[CurrentStock]]&gt;Table1[[#This Row],[ReorderLevel]]*3,"Over Stock","Okay")</f>
        <v>Over Stock</v>
      </c>
      <c r="O877" t="str">
        <f>IF(Table1[[#This Row],[CurrentStock]]&lt;Table1[[#This Row],[ReorderLevel]],"Reorder","Okay")</f>
        <v>Okay</v>
      </c>
    </row>
    <row r="878" spans="1:15" x14ac:dyDescent="0.3">
      <c r="A878">
        <v>84353</v>
      </c>
      <c r="B878" t="s">
        <v>10</v>
      </c>
      <c r="C878" t="s">
        <v>27</v>
      </c>
      <c r="D878">
        <v>151</v>
      </c>
      <c r="E878">
        <v>50</v>
      </c>
      <c r="F878">
        <v>123.92</v>
      </c>
      <c r="G878" t="s">
        <v>34</v>
      </c>
      <c r="H878" s="1">
        <v>45432</v>
      </c>
      <c r="I878" s="1">
        <v>45467</v>
      </c>
      <c r="J878" t="s">
        <v>38</v>
      </c>
      <c r="K878" t="b">
        <f>Table1[[#This Row],[CurrentStock]]&lt;Table1[[#This Row],[ReorderLevel]]</f>
        <v>0</v>
      </c>
      <c r="L878" s="9">
        <f>Table1[[#This Row],[CurrentStock]]*Table1[[#This Row],[UnitPrice]]</f>
        <v>18711.920000000002</v>
      </c>
      <c r="M878" t="str">
        <f>IF(Table1[[#This Row],[ReorderLevel]]-Table1[[#This Row],[CurrentStock]]&gt;0,Table1[[#This Row],[ReorderLevel]]-Table1[[#This Row],[CurrentStock]],"")</f>
        <v/>
      </c>
      <c r="N878" t="str">
        <f>IF(Table1[[#This Row],[CurrentStock]]&gt;Table1[[#This Row],[ReorderLevel]]*3,"Over Stock","Okay")</f>
        <v>Over Stock</v>
      </c>
      <c r="O878" t="str">
        <f>IF(Table1[[#This Row],[CurrentStock]]&lt;Table1[[#This Row],[ReorderLevel]],"Reorder","Okay")</f>
        <v>Okay</v>
      </c>
    </row>
    <row r="879" spans="1:15" x14ac:dyDescent="0.3">
      <c r="A879">
        <v>68008</v>
      </c>
      <c r="B879" t="s">
        <v>12</v>
      </c>
      <c r="C879" t="s">
        <v>28</v>
      </c>
      <c r="D879">
        <v>139</v>
      </c>
      <c r="E879">
        <v>80</v>
      </c>
      <c r="F879">
        <v>172.49</v>
      </c>
      <c r="G879" t="s">
        <v>36</v>
      </c>
      <c r="H879" s="1">
        <v>45515</v>
      </c>
      <c r="I879" s="1">
        <v>45533</v>
      </c>
      <c r="J879" t="s">
        <v>38</v>
      </c>
      <c r="K879" t="b">
        <f>Table1[[#This Row],[CurrentStock]]&lt;Table1[[#This Row],[ReorderLevel]]</f>
        <v>0</v>
      </c>
      <c r="L879" s="9">
        <f>Table1[[#This Row],[CurrentStock]]*Table1[[#This Row],[UnitPrice]]</f>
        <v>23976.11</v>
      </c>
      <c r="M879" t="str">
        <f>IF(Table1[[#This Row],[ReorderLevel]]-Table1[[#This Row],[CurrentStock]]&gt;0,Table1[[#This Row],[ReorderLevel]]-Table1[[#This Row],[CurrentStock]],"")</f>
        <v/>
      </c>
      <c r="N879" t="str">
        <f>IF(Table1[[#This Row],[CurrentStock]]&gt;Table1[[#This Row],[ReorderLevel]]*3,"Over Stock","Okay")</f>
        <v>Okay</v>
      </c>
      <c r="O879" t="str">
        <f>IF(Table1[[#This Row],[CurrentStock]]&lt;Table1[[#This Row],[ReorderLevel]],"Reorder","Okay")</f>
        <v>Okay</v>
      </c>
    </row>
    <row r="880" spans="1:15" x14ac:dyDescent="0.3">
      <c r="A880">
        <v>78906</v>
      </c>
      <c r="B880" t="s">
        <v>26</v>
      </c>
      <c r="C880" t="s">
        <v>30</v>
      </c>
      <c r="D880">
        <v>30</v>
      </c>
      <c r="E880">
        <v>80</v>
      </c>
      <c r="F880">
        <v>484.09</v>
      </c>
      <c r="G880" t="s">
        <v>35</v>
      </c>
      <c r="H880" s="1">
        <v>45654</v>
      </c>
      <c r="I880" s="1">
        <v>45663</v>
      </c>
      <c r="J880" t="s">
        <v>38</v>
      </c>
      <c r="K880" t="b">
        <f>Table1[[#This Row],[CurrentStock]]&lt;Table1[[#This Row],[ReorderLevel]]</f>
        <v>1</v>
      </c>
      <c r="L880" s="9">
        <f>Table1[[#This Row],[CurrentStock]]*Table1[[#This Row],[UnitPrice]]</f>
        <v>14522.699999999999</v>
      </c>
      <c r="M880">
        <f>IF(Table1[[#This Row],[ReorderLevel]]-Table1[[#This Row],[CurrentStock]]&gt;0,Table1[[#This Row],[ReorderLevel]]-Table1[[#This Row],[CurrentStock]],"")</f>
        <v>50</v>
      </c>
      <c r="N880" t="str">
        <f>IF(Table1[[#This Row],[CurrentStock]]&gt;Table1[[#This Row],[ReorderLevel]]*3,"Over Stock","Okay")</f>
        <v>Okay</v>
      </c>
      <c r="O880" t="str">
        <f>IF(Table1[[#This Row],[CurrentStock]]&lt;Table1[[#This Row],[ReorderLevel]],"Reorder","Okay")</f>
        <v>Reorder</v>
      </c>
    </row>
    <row r="881" spans="1:15" x14ac:dyDescent="0.3">
      <c r="A881">
        <v>42125</v>
      </c>
      <c r="B881" t="s">
        <v>13</v>
      </c>
      <c r="C881" t="s">
        <v>29</v>
      </c>
      <c r="D881">
        <v>486</v>
      </c>
      <c r="E881">
        <v>150</v>
      </c>
      <c r="F881">
        <v>316.11</v>
      </c>
      <c r="G881" t="s">
        <v>35</v>
      </c>
      <c r="H881" s="1">
        <v>45358</v>
      </c>
      <c r="I881" s="1">
        <v>45384</v>
      </c>
      <c r="J881" t="s">
        <v>38</v>
      </c>
      <c r="K881" t="b">
        <f>Table1[[#This Row],[CurrentStock]]&lt;Table1[[#This Row],[ReorderLevel]]</f>
        <v>0</v>
      </c>
      <c r="L881" s="9">
        <f>Table1[[#This Row],[CurrentStock]]*Table1[[#This Row],[UnitPrice]]</f>
        <v>153629.46000000002</v>
      </c>
      <c r="M881" t="str">
        <f>IF(Table1[[#This Row],[ReorderLevel]]-Table1[[#This Row],[CurrentStock]]&gt;0,Table1[[#This Row],[ReorderLevel]]-Table1[[#This Row],[CurrentStock]],"")</f>
        <v/>
      </c>
      <c r="N881" t="str">
        <f>IF(Table1[[#This Row],[CurrentStock]]&gt;Table1[[#This Row],[ReorderLevel]]*3,"Over Stock","Okay")</f>
        <v>Over Stock</v>
      </c>
      <c r="O881" t="str">
        <f>IF(Table1[[#This Row],[CurrentStock]]&lt;Table1[[#This Row],[ReorderLevel]],"Reorder","Okay")</f>
        <v>Okay</v>
      </c>
    </row>
    <row r="882" spans="1:15" x14ac:dyDescent="0.3">
      <c r="A882">
        <v>16895</v>
      </c>
      <c r="B882" t="s">
        <v>12</v>
      </c>
      <c r="C882" t="s">
        <v>28</v>
      </c>
      <c r="D882">
        <v>336</v>
      </c>
      <c r="E882">
        <v>30</v>
      </c>
      <c r="F882">
        <v>224.26</v>
      </c>
      <c r="G882" t="s">
        <v>34</v>
      </c>
      <c r="H882" s="1">
        <v>45529</v>
      </c>
      <c r="I882" s="1">
        <v>45560</v>
      </c>
      <c r="J882" t="s">
        <v>39</v>
      </c>
      <c r="K882" t="b">
        <f>Table1[[#This Row],[CurrentStock]]&lt;Table1[[#This Row],[ReorderLevel]]</f>
        <v>0</v>
      </c>
      <c r="L882" s="9">
        <f>Table1[[#This Row],[CurrentStock]]*Table1[[#This Row],[UnitPrice]]</f>
        <v>75351.360000000001</v>
      </c>
      <c r="M882" t="str">
        <f>IF(Table1[[#This Row],[ReorderLevel]]-Table1[[#This Row],[CurrentStock]]&gt;0,Table1[[#This Row],[ReorderLevel]]-Table1[[#This Row],[CurrentStock]],"")</f>
        <v/>
      </c>
      <c r="N882" t="str">
        <f>IF(Table1[[#This Row],[CurrentStock]]&gt;Table1[[#This Row],[ReorderLevel]]*3,"Over Stock","Okay")</f>
        <v>Over Stock</v>
      </c>
      <c r="O882" t="str">
        <f>IF(Table1[[#This Row],[CurrentStock]]&lt;Table1[[#This Row],[ReorderLevel]],"Reorder","Okay")</f>
        <v>Okay</v>
      </c>
    </row>
    <row r="883" spans="1:15" x14ac:dyDescent="0.3">
      <c r="A883">
        <v>65823</v>
      </c>
      <c r="B883" t="s">
        <v>26</v>
      </c>
      <c r="C883" t="s">
        <v>30</v>
      </c>
      <c r="D883">
        <v>63</v>
      </c>
      <c r="E883">
        <v>40</v>
      </c>
      <c r="F883">
        <v>399.16</v>
      </c>
      <c r="G883" t="s">
        <v>35</v>
      </c>
      <c r="H883" s="1">
        <v>45405</v>
      </c>
      <c r="I883" s="1">
        <v>45429</v>
      </c>
      <c r="J883" t="s">
        <v>38</v>
      </c>
      <c r="K883" t="b">
        <f>Table1[[#This Row],[CurrentStock]]&lt;Table1[[#This Row],[ReorderLevel]]</f>
        <v>0</v>
      </c>
      <c r="L883" s="9">
        <f>Table1[[#This Row],[CurrentStock]]*Table1[[#This Row],[UnitPrice]]</f>
        <v>25147.08</v>
      </c>
      <c r="M883" t="str">
        <f>IF(Table1[[#This Row],[ReorderLevel]]-Table1[[#This Row],[CurrentStock]]&gt;0,Table1[[#This Row],[ReorderLevel]]-Table1[[#This Row],[CurrentStock]],"")</f>
        <v/>
      </c>
      <c r="N883" t="str">
        <f>IF(Table1[[#This Row],[CurrentStock]]&gt;Table1[[#This Row],[ReorderLevel]]*3,"Over Stock","Okay")</f>
        <v>Okay</v>
      </c>
      <c r="O883" t="str">
        <f>IF(Table1[[#This Row],[CurrentStock]]&lt;Table1[[#This Row],[ReorderLevel]],"Reorder","Okay")</f>
        <v>Okay</v>
      </c>
    </row>
    <row r="884" spans="1:15" x14ac:dyDescent="0.3">
      <c r="A884">
        <v>30982</v>
      </c>
      <c r="B884" t="s">
        <v>26</v>
      </c>
      <c r="C884" t="s">
        <v>30</v>
      </c>
      <c r="D884">
        <v>104</v>
      </c>
      <c r="E884">
        <v>50</v>
      </c>
      <c r="F884">
        <v>28.65</v>
      </c>
      <c r="G884" t="s">
        <v>35</v>
      </c>
      <c r="H884" s="1">
        <v>45591</v>
      </c>
      <c r="I884" s="1">
        <v>45607</v>
      </c>
      <c r="J884" t="s">
        <v>38</v>
      </c>
      <c r="K884" t="b">
        <f>Table1[[#This Row],[CurrentStock]]&lt;Table1[[#This Row],[ReorderLevel]]</f>
        <v>0</v>
      </c>
      <c r="L884" s="9">
        <f>Table1[[#This Row],[CurrentStock]]*Table1[[#This Row],[UnitPrice]]</f>
        <v>2979.6</v>
      </c>
      <c r="M884" t="str">
        <f>IF(Table1[[#This Row],[ReorderLevel]]-Table1[[#This Row],[CurrentStock]]&gt;0,Table1[[#This Row],[ReorderLevel]]-Table1[[#This Row],[CurrentStock]],"")</f>
        <v/>
      </c>
      <c r="N884" t="str">
        <f>IF(Table1[[#This Row],[CurrentStock]]&gt;Table1[[#This Row],[ReorderLevel]]*3,"Over Stock","Okay")</f>
        <v>Okay</v>
      </c>
      <c r="O884" t="str">
        <f>IF(Table1[[#This Row],[CurrentStock]]&lt;Table1[[#This Row],[ReorderLevel]],"Reorder","Okay")</f>
        <v>Okay</v>
      </c>
    </row>
    <row r="885" spans="1:15" x14ac:dyDescent="0.3">
      <c r="A885">
        <v>27358</v>
      </c>
      <c r="B885" t="s">
        <v>19</v>
      </c>
      <c r="C885" t="s">
        <v>28</v>
      </c>
      <c r="D885">
        <v>425</v>
      </c>
      <c r="E885">
        <v>50</v>
      </c>
      <c r="F885">
        <v>388.59</v>
      </c>
      <c r="G885" t="s">
        <v>33</v>
      </c>
      <c r="H885" s="1">
        <v>45394</v>
      </c>
      <c r="I885" s="1">
        <v>45416</v>
      </c>
      <c r="J885" t="s">
        <v>38</v>
      </c>
      <c r="K885" t="b">
        <f>Table1[[#This Row],[CurrentStock]]&lt;Table1[[#This Row],[ReorderLevel]]</f>
        <v>0</v>
      </c>
      <c r="L885" s="9">
        <f>Table1[[#This Row],[CurrentStock]]*Table1[[#This Row],[UnitPrice]]</f>
        <v>165150.75</v>
      </c>
      <c r="M885" t="str">
        <f>IF(Table1[[#This Row],[ReorderLevel]]-Table1[[#This Row],[CurrentStock]]&gt;0,Table1[[#This Row],[ReorderLevel]]-Table1[[#This Row],[CurrentStock]],"")</f>
        <v/>
      </c>
      <c r="N885" t="str">
        <f>IF(Table1[[#This Row],[CurrentStock]]&gt;Table1[[#This Row],[ReorderLevel]]*3,"Over Stock","Okay")</f>
        <v>Over Stock</v>
      </c>
      <c r="O885" t="str">
        <f>IF(Table1[[#This Row],[CurrentStock]]&lt;Table1[[#This Row],[ReorderLevel]],"Reorder","Okay")</f>
        <v>Okay</v>
      </c>
    </row>
    <row r="886" spans="1:15" x14ac:dyDescent="0.3">
      <c r="A886">
        <v>46495</v>
      </c>
      <c r="B886" t="s">
        <v>22</v>
      </c>
      <c r="C886" t="s">
        <v>27</v>
      </c>
      <c r="D886">
        <v>225</v>
      </c>
      <c r="E886">
        <v>100</v>
      </c>
      <c r="F886">
        <v>295.44</v>
      </c>
      <c r="G886" t="s">
        <v>35</v>
      </c>
      <c r="H886" s="1">
        <v>45540</v>
      </c>
      <c r="I886" s="1">
        <v>45549</v>
      </c>
      <c r="J886" t="s">
        <v>39</v>
      </c>
      <c r="K886" t="b">
        <f>Table1[[#This Row],[CurrentStock]]&lt;Table1[[#This Row],[ReorderLevel]]</f>
        <v>0</v>
      </c>
      <c r="L886" s="9">
        <f>Table1[[#This Row],[CurrentStock]]*Table1[[#This Row],[UnitPrice]]</f>
        <v>66474</v>
      </c>
      <c r="M886" t="str">
        <f>IF(Table1[[#This Row],[ReorderLevel]]-Table1[[#This Row],[CurrentStock]]&gt;0,Table1[[#This Row],[ReorderLevel]]-Table1[[#This Row],[CurrentStock]],"")</f>
        <v/>
      </c>
      <c r="N886" t="str">
        <f>IF(Table1[[#This Row],[CurrentStock]]&gt;Table1[[#This Row],[ReorderLevel]]*3,"Over Stock","Okay")</f>
        <v>Okay</v>
      </c>
      <c r="O886" t="str">
        <f>IF(Table1[[#This Row],[CurrentStock]]&lt;Table1[[#This Row],[ReorderLevel]],"Reorder","Okay")</f>
        <v>Okay</v>
      </c>
    </row>
    <row r="887" spans="1:15" x14ac:dyDescent="0.3">
      <c r="A887">
        <v>19716</v>
      </c>
      <c r="B887" t="s">
        <v>21</v>
      </c>
      <c r="C887" t="s">
        <v>31</v>
      </c>
      <c r="D887">
        <v>414</v>
      </c>
      <c r="E887">
        <v>40</v>
      </c>
      <c r="F887">
        <v>129.81</v>
      </c>
      <c r="G887" t="s">
        <v>34</v>
      </c>
      <c r="H887" s="1">
        <v>45412</v>
      </c>
      <c r="I887" s="1">
        <v>45428</v>
      </c>
      <c r="J887" t="s">
        <v>39</v>
      </c>
      <c r="K887" t="b">
        <f>Table1[[#This Row],[CurrentStock]]&lt;Table1[[#This Row],[ReorderLevel]]</f>
        <v>0</v>
      </c>
      <c r="L887" s="9">
        <f>Table1[[#This Row],[CurrentStock]]*Table1[[#This Row],[UnitPrice]]</f>
        <v>53741.340000000004</v>
      </c>
      <c r="M887" t="str">
        <f>IF(Table1[[#This Row],[ReorderLevel]]-Table1[[#This Row],[CurrentStock]]&gt;0,Table1[[#This Row],[ReorderLevel]]-Table1[[#This Row],[CurrentStock]],"")</f>
        <v/>
      </c>
      <c r="N887" t="str">
        <f>IF(Table1[[#This Row],[CurrentStock]]&gt;Table1[[#This Row],[ReorderLevel]]*3,"Over Stock","Okay")</f>
        <v>Over Stock</v>
      </c>
      <c r="O887" t="str">
        <f>IF(Table1[[#This Row],[CurrentStock]]&lt;Table1[[#This Row],[ReorderLevel]],"Reorder","Okay")</f>
        <v>Okay</v>
      </c>
    </row>
    <row r="888" spans="1:15" x14ac:dyDescent="0.3">
      <c r="A888">
        <v>17213</v>
      </c>
      <c r="B888" t="s">
        <v>20</v>
      </c>
      <c r="C888" t="s">
        <v>29</v>
      </c>
      <c r="D888">
        <v>278</v>
      </c>
      <c r="E888">
        <v>20</v>
      </c>
      <c r="F888">
        <v>477.44</v>
      </c>
      <c r="G888" t="s">
        <v>32</v>
      </c>
      <c r="H888" s="1">
        <v>45512</v>
      </c>
      <c r="I888" s="1">
        <v>45532</v>
      </c>
      <c r="J888" t="s">
        <v>38</v>
      </c>
      <c r="K888" t="b">
        <f>Table1[[#This Row],[CurrentStock]]&lt;Table1[[#This Row],[ReorderLevel]]</f>
        <v>0</v>
      </c>
      <c r="L888" s="9">
        <f>Table1[[#This Row],[CurrentStock]]*Table1[[#This Row],[UnitPrice]]</f>
        <v>132728.32000000001</v>
      </c>
      <c r="M888" t="str">
        <f>IF(Table1[[#This Row],[ReorderLevel]]-Table1[[#This Row],[CurrentStock]]&gt;0,Table1[[#This Row],[ReorderLevel]]-Table1[[#This Row],[CurrentStock]],"")</f>
        <v/>
      </c>
      <c r="N888" t="str">
        <f>IF(Table1[[#This Row],[CurrentStock]]&gt;Table1[[#This Row],[ReorderLevel]]*3,"Over Stock","Okay")</f>
        <v>Over Stock</v>
      </c>
      <c r="O888" t="str">
        <f>IF(Table1[[#This Row],[CurrentStock]]&lt;Table1[[#This Row],[ReorderLevel]],"Reorder","Okay")</f>
        <v>Okay</v>
      </c>
    </row>
    <row r="889" spans="1:15" x14ac:dyDescent="0.3">
      <c r="A889">
        <v>85386</v>
      </c>
      <c r="B889" t="s">
        <v>23</v>
      </c>
      <c r="C889" t="s">
        <v>30</v>
      </c>
      <c r="D889">
        <v>161</v>
      </c>
      <c r="E889">
        <v>40</v>
      </c>
      <c r="F889">
        <v>313.08</v>
      </c>
      <c r="G889" t="s">
        <v>34</v>
      </c>
      <c r="H889" s="1">
        <v>45452</v>
      </c>
      <c r="I889" s="1">
        <v>45487</v>
      </c>
      <c r="J889" t="s">
        <v>39</v>
      </c>
      <c r="K889" t="b">
        <f>Table1[[#This Row],[CurrentStock]]&lt;Table1[[#This Row],[ReorderLevel]]</f>
        <v>0</v>
      </c>
      <c r="L889" s="9">
        <f>Table1[[#This Row],[CurrentStock]]*Table1[[#This Row],[UnitPrice]]</f>
        <v>50405.88</v>
      </c>
      <c r="M889" t="str">
        <f>IF(Table1[[#This Row],[ReorderLevel]]-Table1[[#This Row],[CurrentStock]]&gt;0,Table1[[#This Row],[ReorderLevel]]-Table1[[#This Row],[CurrentStock]],"")</f>
        <v/>
      </c>
      <c r="N889" t="str">
        <f>IF(Table1[[#This Row],[CurrentStock]]&gt;Table1[[#This Row],[ReorderLevel]]*3,"Over Stock","Okay")</f>
        <v>Over Stock</v>
      </c>
      <c r="O889" t="str">
        <f>IF(Table1[[#This Row],[CurrentStock]]&lt;Table1[[#This Row],[ReorderLevel]],"Reorder","Okay")</f>
        <v>Okay</v>
      </c>
    </row>
    <row r="890" spans="1:15" x14ac:dyDescent="0.3">
      <c r="A890">
        <v>54149</v>
      </c>
      <c r="B890" t="s">
        <v>25</v>
      </c>
      <c r="C890" t="s">
        <v>31</v>
      </c>
      <c r="D890">
        <v>377</v>
      </c>
      <c r="E890">
        <v>20</v>
      </c>
      <c r="F890">
        <v>21.26</v>
      </c>
      <c r="G890" t="s">
        <v>35</v>
      </c>
      <c r="H890" s="1">
        <v>45314</v>
      </c>
      <c r="I890" s="1">
        <v>45325</v>
      </c>
      <c r="J890" t="s">
        <v>37</v>
      </c>
      <c r="K890" t="b">
        <f>Table1[[#This Row],[CurrentStock]]&lt;Table1[[#This Row],[ReorderLevel]]</f>
        <v>0</v>
      </c>
      <c r="L890" s="9">
        <f>Table1[[#This Row],[CurrentStock]]*Table1[[#This Row],[UnitPrice]]</f>
        <v>8015.02</v>
      </c>
      <c r="M890" t="str">
        <f>IF(Table1[[#This Row],[ReorderLevel]]-Table1[[#This Row],[CurrentStock]]&gt;0,Table1[[#This Row],[ReorderLevel]]-Table1[[#This Row],[CurrentStock]],"")</f>
        <v/>
      </c>
      <c r="N890" t="str">
        <f>IF(Table1[[#This Row],[CurrentStock]]&gt;Table1[[#This Row],[ReorderLevel]]*3,"Over Stock","Okay")</f>
        <v>Over Stock</v>
      </c>
      <c r="O890" t="str">
        <f>IF(Table1[[#This Row],[CurrentStock]]&lt;Table1[[#This Row],[ReorderLevel]],"Reorder","Okay")</f>
        <v>Okay</v>
      </c>
    </row>
    <row r="891" spans="1:15" x14ac:dyDescent="0.3">
      <c r="A891">
        <v>84554</v>
      </c>
      <c r="B891" t="s">
        <v>13</v>
      </c>
      <c r="C891" t="s">
        <v>29</v>
      </c>
      <c r="D891">
        <v>421</v>
      </c>
      <c r="E891">
        <v>50</v>
      </c>
      <c r="F891">
        <v>176.91</v>
      </c>
      <c r="G891" t="s">
        <v>33</v>
      </c>
      <c r="H891" s="1">
        <v>45335</v>
      </c>
      <c r="I891" s="1">
        <v>45369</v>
      </c>
      <c r="J891" t="s">
        <v>38</v>
      </c>
      <c r="K891" t="b">
        <f>Table1[[#This Row],[CurrentStock]]&lt;Table1[[#This Row],[ReorderLevel]]</f>
        <v>0</v>
      </c>
      <c r="L891" s="9">
        <f>Table1[[#This Row],[CurrentStock]]*Table1[[#This Row],[UnitPrice]]</f>
        <v>74479.11</v>
      </c>
      <c r="M891" t="str">
        <f>IF(Table1[[#This Row],[ReorderLevel]]-Table1[[#This Row],[CurrentStock]]&gt;0,Table1[[#This Row],[ReorderLevel]]-Table1[[#This Row],[CurrentStock]],"")</f>
        <v/>
      </c>
      <c r="N891" t="str">
        <f>IF(Table1[[#This Row],[CurrentStock]]&gt;Table1[[#This Row],[ReorderLevel]]*3,"Over Stock","Okay")</f>
        <v>Over Stock</v>
      </c>
      <c r="O891" t="str">
        <f>IF(Table1[[#This Row],[CurrentStock]]&lt;Table1[[#This Row],[ReorderLevel]],"Reorder","Okay")</f>
        <v>Okay</v>
      </c>
    </row>
    <row r="892" spans="1:15" x14ac:dyDescent="0.3">
      <c r="A892">
        <v>81327</v>
      </c>
      <c r="B892" t="s">
        <v>11</v>
      </c>
      <c r="C892" t="s">
        <v>27</v>
      </c>
      <c r="D892">
        <v>401</v>
      </c>
      <c r="E892">
        <v>80</v>
      </c>
      <c r="F892">
        <v>271.37</v>
      </c>
      <c r="G892" t="s">
        <v>33</v>
      </c>
      <c r="H892" s="1">
        <v>45609</v>
      </c>
      <c r="I892" s="1">
        <v>45636</v>
      </c>
      <c r="J892" t="s">
        <v>38</v>
      </c>
      <c r="K892" t="b">
        <f>Table1[[#This Row],[CurrentStock]]&lt;Table1[[#This Row],[ReorderLevel]]</f>
        <v>0</v>
      </c>
      <c r="L892" s="9">
        <f>Table1[[#This Row],[CurrentStock]]*Table1[[#This Row],[UnitPrice]]</f>
        <v>108819.37</v>
      </c>
      <c r="M892" t="str">
        <f>IF(Table1[[#This Row],[ReorderLevel]]-Table1[[#This Row],[CurrentStock]]&gt;0,Table1[[#This Row],[ReorderLevel]]-Table1[[#This Row],[CurrentStock]],"")</f>
        <v/>
      </c>
      <c r="N892" t="str">
        <f>IF(Table1[[#This Row],[CurrentStock]]&gt;Table1[[#This Row],[ReorderLevel]]*3,"Over Stock","Okay")</f>
        <v>Over Stock</v>
      </c>
      <c r="O892" t="str">
        <f>IF(Table1[[#This Row],[CurrentStock]]&lt;Table1[[#This Row],[ReorderLevel]],"Reorder","Okay")</f>
        <v>Okay</v>
      </c>
    </row>
    <row r="893" spans="1:15" x14ac:dyDescent="0.3">
      <c r="A893">
        <v>51831</v>
      </c>
      <c r="B893" t="s">
        <v>20</v>
      </c>
      <c r="C893" t="s">
        <v>29</v>
      </c>
      <c r="D893">
        <v>189</v>
      </c>
      <c r="E893">
        <v>150</v>
      </c>
      <c r="F893">
        <v>462.71</v>
      </c>
      <c r="G893" t="s">
        <v>34</v>
      </c>
      <c r="H893" s="1">
        <v>45648</v>
      </c>
      <c r="I893" s="1">
        <v>45669</v>
      </c>
      <c r="J893" t="s">
        <v>37</v>
      </c>
      <c r="K893" t="b">
        <f>Table1[[#This Row],[CurrentStock]]&lt;Table1[[#This Row],[ReorderLevel]]</f>
        <v>0</v>
      </c>
      <c r="L893" s="9">
        <f>Table1[[#This Row],[CurrentStock]]*Table1[[#This Row],[UnitPrice]]</f>
        <v>87452.19</v>
      </c>
      <c r="M893" t="str">
        <f>IF(Table1[[#This Row],[ReorderLevel]]-Table1[[#This Row],[CurrentStock]]&gt;0,Table1[[#This Row],[ReorderLevel]]-Table1[[#This Row],[CurrentStock]],"")</f>
        <v/>
      </c>
      <c r="N893" t="str">
        <f>IF(Table1[[#This Row],[CurrentStock]]&gt;Table1[[#This Row],[ReorderLevel]]*3,"Over Stock","Okay")</f>
        <v>Okay</v>
      </c>
      <c r="O893" t="str">
        <f>IF(Table1[[#This Row],[CurrentStock]]&lt;Table1[[#This Row],[ReorderLevel]],"Reorder","Okay")</f>
        <v>Okay</v>
      </c>
    </row>
    <row r="894" spans="1:15" x14ac:dyDescent="0.3">
      <c r="A894">
        <v>96799</v>
      </c>
      <c r="B894" t="s">
        <v>13</v>
      </c>
      <c r="C894" t="s">
        <v>29</v>
      </c>
      <c r="D894">
        <v>81</v>
      </c>
      <c r="E894">
        <v>80</v>
      </c>
      <c r="F894">
        <v>313.17</v>
      </c>
      <c r="G894" t="s">
        <v>33</v>
      </c>
      <c r="H894" s="1">
        <v>45374</v>
      </c>
      <c r="I894" s="1">
        <v>45384</v>
      </c>
      <c r="J894" t="s">
        <v>38</v>
      </c>
      <c r="K894" t="b">
        <f>Table1[[#This Row],[CurrentStock]]&lt;Table1[[#This Row],[ReorderLevel]]</f>
        <v>0</v>
      </c>
      <c r="L894" s="9">
        <f>Table1[[#This Row],[CurrentStock]]*Table1[[#This Row],[UnitPrice]]</f>
        <v>25366.77</v>
      </c>
      <c r="M894" t="str">
        <f>IF(Table1[[#This Row],[ReorderLevel]]-Table1[[#This Row],[CurrentStock]]&gt;0,Table1[[#This Row],[ReorderLevel]]-Table1[[#This Row],[CurrentStock]],"")</f>
        <v/>
      </c>
      <c r="N894" t="str">
        <f>IF(Table1[[#This Row],[CurrentStock]]&gt;Table1[[#This Row],[ReorderLevel]]*3,"Over Stock","Okay")</f>
        <v>Okay</v>
      </c>
      <c r="O894" t="str">
        <f>IF(Table1[[#This Row],[CurrentStock]]&lt;Table1[[#This Row],[ReorderLevel]],"Reorder","Okay")</f>
        <v>Okay</v>
      </c>
    </row>
    <row r="895" spans="1:15" x14ac:dyDescent="0.3">
      <c r="A895">
        <v>22336</v>
      </c>
      <c r="B895" t="s">
        <v>18</v>
      </c>
      <c r="C895" t="s">
        <v>28</v>
      </c>
      <c r="D895">
        <v>395</v>
      </c>
      <c r="E895">
        <v>80</v>
      </c>
      <c r="F895">
        <v>152.97</v>
      </c>
      <c r="G895" t="s">
        <v>34</v>
      </c>
      <c r="H895" s="1">
        <v>45602</v>
      </c>
      <c r="I895" s="1">
        <v>45607</v>
      </c>
      <c r="J895" t="s">
        <v>37</v>
      </c>
      <c r="K895" t="b">
        <f>Table1[[#This Row],[CurrentStock]]&lt;Table1[[#This Row],[ReorderLevel]]</f>
        <v>0</v>
      </c>
      <c r="L895" s="9">
        <f>Table1[[#This Row],[CurrentStock]]*Table1[[#This Row],[UnitPrice]]</f>
        <v>60423.15</v>
      </c>
      <c r="M895" t="str">
        <f>IF(Table1[[#This Row],[ReorderLevel]]-Table1[[#This Row],[CurrentStock]]&gt;0,Table1[[#This Row],[ReorderLevel]]-Table1[[#This Row],[CurrentStock]],"")</f>
        <v/>
      </c>
      <c r="N895" t="str">
        <f>IF(Table1[[#This Row],[CurrentStock]]&gt;Table1[[#This Row],[ReorderLevel]]*3,"Over Stock","Okay")</f>
        <v>Over Stock</v>
      </c>
      <c r="O895" t="str">
        <f>IF(Table1[[#This Row],[CurrentStock]]&lt;Table1[[#This Row],[ReorderLevel]],"Reorder","Okay")</f>
        <v>Okay</v>
      </c>
    </row>
    <row r="896" spans="1:15" x14ac:dyDescent="0.3">
      <c r="A896">
        <v>37228</v>
      </c>
      <c r="B896" t="s">
        <v>17</v>
      </c>
      <c r="C896" t="s">
        <v>30</v>
      </c>
      <c r="D896">
        <v>23</v>
      </c>
      <c r="E896">
        <v>150</v>
      </c>
      <c r="F896">
        <v>17.79</v>
      </c>
      <c r="G896" t="s">
        <v>35</v>
      </c>
      <c r="H896" s="1">
        <v>45418</v>
      </c>
      <c r="I896" s="1">
        <v>45439</v>
      </c>
      <c r="J896" t="s">
        <v>38</v>
      </c>
      <c r="K896" t="b">
        <f>Table1[[#This Row],[CurrentStock]]&lt;Table1[[#This Row],[ReorderLevel]]</f>
        <v>1</v>
      </c>
      <c r="L896" s="9">
        <f>Table1[[#This Row],[CurrentStock]]*Table1[[#This Row],[UnitPrice]]</f>
        <v>409.16999999999996</v>
      </c>
      <c r="M896">
        <f>IF(Table1[[#This Row],[ReorderLevel]]-Table1[[#This Row],[CurrentStock]]&gt;0,Table1[[#This Row],[ReorderLevel]]-Table1[[#This Row],[CurrentStock]],"")</f>
        <v>127</v>
      </c>
      <c r="N896" t="str">
        <f>IF(Table1[[#This Row],[CurrentStock]]&gt;Table1[[#This Row],[ReorderLevel]]*3,"Over Stock","Okay")</f>
        <v>Okay</v>
      </c>
      <c r="O896" t="str">
        <f>IF(Table1[[#This Row],[CurrentStock]]&lt;Table1[[#This Row],[ReorderLevel]],"Reorder","Okay")</f>
        <v>Reorder</v>
      </c>
    </row>
    <row r="897" spans="1:15" x14ac:dyDescent="0.3">
      <c r="A897">
        <v>45256</v>
      </c>
      <c r="B897" t="s">
        <v>25</v>
      </c>
      <c r="C897" t="s">
        <v>31</v>
      </c>
      <c r="D897">
        <v>328</v>
      </c>
      <c r="E897">
        <v>50</v>
      </c>
      <c r="F897">
        <v>330.91</v>
      </c>
      <c r="G897" t="s">
        <v>36</v>
      </c>
      <c r="H897" s="1">
        <v>45519</v>
      </c>
      <c r="I897" s="1">
        <v>45551</v>
      </c>
      <c r="J897" t="s">
        <v>38</v>
      </c>
      <c r="K897" t="b">
        <f>Table1[[#This Row],[CurrentStock]]&lt;Table1[[#This Row],[ReorderLevel]]</f>
        <v>0</v>
      </c>
      <c r="L897" s="9">
        <f>Table1[[#This Row],[CurrentStock]]*Table1[[#This Row],[UnitPrice]]</f>
        <v>108538.48000000001</v>
      </c>
      <c r="M897" t="str">
        <f>IF(Table1[[#This Row],[ReorderLevel]]-Table1[[#This Row],[CurrentStock]]&gt;0,Table1[[#This Row],[ReorderLevel]]-Table1[[#This Row],[CurrentStock]],"")</f>
        <v/>
      </c>
      <c r="N897" t="str">
        <f>IF(Table1[[#This Row],[CurrentStock]]&gt;Table1[[#This Row],[ReorderLevel]]*3,"Over Stock","Okay")</f>
        <v>Over Stock</v>
      </c>
      <c r="O897" t="str">
        <f>IF(Table1[[#This Row],[CurrentStock]]&lt;Table1[[#This Row],[ReorderLevel]],"Reorder","Okay")</f>
        <v>Okay</v>
      </c>
    </row>
    <row r="898" spans="1:15" x14ac:dyDescent="0.3">
      <c r="A898">
        <v>15409</v>
      </c>
      <c r="B898" t="s">
        <v>15</v>
      </c>
      <c r="C898" t="s">
        <v>29</v>
      </c>
      <c r="D898">
        <v>228</v>
      </c>
      <c r="E898">
        <v>150</v>
      </c>
      <c r="F898">
        <v>107.29</v>
      </c>
      <c r="G898" t="s">
        <v>32</v>
      </c>
      <c r="H898" s="1">
        <v>45644</v>
      </c>
      <c r="I898" s="1">
        <v>45660</v>
      </c>
      <c r="J898" t="s">
        <v>38</v>
      </c>
      <c r="K898" t="b">
        <f>Table1[[#This Row],[CurrentStock]]&lt;Table1[[#This Row],[ReorderLevel]]</f>
        <v>0</v>
      </c>
      <c r="L898" s="9">
        <f>Table1[[#This Row],[CurrentStock]]*Table1[[#This Row],[UnitPrice]]</f>
        <v>24462.120000000003</v>
      </c>
      <c r="M898" t="str">
        <f>IF(Table1[[#This Row],[ReorderLevel]]-Table1[[#This Row],[CurrentStock]]&gt;0,Table1[[#This Row],[ReorderLevel]]-Table1[[#This Row],[CurrentStock]],"")</f>
        <v/>
      </c>
      <c r="N898" t="str">
        <f>IF(Table1[[#This Row],[CurrentStock]]&gt;Table1[[#This Row],[ReorderLevel]]*3,"Over Stock","Okay")</f>
        <v>Okay</v>
      </c>
      <c r="O898" t="str">
        <f>IF(Table1[[#This Row],[CurrentStock]]&lt;Table1[[#This Row],[ReorderLevel]],"Reorder","Okay")</f>
        <v>Okay</v>
      </c>
    </row>
    <row r="899" spans="1:15" x14ac:dyDescent="0.3">
      <c r="A899">
        <v>29768</v>
      </c>
      <c r="B899" t="s">
        <v>17</v>
      </c>
      <c r="C899" t="s">
        <v>30</v>
      </c>
      <c r="D899">
        <v>189</v>
      </c>
      <c r="E899">
        <v>80</v>
      </c>
      <c r="F899">
        <v>374.88</v>
      </c>
      <c r="G899" t="s">
        <v>32</v>
      </c>
      <c r="H899" s="1">
        <v>45650</v>
      </c>
      <c r="I899" s="1">
        <v>45669</v>
      </c>
      <c r="J899" t="s">
        <v>39</v>
      </c>
      <c r="K899" t="b">
        <f>Table1[[#This Row],[CurrentStock]]&lt;Table1[[#This Row],[ReorderLevel]]</f>
        <v>0</v>
      </c>
      <c r="L899" s="9">
        <f>Table1[[#This Row],[CurrentStock]]*Table1[[#This Row],[UnitPrice]]</f>
        <v>70852.319999999992</v>
      </c>
      <c r="M899" t="str">
        <f>IF(Table1[[#This Row],[ReorderLevel]]-Table1[[#This Row],[CurrentStock]]&gt;0,Table1[[#This Row],[ReorderLevel]]-Table1[[#This Row],[CurrentStock]],"")</f>
        <v/>
      </c>
      <c r="N899" t="str">
        <f>IF(Table1[[#This Row],[CurrentStock]]&gt;Table1[[#This Row],[ReorderLevel]]*3,"Over Stock","Okay")</f>
        <v>Okay</v>
      </c>
      <c r="O899" t="str">
        <f>IF(Table1[[#This Row],[CurrentStock]]&lt;Table1[[#This Row],[ReorderLevel]],"Reorder","Okay")</f>
        <v>Okay</v>
      </c>
    </row>
    <row r="900" spans="1:15" x14ac:dyDescent="0.3">
      <c r="A900">
        <v>25764</v>
      </c>
      <c r="B900" t="s">
        <v>22</v>
      </c>
      <c r="C900" t="s">
        <v>27</v>
      </c>
      <c r="D900">
        <v>28</v>
      </c>
      <c r="E900">
        <v>30</v>
      </c>
      <c r="F900">
        <v>480.09</v>
      </c>
      <c r="G900" t="s">
        <v>34</v>
      </c>
      <c r="H900" s="1">
        <v>45368</v>
      </c>
      <c r="I900" s="1">
        <v>45389</v>
      </c>
      <c r="J900" t="s">
        <v>38</v>
      </c>
      <c r="K900" t="b">
        <f>Table1[[#This Row],[CurrentStock]]&lt;Table1[[#This Row],[ReorderLevel]]</f>
        <v>1</v>
      </c>
      <c r="L900" s="9">
        <f>Table1[[#This Row],[CurrentStock]]*Table1[[#This Row],[UnitPrice]]</f>
        <v>13442.519999999999</v>
      </c>
      <c r="M900">
        <f>IF(Table1[[#This Row],[ReorderLevel]]-Table1[[#This Row],[CurrentStock]]&gt;0,Table1[[#This Row],[ReorderLevel]]-Table1[[#This Row],[CurrentStock]],"")</f>
        <v>2</v>
      </c>
      <c r="N900" t="str">
        <f>IF(Table1[[#This Row],[CurrentStock]]&gt;Table1[[#This Row],[ReorderLevel]]*3,"Over Stock","Okay")</f>
        <v>Okay</v>
      </c>
      <c r="O900" t="str">
        <f>IF(Table1[[#This Row],[CurrentStock]]&lt;Table1[[#This Row],[ReorderLevel]],"Reorder","Okay")</f>
        <v>Reorder</v>
      </c>
    </row>
    <row r="901" spans="1:15" x14ac:dyDescent="0.3">
      <c r="A901">
        <v>23894</v>
      </c>
      <c r="B901" t="s">
        <v>26</v>
      </c>
      <c r="C901" t="s">
        <v>30</v>
      </c>
      <c r="D901">
        <v>449</v>
      </c>
      <c r="E901">
        <v>20</v>
      </c>
      <c r="F901">
        <v>451.31</v>
      </c>
      <c r="G901" t="s">
        <v>35</v>
      </c>
      <c r="H901" s="1">
        <v>45352</v>
      </c>
      <c r="I901" s="1">
        <v>45382</v>
      </c>
      <c r="J901" t="s">
        <v>38</v>
      </c>
      <c r="K901" t="b">
        <f>Table1[[#This Row],[CurrentStock]]&lt;Table1[[#This Row],[ReorderLevel]]</f>
        <v>0</v>
      </c>
      <c r="L901" s="9">
        <f>Table1[[#This Row],[CurrentStock]]*Table1[[#This Row],[UnitPrice]]</f>
        <v>202638.19</v>
      </c>
      <c r="M901" t="str">
        <f>IF(Table1[[#This Row],[ReorderLevel]]-Table1[[#This Row],[CurrentStock]]&gt;0,Table1[[#This Row],[ReorderLevel]]-Table1[[#This Row],[CurrentStock]],"")</f>
        <v/>
      </c>
      <c r="N901" t="str">
        <f>IF(Table1[[#This Row],[CurrentStock]]&gt;Table1[[#This Row],[ReorderLevel]]*3,"Over Stock","Okay")</f>
        <v>Over Stock</v>
      </c>
      <c r="O901" t="str">
        <f>IF(Table1[[#This Row],[CurrentStock]]&lt;Table1[[#This Row],[ReorderLevel]],"Reorder","Okay")</f>
        <v>Okay</v>
      </c>
    </row>
    <row r="902" spans="1:15" x14ac:dyDescent="0.3">
      <c r="A902">
        <v>27733</v>
      </c>
      <c r="B902" t="s">
        <v>15</v>
      </c>
      <c r="C902" t="s">
        <v>29</v>
      </c>
      <c r="D902">
        <v>362</v>
      </c>
      <c r="E902">
        <v>80</v>
      </c>
      <c r="F902">
        <v>35.369999999999997</v>
      </c>
      <c r="G902" t="s">
        <v>35</v>
      </c>
      <c r="H902" s="1">
        <v>45485</v>
      </c>
      <c r="I902" s="1">
        <v>45508</v>
      </c>
      <c r="J902" t="s">
        <v>37</v>
      </c>
      <c r="K902" t="b">
        <f>Table1[[#This Row],[CurrentStock]]&lt;Table1[[#This Row],[ReorderLevel]]</f>
        <v>0</v>
      </c>
      <c r="L902" s="9">
        <f>Table1[[#This Row],[CurrentStock]]*Table1[[#This Row],[UnitPrice]]</f>
        <v>12803.939999999999</v>
      </c>
      <c r="M902" t="str">
        <f>IF(Table1[[#This Row],[ReorderLevel]]-Table1[[#This Row],[CurrentStock]]&gt;0,Table1[[#This Row],[ReorderLevel]]-Table1[[#This Row],[CurrentStock]],"")</f>
        <v/>
      </c>
      <c r="N902" t="str">
        <f>IF(Table1[[#This Row],[CurrentStock]]&gt;Table1[[#This Row],[ReorderLevel]]*3,"Over Stock","Okay")</f>
        <v>Over Stock</v>
      </c>
      <c r="O902" t="str">
        <f>IF(Table1[[#This Row],[CurrentStock]]&lt;Table1[[#This Row],[ReorderLevel]],"Reorder","Okay")</f>
        <v>Okay</v>
      </c>
    </row>
    <row r="903" spans="1:15" x14ac:dyDescent="0.3">
      <c r="A903">
        <v>51152</v>
      </c>
      <c r="B903" t="s">
        <v>26</v>
      </c>
      <c r="C903" t="s">
        <v>30</v>
      </c>
      <c r="D903">
        <v>91</v>
      </c>
      <c r="E903">
        <v>100</v>
      </c>
      <c r="F903">
        <v>249.94</v>
      </c>
      <c r="G903" t="s">
        <v>32</v>
      </c>
      <c r="H903" s="1">
        <v>45444</v>
      </c>
      <c r="I903" s="1">
        <v>45481</v>
      </c>
      <c r="J903" t="s">
        <v>39</v>
      </c>
      <c r="K903" t="b">
        <f>Table1[[#This Row],[CurrentStock]]&lt;Table1[[#This Row],[ReorderLevel]]</f>
        <v>1</v>
      </c>
      <c r="L903" s="9">
        <f>Table1[[#This Row],[CurrentStock]]*Table1[[#This Row],[UnitPrice]]</f>
        <v>22744.54</v>
      </c>
      <c r="M903">
        <f>IF(Table1[[#This Row],[ReorderLevel]]-Table1[[#This Row],[CurrentStock]]&gt;0,Table1[[#This Row],[ReorderLevel]]-Table1[[#This Row],[CurrentStock]],"")</f>
        <v>9</v>
      </c>
      <c r="N903" t="str">
        <f>IF(Table1[[#This Row],[CurrentStock]]&gt;Table1[[#This Row],[ReorderLevel]]*3,"Over Stock","Okay")</f>
        <v>Okay</v>
      </c>
      <c r="O903" t="str">
        <f>IF(Table1[[#This Row],[CurrentStock]]&lt;Table1[[#This Row],[ReorderLevel]],"Reorder","Okay")</f>
        <v>Reorder</v>
      </c>
    </row>
    <row r="904" spans="1:15" x14ac:dyDescent="0.3">
      <c r="A904">
        <v>83664</v>
      </c>
      <c r="B904" t="s">
        <v>21</v>
      </c>
      <c r="C904" t="s">
        <v>31</v>
      </c>
      <c r="D904">
        <v>91</v>
      </c>
      <c r="E904">
        <v>40</v>
      </c>
      <c r="F904">
        <v>170.38</v>
      </c>
      <c r="G904" t="s">
        <v>34</v>
      </c>
      <c r="H904" s="1">
        <v>45624</v>
      </c>
      <c r="I904" s="1">
        <v>45648</v>
      </c>
      <c r="J904" t="s">
        <v>38</v>
      </c>
      <c r="K904" t="b">
        <f>Table1[[#This Row],[CurrentStock]]&lt;Table1[[#This Row],[ReorderLevel]]</f>
        <v>0</v>
      </c>
      <c r="L904" s="9">
        <f>Table1[[#This Row],[CurrentStock]]*Table1[[#This Row],[UnitPrice]]</f>
        <v>15504.58</v>
      </c>
      <c r="M904" t="str">
        <f>IF(Table1[[#This Row],[ReorderLevel]]-Table1[[#This Row],[CurrentStock]]&gt;0,Table1[[#This Row],[ReorderLevel]]-Table1[[#This Row],[CurrentStock]],"")</f>
        <v/>
      </c>
      <c r="N904" t="str">
        <f>IF(Table1[[#This Row],[CurrentStock]]&gt;Table1[[#This Row],[ReorderLevel]]*3,"Over Stock","Okay")</f>
        <v>Okay</v>
      </c>
      <c r="O904" t="str">
        <f>IF(Table1[[#This Row],[CurrentStock]]&lt;Table1[[#This Row],[ReorderLevel]],"Reorder","Okay")</f>
        <v>Okay</v>
      </c>
    </row>
    <row r="905" spans="1:15" x14ac:dyDescent="0.3">
      <c r="A905">
        <v>47684</v>
      </c>
      <c r="B905" t="s">
        <v>24</v>
      </c>
      <c r="C905" t="s">
        <v>31</v>
      </c>
      <c r="D905">
        <v>205</v>
      </c>
      <c r="E905">
        <v>150</v>
      </c>
      <c r="F905">
        <v>186.31</v>
      </c>
      <c r="G905" t="s">
        <v>35</v>
      </c>
      <c r="H905" s="1">
        <v>45384</v>
      </c>
      <c r="I905" s="1">
        <v>45414</v>
      </c>
      <c r="J905" t="s">
        <v>39</v>
      </c>
      <c r="K905" t="b">
        <f>Table1[[#This Row],[CurrentStock]]&lt;Table1[[#This Row],[ReorderLevel]]</f>
        <v>0</v>
      </c>
      <c r="L905" s="9">
        <f>Table1[[#This Row],[CurrentStock]]*Table1[[#This Row],[UnitPrice]]</f>
        <v>38193.550000000003</v>
      </c>
      <c r="M905" t="str">
        <f>IF(Table1[[#This Row],[ReorderLevel]]-Table1[[#This Row],[CurrentStock]]&gt;0,Table1[[#This Row],[ReorderLevel]]-Table1[[#This Row],[CurrentStock]],"")</f>
        <v/>
      </c>
      <c r="N905" t="str">
        <f>IF(Table1[[#This Row],[CurrentStock]]&gt;Table1[[#This Row],[ReorderLevel]]*3,"Over Stock","Okay")</f>
        <v>Okay</v>
      </c>
      <c r="O905" t="str">
        <f>IF(Table1[[#This Row],[CurrentStock]]&lt;Table1[[#This Row],[ReorderLevel]],"Reorder","Okay")</f>
        <v>Okay</v>
      </c>
    </row>
    <row r="906" spans="1:15" x14ac:dyDescent="0.3">
      <c r="A906">
        <v>97700</v>
      </c>
      <c r="B906" t="s">
        <v>26</v>
      </c>
      <c r="C906" t="s">
        <v>30</v>
      </c>
      <c r="D906">
        <v>1</v>
      </c>
      <c r="E906">
        <v>150</v>
      </c>
      <c r="F906">
        <v>339.85</v>
      </c>
      <c r="G906" t="s">
        <v>36</v>
      </c>
      <c r="H906" s="1">
        <v>45551</v>
      </c>
      <c r="I906" s="1">
        <v>45561</v>
      </c>
      <c r="J906" t="s">
        <v>39</v>
      </c>
      <c r="K906" t="b">
        <f>Table1[[#This Row],[CurrentStock]]&lt;Table1[[#This Row],[ReorderLevel]]</f>
        <v>1</v>
      </c>
      <c r="L906" s="9">
        <f>Table1[[#This Row],[CurrentStock]]*Table1[[#This Row],[UnitPrice]]</f>
        <v>339.85</v>
      </c>
      <c r="M906">
        <f>IF(Table1[[#This Row],[ReorderLevel]]-Table1[[#This Row],[CurrentStock]]&gt;0,Table1[[#This Row],[ReorderLevel]]-Table1[[#This Row],[CurrentStock]],"")</f>
        <v>149</v>
      </c>
      <c r="N906" t="str">
        <f>IF(Table1[[#This Row],[CurrentStock]]&gt;Table1[[#This Row],[ReorderLevel]]*3,"Over Stock","Okay")</f>
        <v>Okay</v>
      </c>
      <c r="O906" t="str">
        <f>IF(Table1[[#This Row],[CurrentStock]]&lt;Table1[[#This Row],[ReorderLevel]],"Reorder","Okay")</f>
        <v>Reorder</v>
      </c>
    </row>
    <row r="907" spans="1:15" x14ac:dyDescent="0.3">
      <c r="A907">
        <v>92999</v>
      </c>
      <c r="B907" t="s">
        <v>16</v>
      </c>
      <c r="C907" t="s">
        <v>30</v>
      </c>
      <c r="D907">
        <v>88</v>
      </c>
      <c r="E907">
        <v>30</v>
      </c>
      <c r="F907">
        <v>283.24</v>
      </c>
      <c r="G907" t="s">
        <v>34</v>
      </c>
      <c r="H907" s="1">
        <v>45452</v>
      </c>
      <c r="I907" s="1">
        <v>45470</v>
      </c>
      <c r="J907" t="s">
        <v>37</v>
      </c>
      <c r="K907" t="b">
        <f>Table1[[#This Row],[CurrentStock]]&lt;Table1[[#This Row],[ReorderLevel]]</f>
        <v>0</v>
      </c>
      <c r="L907" s="9">
        <f>Table1[[#This Row],[CurrentStock]]*Table1[[#This Row],[UnitPrice]]</f>
        <v>24925.120000000003</v>
      </c>
      <c r="M907" t="str">
        <f>IF(Table1[[#This Row],[ReorderLevel]]-Table1[[#This Row],[CurrentStock]]&gt;0,Table1[[#This Row],[ReorderLevel]]-Table1[[#This Row],[CurrentStock]],"")</f>
        <v/>
      </c>
      <c r="N907" t="str">
        <f>IF(Table1[[#This Row],[CurrentStock]]&gt;Table1[[#This Row],[ReorderLevel]]*3,"Over Stock","Okay")</f>
        <v>Okay</v>
      </c>
      <c r="O907" t="str">
        <f>IF(Table1[[#This Row],[CurrentStock]]&lt;Table1[[#This Row],[ReorderLevel]],"Reorder","Okay")</f>
        <v>Okay</v>
      </c>
    </row>
    <row r="908" spans="1:15" x14ac:dyDescent="0.3">
      <c r="A908">
        <v>44523</v>
      </c>
      <c r="B908" t="s">
        <v>23</v>
      </c>
      <c r="C908" t="s">
        <v>30</v>
      </c>
      <c r="D908">
        <v>143</v>
      </c>
      <c r="E908">
        <v>100</v>
      </c>
      <c r="F908">
        <v>460.42</v>
      </c>
      <c r="G908" t="s">
        <v>32</v>
      </c>
      <c r="H908" s="1">
        <v>45631</v>
      </c>
      <c r="I908" s="1">
        <v>45664</v>
      </c>
      <c r="J908" t="s">
        <v>37</v>
      </c>
      <c r="K908" t="b">
        <f>Table1[[#This Row],[CurrentStock]]&lt;Table1[[#This Row],[ReorderLevel]]</f>
        <v>0</v>
      </c>
      <c r="L908" s="9">
        <f>Table1[[#This Row],[CurrentStock]]*Table1[[#This Row],[UnitPrice]]</f>
        <v>65840.06</v>
      </c>
      <c r="M908" t="str">
        <f>IF(Table1[[#This Row],[ReorderLevel]]-Table1[[#This Row],[CurrentStock]]&gt;0,Table1[[#This Row],[ReorderLevel]]-Table1[[#This Row],[CurrentStock]],"")</f>
        <v/>
      </c>
      <c r="N908" t="str">
        <f>IF(Table1[[#This Row],[CurrentStock]]&gt;Table1[[#This Row],[ReorderLevel]]*3,"Over Stock","Okay")</f>
        <v>Okay</v>
      </c>
      <c r="O908" t="str">
        <f>IF(Table1[[#This Row],[CurrentStock]]&lt;Table1[[#This Row],[ReorderLevel]],"Reorder","Okay")</f>
        <v>Okay</v>
      </c>
    </row>
    <row r="909" spans="1:15" x14ac:dyDescent="0.3">
      <c r="A909">
        <v>16256</v>
      </c>
      <c r="B909" t="s">
        <v>20</v>
      </c>
      <c r="C909" t="s">
        <v>29</v>
      </c>
      <c r="D909">
        <v>65</v>
      </c>
      <c r="E909">
        <v>150</v>
      </c>
      <c r="F909">
        <v>437.53</v>
      </c>
      <c r="G909" t="s">
        <v>32</v>
      </c>
      <c r="H909" s="1">
        <v>45493</v>
      </c>
      <c r="I909" s="1">
        <v>45515</v>
      </c>
      <c r="J909" t="s">
        <v>37</v>
      </c>
      <c r="K909" t="b">
        <f>Table1[[#This Row],[CurrentStock]]&lt;Table1[[#This Row],[ReorderLevel]]</f>
        <v>1</v>
      </c>
      <c r="L909" s="9">
        <f>Table1[[#This Row],[CurrentStock]]*Table1[[#This Row],[UnitPrice]]</f>
        <v>28439.449999999997</v>
      </c>
      <c r="M909">
        <f>IF(Table1[[#This Row],[ReorderLevel]]-Table1[[#This Row],[CurrentStock]]&gt;0,Table1[[#This Row],[ReorderLevel]]-Table1[[#This Row],[CurrentStock]],"")</f>
        <v>85</v>
      </c>
      <c r="N909" t="str">
        <f>IF(Table1[[#This Row],[CurrentStock]]&gt;Table1[[#This Row],[ReorderLevel]]*3,"Over Stock","Okay")</f>
        <v>Okay</v>
      </c>
      <c r="O909" t="str">
        <f>IF(Table1[[#This Row],[CurrentStock]]&lt;Table1[[#This Row],[ReorderLevel]],"Reorder","Okay")</f>
        <v>Reorder</v>
      </c>
    </row>
    <row r="910" spans="1:15" x14ac:dyDescent="0.3">
      <c r="A910">
        <v>99922</v>
      </c>
      <c r="B910" t="s">
        <v>18</v>
      </c>
      <c r="C910" t="s">
        <v>28</v>
      </c>
      <c r="D910">
        <v>217</v>
      </c>
      <c r="E910">
        <v>80</v>
      </c>
      <c r="F910">
        <v>396.3</v>
      </c>
      <c r="G910" t="s">
        <v>32</v>
      </c>
      <c r="H910" s="1">
        <v>45625</v>
      </c>
      <c r="I910" s="1">
        <v>45653</v>
      </c>
      <c r="J910" t="s">
        <v>38</v>
      </c>
      <c r="K910" t="b">
        <f>Table1[[#This Row],[CurrentStock]]&lt;Table1[[#This Row],[ReorderLevel]]</f>
        <v>0</v>
      </c>
      <c r="L910" s="9">
        <f>Table1[[#This Row],[CurrentStock]]*Table1[[#This Row],[UnitPrice]]</f>
        <v>85997.1</v>
      </c>
      <c r="M910" t="str">
        <f>IF(Table1[[#This Row],[ReorderLevel]]-Table1[[#This Row],[CurrentStock]]&gt;0,Table1[[#This Row],[ReorderLevel]]-Table1[[#This Row],[CurrentStock]],"")</f>
        <v/>
      </c>
      <c r="N910" t="str">
        <f>IF(Table1[[#This Row],[CurrentStock]]&gt;Table1[[#This Row],[ReorderLevel]]*3,"Over Stock","Okay")</f>
        <v>Okay</v>
      </c>
      <c r="O910" t="str">
        <f>IF(Table1[[#This Row],[CurrentStock]]&lt;Table1[[#This Row],[ReorderLevel]],"Reorder","Okay")</f>
        <v>Okay</v>
      </c>
    </row>
    <row r="911" spans="1:15" x14ac:dyDescent="0.3">
      <c r="A911">
        <v>75936</v>
      </c>
      <c r="B911" t="s">
        <v>12</v>
      </c>
      <c r="C911" t="s">
        <v>28</v>
      </c>
      <c r="D911">
        <v>482</v>
      </c>
      <c r="E911">
        <v>150</v>
      </c>
      <c r="F911">
        <v>63.16</v>
      </c>
      <c r="G911" t="s">
        <v>35</v>
      </c>
      <c r="H911" s="1">
        <v>45447</v>
      </c>
      <c r="I911" s="1">
        <v>45480</v>
      </c>
      <c r="J911" t="s">
        <v>37</v>
      </c>
      <c r="K911" t="b">
        <f>Table1[[#This Row],[CurrentStock]]&lt;Table1[[#This Row],[ReorderLevel]]</f>
        <v>0</v>
      </c>
      <c r="L911" s="9">
        <f>Table1[[#This Row],[CurrentStock]]*Table1[[#This Row],[UnitPrice]]</f>
        <v>30443.119999999999</v>
      </c>
      <c r="M911" t="str">
        <f>IF(Table1[[#This Row],[ReorderLevel]]-Table1[[#This Row],[CurrentStock]]&gt;0,Table1[[#This Row],[ReorderLevel]]-Table1[[#This Row],[CurrentStock]],"")</f>
        <v/>
      </c>
      <c r="N911" t="str">
        <f>IF(Table1[[#This Row],[CurrentStock]]&gt;Table1[[#This Row],[ReorderLevel]]*3,"Over Stock","Okay")</f>
        <v>Over Stock</v>
      </c>
      <c r="O911" t="str">
        <f>IF(Table1[[#This Row],[CurrentStock]]&lt;Table1[[#This Row],[ReorderLevel]],"Reorder","Okay")</f>
        <v>Okay</v>
      </c>
    </row>
    <row r="912" spans="1:15" x14ac:dyDescent="0.3">
      <c r="A912">
        <v>11353</v>
      </c>
      <c r="B912" t="s">
        <v>19</v>
      </c>
      <c r="C912" t="s">
        <v>28</v>
      </c>
      <c r="D912">
        <v>339</v>
      </c>
      <c r="E912">
        <v>40</v>
      </c>
      <c r="F912">
        <v>262.47000000000003</v>
      </c>
      <c r="G912" t="s">
        <v>32</v>
      </c>
      <c r="H912" s="1">
        <v>45517</v>
      </c>
      <c r="I912" s="1">
        <v>45531</v>
      </c>
      <c r="J912" t="s">
        <v>39</v>
      </c>
      <c r="K912" t="b">
        <f>Table1[[#This Row],[CurrentStock]]&lt;Table1[[#This Row],[ReorderLevel]]</f>
        <v>0</v>
      </c>
      <c r="L912" s="9">
        <f>Table1[[#This Row],[CurrentStock]]*Table1[[#This Row],[UnitPrice]]</f>
        <v>88977.330000000016</v>
      </c>
      <c r="M912" t="str">
        <f>IF(Table1[[#This Row],[ReorderLevel]]-Table1[[#This Row],[CurrentStock]]&gt;0,Table1[[#This Row],[ReorderLevel]]-Table1[[#This Row],[CurrentStock]],"")</f>
        <v/>
      </c>
      <c r="N912" t="str">
        <f>IF(Table1[[#This Row],[CurrentStock]]&gt;Table1[[#This Row],[ReorderLevel]]*3,"Over Stock","Okay")</f>
        <v>Over Stock</v>
      </c>
      <c r="O912" t="str">
        <f>IF(Table1[[#This Row],[CurrentStock]]&lt;Table1[[#This Row],[ReorderLevel]],"Reorder","Okay")</f>
        <v>Okay</v>
      </c>
    </row>
    <row r="913" spans="1:15" x14ac:dyDescent="0.3">
      <c r="A913">
        <v>30800</v>
      </c>
      <c r="B913" t="s">
        <v>11</v>
      </c>
      <c r="C913" t="s">
        <v>27</v>
      </c>
      <c r="D913">
        <v>459</v>
      </c>
      <c r="E913">
        <v>40</v>
      </c>
      <c r="F913">
        <v>101.7</v>
      </c>
      <c r="G913" t="s">
        <v>33</v>
      </c>
      <c r="H913" s="1">
        <v>45446</v>
      </c>
      <c r="I913" s="1">
        <v>45456</v>
      </c>
      <c r="J913" t="s">
        <v>39</v>
      </c>
      <c r="K913" t="b">
        <f>Table1[[#This Row],[CurrentStock]]&lt;Table1[[#This Row],[ReorderLevel]]</f>
        <v>0</v>
      </c>
      <c r="L913" s="9">
        <f>Table1[[#This Row],[CurrentStock]]*Table1[[#This Row],[UnitPrice]]</f>
        <v>46680.3</v>
      </c>
      <c r="M913" t="str">
        <f>IF(Table1[[#This Row],[ReorderLevel]]-Table1[[#This Row],[CurrentStock]]&gt;0,Table1[[#This Row],[ReorderLevel]]-Table1[[#This Row],[CurrentStock]],"")</f>
        <v/>
      </c>
      <c r="N913" t="str">
        <f>IF(Table1[[#This Row],[CurrentStock]]&gt;Table1[[#This Row],[ReorderLevel]]*3,"Over Stock","Okay")</f>
        <v>Over Stock</v>
      </c>
      <c r="O913" t="str">
        <f>IF(Table1[[#This Row],[CurrentStock]]&lt;Table1[[#This Row],[ReorderLevel]],"Reorder","Okay")</f>
        <v>Okay</v>
      </c>
    </row>
    <row r="914" spans="1:15" x14ac:dyDescent="0.3">
      <c r="A914">
        <v>57279</v>
      </c>
      <c r="B914" t="s">
        <v>18</v>
      </c>
      <c r="C914" t="s">
        <v>28</v>
      </c>
      <c r="D914">
        <v>124</v>
      </c>
      <c r="E914">
        <v>150</v>
      </c>
      <c r="F914">
        <v>253.34</v>
      </c>
      <c r="G914" t="s">
        <v>36</v>
      </c>
      <c r="H914" s="1">
        <v>45342</v>
      </c>
      <c r="I914" s="1">
        <v>45370</v>
      </c>
      <c r="J914" t="s">
        <v>39</v>
      </c>
      <c r="K914" t="b">
        <f>Table1[[#This Row],[CurrentStock]]&lt;Table1[[#This Row],[ReorderLevel]]</f>
        <v>1</v>
      </c>
      <c r="L914" s="9">
        <f>Table1[[#This Row],[CurrentStock]]*Table1[[#This Row],[UnitPrice]]</f>
        <v>31414.16</v>
      </c>
      <c r="M914">
        <f>IF(Table1[[#This Row],[ReorderLevel]]-Table1[[#This Row],[CurrentStock]]&gt;0,Table1[[#This Row],[ReorderLevel]]-Table1[[#This Row],[CurrentStock]],"")</f>
        <v>26</v>
      </c>
      <c r="N914" t="str">
        <f>IF(Table1[[#This Row],[CurrentStock]]&gt;Table1[[#This Row],[ReorderLevel]]*3,"Over Stock","Okay")</f>
        <v>Okay</v>
      </c>
      <c r="O914" t="str">
        <f>IF(Table1[[#This Row],[CurrentStock]]&lt;Table1[[#This Row],[ReorderLevel]],"Reorder","Okay")</f>
        <v>Reorder</v>
      </c>
    </row>
    <row r="915" spans="1:15" x14ac:dyDescent="0.3">
      <c r="A915">
        <v>73755</v>
      </c>
      <c r="B915" t="s">
        <v>15</v>
      </c>
      <c r="C915" t="s">
        <v>29</v>
      </c>
      <c r="D915">
        <v>192</v>
      </c>
      <c r="E915">
        <v>50</v>
      </c>
      <c r="F915">
        <v>486.48</v>
      </c>
      <c r="G915" t="s">
        <v>33</v>
      </c>
      <c r="H915" s="1">
        <v>45495</v>
      </c>
      <c r="I915" s="1">
        <v>45510</v>
      </c>
      <c r="J915" t="s">
        <v>39</v>
      </c>
      <c r="K915" t="b">
        <f>Table1[[#This Row],[CurrentStock]]&lt;Table1[[#This Row],[ReorderLevel]]</f>
        <v>0</v>
      </c>
      <c r="L915" s="9">
        <f>Table1[[#This Row],[CurrentStock]]*Table1[[#This Row],[UnitPrice]]</f>
        <v>93404.160000000003</v>
      </c>
      <c r="M915" t="str">
        <f>IF(Table1[[#This Row],[ReorderLevel]]-Table1[[#This Row],[CurrentStock]]&gt;0,Table1[[#This Row],[ReorderLevel]]-Table1[[#This Row],[CurrentStock]],"")</f>
        <v/>
      </c>
      <c r="N915" t="str">
        <f>IF(Table1[[#This Row],[CurrentStock]]&gt;Table1[[#This Row],[ReorderLevel]]*3,"Over Stock","Okay")</f>
        <v>Over Stock</v>
      </c>
      <c r="O915" t="str">
        <f>IF(Table1[[#This Row],[CurrentStock]]&lt;Table1[[#This Row],[ReorderLevel]],"Reorder","Okay")</f>
        <v>Okay</v>
      </c>
    </row>
    <row r="916" spans="1:15" x14ac:dyDescent="0.3">
      <c r="A916">
        <v>36751</v>
      </c>
      <c r="B916" t="s">
        <v>13</v>
      </c>
      <c r="C916" t="s">
        <v>29</v>
      </c>
      <c r="D916">
        <v>288</v>
      </c>
      <c r="E916">
        <v>80</v>
      </c>
      <c r="F916">
        <v>264.70999999999998</v>
      </c>
      <c r="G916" t="s">
        <v>36</v>
      </c>
      <c r="H916" s="1">
        <v>45605</v>
      </c>
      <c r="I916" s="1">
        <v>45633</v>
      </c>
      <c r="J916" t="s">
        <v>37</v>
      </c>
      <c r="K916" t="b">
        <f>Table1[[#This Row],[CurrentStock]]&lt;Table1[[#This Row],[ReorderLevel]]</f>
        <v>0</v>
      </c>
      <c r="L916" s="9">
        <f>Table1[[#This Row],[CurrentStock]]*Table1[[#This Row],[UnitPrice]]</f>
        <v>76236.479999999996</v>
      </c>
      <c r="M916" t="str">
        <f>IF(Table1[[#This Row],[ReorderLevel]]-Table1[[#This Row],[CurrentStock]]&gt;0,Table1[[#This Row],[ReorderLevel]]-Table1[[#This Row],[CurrentStock]],"")</f>
        <v/>
      </c>
      <c r="N916" t="str">
        <f>IF(Table1[[#This Row],[CurrentStock]]&gt;Table1[[#This Row],[ReorderLevel]]*3,"Over Stock","Okay")</f>
        <v>Over Stock</v>
      </c>
      <c r="O916" t="str">
        <f>IF(Table1[[#This Row],[CurrentStock]]&lt;Table1[[#This Row],[ReorderLevel]],"Reorder","Okay")</f>
        <v>Okay</v>
      </c>
    </row>
    <row r="917" spans="1:15" x14ac:dyDescent="0.3">
      <c r="A917">
        <v>60231</v>
      </c>
      <c r="B917" t="s">
        <v>21</v>
      </c>
      <c r="C917" t="s">
        <v>31</v>
      </c>
      <c r="D917">
        <v>229</v>
      </c>
      <c r="E917">
        <v>150</v>
      </c>
      <c r="F917">
        <v>398.1</v>
      </c>
      <c r="G917" t="s">
        <v>32</v>
      </c>
      <c r="H917" s="1">
        <v>45489</v>
      </c>
      <c r="I917" s="1">
        <v>45496</v>
      </c>
      <c r="J917" t="s">
        <v>38</v>
      </c>
      <c r="K917" t="b">
        <f>Table1[[#This Row],[CurrentStock]]&lt;Table1[[#This Row],[ReorderLevel]]</f>
        <v>0</v>
      </c>
      <c r="L917" s="9">
        <f>Table1[[#This Row],[CurrentStock]]*Table1[[#This Row],[UnitPrice]]</f>
        <v>91164.900000000009</v>
      </c>
      <c r="M917" t="str">
        <f>IF(Table1[[#This Row],[ReorderLevel]]-Table1[[#This Row],[CurrentStock]]&gt;0,Table1[[#This Row],[ReorderLevel]]-Table1[[#This Row],[CurrentStock]],"")</f>
        <v/>
      </c>
      <c r="N917" t="str">
        <f>IF(Table1[[#This Row],[CurrentStock]]&gt;Table1[[#This Row],[ReorderLevel]]*3,"Over Stock","Okay")</f>
        <v>Okay</v>
      </c>
      <c r="O917" t="str">
        <f>IF(Table1[[#This Row],[CurrentStock]]&lt;Table1[[#This Row],[ReorderLevel]],"Reorder","Okay")</f>
        <v>Okay</v>
      </c>
    </row>
    <row r="918" spans="1:15" x14ac:dyDescent="0.3">
      <c r="A918">
        <v>31390</v>
      </c>
      <c r="B918" t="s">
        <v>17</v>
      </c>
      <c r="C918" t="s">
        <v>30</v>
      </c>
      <c r="D918">
        <v>91</v>
      </c>
      <c r="E918">
        <v>30</v>
      </c>
      <c r="F918">
        <v>98.83</v>
      </c>
      <c r="G918" t="s">
        <v>33</v>
      </c>
      <c r="H918" s="1">
        <v>45348</v>
      </c>
      <c r="I918" s="1">
        <v>45359</v>
      </c>
      <c r="J918" t="s">
        <v>39</v>
      </c>
      <c r="K918" t="b">
        <f>Table1[[#This Row],[CurrentStock]]&lt;Table1[[#This Row],[ReorderLevel]]</f>
        <v>0</v>
      </c>
      <c r="L918" s="9">
        <f>Table1[[#This Row],[CurrentStock]]*Table1[[#This Row],[UnitPrice]]</f>
        <v>8993.5300000000007</v>
      </c>
      <c r="M918" t="str">
        <f>IF(Table1[[#This Row],[ReorderLevel]]-Table1[[#This Row],[CurrentStock]]&gt;0,Table1[[#This Row],[ReorderLevel]]-Table1[[#This Row],[CurrentStock]],"")</f>
        <v/>
      </c>
      <c r="N918" t="str">
        <f>IF(Table1[[#This Row],[CurrentStock]]&gt;Table1[[#This Row],[ReorderLevel]]*3,"Over Stock","Okay")</f>
        <v>Over Stock</v>
      </c>
      <c r="O918" t="str">
        <f>IF(Table1[[#This Row],[CurrentStock]]&lt;Table1[[#This Row],[ReorderLevel]],"Reorder","Okay")</f>
        <v>Okay</v>
      </c>
    </row>
    <row r="919" spans="1:15" x14ac:dyDescent="0.3">
      <c r="A919">
        <v>57013</v>
      </c>
      <c r="B919" t="s">
        <v>10</v>
      </c>
      <c r="C919" t="s">
        <v>27</v>
      </c>
      <c r="D919">
        <v>87</v>
      </c>
      <c r="E919">
        <v>30</v>
      </c>
      <c r="F919">
        <v>123.49</v>
      </c>
      <c r="G919" t="s">
        <v>33</v>
      </c>
      <c r="H919" s="1">
        <v>45334</v>
      </c>
      <c r="I919" s="1">
        <v>45364</v>
      </c>
      <c r="J919" t="s">
        <v>37</v>
      </c>
      <c r="K919" t="b">
        <f>Table1[[#This Row],[CurrentStock]]&lt;Table1[[#This Row],[ReorderLevel]]</f>
        <v>0</v>
      </c>
      <c r="L919" s="9">
        <f>Table1[[#This Row],[CurrentStock]]*Table1[[#This Row],[UnitPrice]]</f>
        <v>10743.63</v>
      </c>
      <c r="M919" t="str">
        <f>IF(Table1[[#This Row],[ReorderLevel]]-Table1[[#This Row],[CurrentStock]]&gt;0,Table1[[#This Row],[ReorderLevel]]-Table1[[#This Row],[CurrentStock]],"")</f>
        <v/>
      </c>
      <c r="N919" t="str">
        <f>IF(Table1[[#This Row],[CurrentStock]]&gt;Table1[[#This Row],[ReorderLevel]]*3,"Over Stock","Okay")</f>
        <v>Okay</v>
      </c>
      <c r="O919" t="str">
        <f>IF(Table1[[#This Row],[CurrentStock]]&lt;Table1[[#This Row],[ReorderLevel]],"Reorder","Okay")</f>
        <v>Okay</v>
      </c>
    </row>
    <row r="920" spans="1:15" x14ac:dyDescent="0.3">
      <c r="A920">
        <v>34124</v>
      </c>
      <c r="B920" t="s">
        <v>20</v>
      </c>
      <c r="C920" t="s">
        <v>29</v>
      </c>
      <c r="D920">
        <v>289</v>
      </c>
      <c r="E920">
        <v>20</v>
      </c>
      <c r="F920">
        <v>405.14</v>
      </c>
      <c r="G920" t="s">
        <v>36</v>
      </c>
      <c r="H920" s="1">
        <v>45504</v>
      </c>
      <c r="I920" s="1">
        <v>45528</v>
      </c>
      <c r="J920" t="s">
        <v>38</v>
      </c>
      <c r="K920" t="b">
        <f>Table1[[#This Row],[CurrentStock]]&lt;Table1[[#This Row],[ReorderLevel]]</f>
        <v>0</v>
      </c>
      <c r="L920" s="9">
        <f>Table1[[#This Row],[CurrentStock]]*Table1[[#This Row],[UnitPrice]]</f>
        <v>117085.45999999999</v>
      </c>
      <c r="M920" t="str">
        <f>IF(Table1[[#This Row],[ReorderLevel]]-Table1[[#This Row],[CurrentStock]]&gt;0,Table1[[#This Row],[ReorderLevel]]-Table1[[#This Row],[CurrentStock]],"")</f>
        <v/>
      </c>
      <c r="N920" t="str">
        <f>IF(Table1[[#This Row],[CurrentStock]]&gt;Table1[[#This Row],[ReorderLevel]]*3,"Over Stock","Okay")</f>
        <v>Over Stock</v>
      </c>
      <c r="O920" t="str">
        <f>IF(Table1[[#This Row],[CurrentStock]]&lt;Table1[[#This Row],[ReorderLevel]],"Reorder","Okay")</f>
        <v>Okay</v>
      </c>
    </row>
    <row r="921" spans="1:15" x14ac:dyDescent="0.3">
      <c r="A921">
        <v>95283</v>
      </c>
      <c r="B921" t="s">
        <v>14</v>
      </c>
      <c r="C921" t="s">
        <v>27</v>
      </c>
      <c r="D921">
        <v>403</v>
      </c>
      <c r="E921">
        <v>30</v>
      </c>
      <c r="F921">
        <v>397.38</v>
      </c>
      <c r="G921" t="s">
        <v>36</v>
      </c>
      <c r="H921" s="1">
        <v>45644</v>
      </c>
      <c r="I921" s="1">
        <v>45672</v>
      </c>
      <c r="J921" t="s">
        <v>38</v>
      </c>
      <c r="K921" t="b">
        <f>Table1[[#This Row],[CurrentStock]]&lt;Table1[[#This Row],[ReorderLevel]]</f>
        <v>0</v>
      </c>
      <c r="L921" s="9">
        <f>Table1[[#This Row],[CurrentStock]]*Table1[[#This Row],[UnitPrice]]</f>
        <v>160144.13999999998</v>
      </c>
      <c r="M921" t="str">
        <f>IF(Table1[[#This Row],[ReorderLevel]]-Table1[[#This Row],[CurrentStock]]&gt;0,Table1[[#This Row],[ReorderLevel]]-Table1[[#This Row],[CurrentStock]],"")</f>
        <v/>
      </c>
      <c r="N921" t="str">
        <f>IF(Table1[[#This Row],[CurrentStock]]&gt;Table1[[#This Row],[ReorderLevel]]*3,"Over Stock","Okay")</f>
        <v>Over Stock</v>
      </c>
      <c r="O921" t="str">
        <f>IF(Table1[[#This Row],[CurrentStock]]&lt;Table1[[#This Row],[ReorderLevel]],"Reorder","Okay")</f>
        <v>Okay</v>
      </c>
    </row>
    <row r="922" spans="1:15" x14ac:dyDescent="0.3">
      <c r="A922">
        <v>39377</v>
      </c>
      <c r="B922" t="s">
        <v>22</v>
      </c>
      <c r="C922" t="s">
        <v>27</v>
      </c>
      <c r="D922">
        <v>310</v>
      </c>
      <c r="E922">
        <v>80</v>
      </c>
      <c r="F922">
        <v>305.7</v>
      </c>
      <c r="G922" t="s">
        <v>35</v>
      </c>
      <c r="H922" s="1">
        <v>45496</v>
      </c>
      <c r="I922" s="1">
        <v>45524</v>
      </c>
      <c r="J922" t="s">
        <v>37</v>
      </c>
      <c r="K922" t="b">
        <f>Table1[[#This Row],[CurrentStock]]&lt;Table1[[#This Row],[ReorderLevel]]</f>
        <v>0</v>
      </c>
      <c r="L922" s="9">
        <f>Table1[[#This Row],[CurrentStock]]*Table1[[#This Row],[UnitPrice]]</f>
        <v>94767</v>
      </c>
      <c r="M922" t="str">
        <f>IF(Table1[[#This Row],[ReorderLevel]]-Table1[[#This Row],[CurrentStock]]&gt;0,Table1[[#This Row],[ReorderLevel]]-Table1[[#This Row],[CurrentStock]],"")</f>
        <v/>
      </c>
      <c r="N922" t="str">
        <f>IF(Table1[[#This Row],[CurrentStock]]&gt;Table1[[#This Row],[ReorderLevel]]*3,"Over Stock","Okay")</f>
        <v>Over Stock</v>
      </c>
      <c r="O922" t="str">
        <f>IF(Table1[[#This Row],[CurrentStock]]&lt;Table1[[#This Row],[ReorderLevel]],"Reorder","Okay")</f>
        <v>Okay</v>
      </c>
    </row>
    <row r="923" spans="1:15" x14ac:dyDescent="0.3">
      <c r="A923">
        <v>65283</v>
      </c>
      <c r="B923" t="s">
        <v>13</v>
      </c>
      <c r="C923" t="s">
        <v>29</v>
      </c>
      <c r="D923">
        <v>162</v>
      </c>
      <c r="E923">
        <v>40</v>
      </c>
      <c r="F923">
        <v>260.92</v>
      </c>
      <c r="G923" t="s">
        <v>33</v>
      </c>
      <c r="H923" s="1">
        <v>45628</v>
      </c>
      <c r="I923" s="1">
        <v>45660</v>
      </c>
      <c r="J923" t="s">
        <v>38</v>
      </c>
      <c r="K923" t="b">
        <f>Table1[[#This Row],[CurrentStock]]&lt;Table1[[#This Row],[ReorderLevel]]</f>
        <v>0</v>
      </c>
      <c r="L923" s="9">
        <f>Table1[[#This Row],[CurrentStock]]*Table1[[#This Row],[UnitPrice]]</f>
        <v>42269.04</v>
      </c>
      <c r="M923" t="str">
        <f>IF(Table1[[#This Row],[ReorderLevel]]-Table1[[#This Row],[CurrentStock]]&gt;0,Table1[[#This Row],[ReorderLevel]]-Table1[[#This Row],[CurrentStock]],"")</f>
        <v/>
      </c>
      <c r="N923" t="str">
        <f>IF(Table1[[#This Row],[CurrentStock]]&gt;Table1[[#This Row],[ReorderLevel]]*3,"Over Stock","Okay")</f>
        <v>Over Stock</v>
      </c>
      <c r="O923" t="str">
        <f>IF(Table1[[#This Row],[CurrentStock]]&lt;Table1[[#This Row],[ReorderLevel]],"Reorder","Okay")</f>
        <v>Okay</v>
      </c>
    </row>
    <row r="924" spans="1:15" x14ac:dyDescent="0.3">
      <c r="A924">
        <v>32553</v>
      </c>
      <c r="B924" t="s">
        <v>21</v>
      </c>
      <c r="C924" t="s">
        <v>31</v>
      </c>
      <c r="D924">
        <v>203</v>
      </c>
      <c r="E924">
        <v>150</v>
      </c>
      <c r="F924">
        <v>145.36000000000001</v>
      </c>
      <c r="G924" t="s">
        <v>32</v>
      </c>
      <c r="H924" s="1">
        <v>45579</v>
      </c>
      <c r="I924" s="1">
        <v>45615</v>
      </c>
      <c r="J924" t="s">
        <v>37</v>
      </c>
      <c r="K924" t="b">
        <f>Table1[[#This Row],[CurrentStock]]&lt;Table1[[#This Row],[ReorderLevel]]</f>
        <v>0</v>
      </c>
      <c r="L924" s="9">
        <f>Table1[[#This Row],[CurrentStock]]*Table1[[#This Row],[UnitPrice]]</f>
        <v>29508.080000000002</v>
      </c>
      <c r="M924" t="str">
        <f>IF(Table1[[#This Row],[ReorderLevel]]-Table1[[#This Row],[CurrentStock]]&gt;0,Table1[[#This Row],[ReorderLevel]]-Table1[[#This Row],[CurrentStock]],"")</f>
        <v/>
      </c>
      <c r="N924" t="str">
        <f>IF(Table1[[#This Row],[CurrentStock]]&gt;Table1[[#This Row],[ReorderLevel]]*3,"Over Stock","Okay")</f>
        <v>Okay</v>
      </c>
      <c r="O924" t="str">
        <f>IF(Table1[[#This Row],[CurrentStock]]&lt;Table1[[#This Row],[ReorderLevel]],"Reorder","Okay")</f>
        <v>Okay</v>
      </c>
    </row>
    <row r="925" spans="1:15" x14ac:dyDescent="0.3">
      <c r="A925">
        <v>92227</v>
      </c>
      <c r="B925" t="s">
        <v>23</v>
      </c>
      <c r="C925" t="s">
        <v>30</v>
      </c>
      <c r="D925">
        <v>105</v>
      </c>
      <c r="E925">
        <v>30</v>
      </c>
      <c r="F925">
        <v>155.74</v>
      </c>
      <c r="G925" t="s">
        <v>32</v>
      </c>
      <c r="H925" s="1">
        <v>45522</v>
      </c>
      <c r="I925" s="1">
        <v>45533</v>
      </c>
      <c r="J925" t="s">
        <v>37</v>
      </c>
      <c r="K925" t="b">
        <f>Table1[[#This Row],[CurrentStock]]&lt;Table1[[#This Row],[ReorderLevel]]</f>
        <v>0</v>
      </c>
      <c r="L925" s="9">
        <f>Table1[[#This Row],[CurrentStock]]*Table1[[#This Row],[UnitPrice]]</f>
        <v>16352.7</v>
      </c>
      <c r="M925" t="str">
        <f>IF(Table1[[#This Row],[ReorderLevel]]-Table1[[#This Row],[CurrentStock]]&gt;0,Table1[[#This Row],[ReorderLevel]]-Table1[[#This Row],[CurrentStock]],"")</f>
        <v/>
      </c>
      <c r="N925" t="str">
        <f>IF(Table1[[#This Row],[CurrentStock]]&gt;Table1[[#This Row],[ReorderLevel]]*3,"Over Stock","Okay")</f>
        <v>Over Stock</v>
      </c>
      <c r="O925" t="str">
        <f>IF(Table1[[#This Row],[CurrentStock]]&lt;Table1[[#This Row],[ReorderLevel]],"Reorder","Okay")</f>
        <v>Okay</v>
      </c>
    </row>
    <row r="926" spans="1:15" x14ac:dyDescent="0.3">
      <c r="A926">
        <v>71607</v>
      </c>
      <c r="B926" t="s">
        <v>21</v>
      </c>
      <c r="C926" t="s">
        <v>31</v>
      </c>
      <c r="D926">
        <v>48</v>
      </c>
      <c r="E926">
        <v>20</v>
      </c>
      <c r="F926">
        <v>465.31</v>
      </c>
      <c r="G926" t="s">
        <v>36</v>
      </c>
      <c r="H926" s="1">
        <v>45344</v>
      </c>
      <c r="I926" s="1">
        <v>45367</v>
      </c>
      <c r="J926" t="s">
        <v>37</v>
      </c>
      <c r="K926" t="b">
        <f>Table1[[#This Row],[CurrentStock]]&lt;Table1[[#This Row],[ReorderLevel]]</f>
        <v>0</v>
      </c>
      <c r="L926" s="9">
        <f>Table1[[#This Row],[CurrentStock]]*Table1[[#This Row],[UnitPrice]]</f>
        <v>22334.880000000001</v>
      </c>
      <c r="M926" t="str">
        <f>IF(Table1[[#This Row],[ReorderLevel]]-Table1[[#This Row],[CurrentStock]]&gt;0,Table1[[#This Row],[ReorderLevel]]-Table1[[#This Row],[CurrentStock]],"")</f>
        <v/>
      </c>
      <c r="N926" t="str">
        <f>IF(Table1[[#This Row],[CurrentStock]]&gt;Table1[[#This Row],[ReorderLevel]]*3,"Over Stock","Okay")</f>
        <v>Okay</v>
      </c>
      <c r="O926" t="str">
        <f>IF(Table1[[#This Row],[CurrentStock]]&lt;Table1[[#This Row],[ReorderLevel]],"Reorder","Okay")</f>
        <v>Okay</v>
      </c>
    </row>
    <row r="927" spans="1:15" x14ac:dyDescent="0.3">
      <c r="A927">
        <v>18837</v>
      </c>
      <c r="B927" t="s">
        <v>12</v>
      </c>
      <c r="C927" t="s">
        <v>28</v>
      </c>
      <c r="D927">
        <v>145</v>
      </c>
      <c r="E927">
        <v>50</v>
      </c>
      <c r="F927">
        <v>69.569999999999993</v>
      </c>
      <c r="G927" t="s">
        <v>32</v>
      </c>
      <c r="H927" s="1">
        <v>45458</v>
      </c>
      <c r="I927" s="1">
        <v>45471</v>
      </c>
      <c r="J927" t="s">
        <v>39</v>
      </c>
      <c r="K927" t="b">
        <f>Table1[[#This Row],[CurrentStock]]&lt;Table1[[#This Row],[ReorderLevel]]</f>
        <v>0</v>
      </c>
      <c r="L927" s="9">
        <f>Table1[[#This Row],[CurrentStock]]*Table1[[#This Row],[UnitPrice]]</f>
        <v>10087.65</v>
      </c>
      <c r="M927" t="str">
        <f>IF(Table1[[#This Row],[ReorderLevel]]-Table1[[#This Row],[CurrentStock]]&gt;0,Table1[[#This Row],[ReorderLevel]]-Table1[[#This Row],[CurrentStock]],"")</f>
        <v/>
      </c>
      <c r="N927" t="str">
        <f>IF(Table1[[#This Row],[CurrentStock]]&gt;Table1[[#This Row],[ReorderLevel]]*3,"Over Stock","Okay")</f>
        <v>Okay</v>
      </c>
      <c r="O927" t="str">
        <f>IF(Table1[[#This Row],[CurrentStock]]&lt;Table1[[#This Row],[ReorderLevel]],"Reorder","Okay")</f>
        <v>Okay</v>
      </c>
    </row>
    <row r="928" spans="1:15" x14ac:dyDescent="0.3">
      <c r="A928">
        <v>86349</v>
      </c>
      <c r="B928" t="s">
        <v>17</v>
      </c>
      <c r="C928" t="s">
        <v>30</v>
      </c>
      <c r="D928">
        <v>384</v>
      </c>
      <c r="E928">
        <v>40</v>
      </c>
      <c r="F928">
        <v>42.39</v>
      </c>
      <c r="G928" t="s">
        <v>36</v>
      </c>
      <c r="H928" s="1">
        <v>45502</v>
      </c>
      <c r="I928" s="1">
        <v>45523</v>
      </c>
      <c r="J928" t="s">
        <v>37</v>
      </c>
      <c r="K928" t="b">
        <f>Table1[[#This Row],[CurrentStock]]&lt;Table1[[#This Row],[ReorderLevel]]</f>
        <v>0</v>
      </c>
      <c r="L928" s="9">
        <f>Table1[[#This Row],[CurrentStock]]*Table1[[#This Row],[UnitPrice]]</f>
        <v>16277.76</v>
      </c>
      <c r="M928" t="str">
        <f>IF(Table1[[#This Row],[ReorderLevel]]-Table1[[#This Row],[CurrentStock]]&gt;0,Table1[[#This Row],[ReorderLevel]]-Table1[[#This Row],[CurrentStock]],"")</f>
        <v/>
      </c>
      <c r="N928" t="str">
        <f>IF(Table1[[#This Row],[CurrentStock]]&gt;Table1[[#This Row],[ReorderLevel]]*3,"Over Stock","Okay")</f>
        <v>Over Stock</v>
      </c>
      <c r="O928" t="str">
        <f>IF(Table1[[#This Row],[CurrentStock]]&lt;Table1[[#This Row],[ReorderLevel]],"Reorder","Okay")</f>
        <v>Okay</v>
      </c>
    </row>
    <row r="929" spans="1:15" x14ac:dyDescent="0.3">
      <c r="A929">
        <v>52487</v>
      </c>
      <c r="B929" t="s">
        <v>12</v>
      </c>
      <c r="C929" t="s">
        <v>28</v>
      </c>
      <c r="D929">
        <v>285</v>
      </c>
      <c r="E929">
        <v>150</v>
      </c>
      <c r="F929">
        <v>232.52</v>
      </c>
      <c r="G929" t="s">
        <v>34</v>
      </c>
      <c r="H929" s="1">
        <v>45373</v>
      </c>
      <c r="I929" s="1">
        <v>45387</v>
      </c>
      <c r="J929" t="s">
        <v>37</v>
      </c>
      <c r="K929" t="b">
        <f>Table1[[#This Row],[CurrentStock]]&lt;Table1[[#This Row],[ReorderLevel]]</f>
        <v>0</v>
      </c>
      <c r="L929" s="9">
        <f>Table1[[#This Row],[CurrentStock]]*Table1[[#This Row],[UnitPrice]]</f>
        <v>66268.2</v>
      </c>
      <c r="M929" t="str">
        <f>IF(Table1[[#This Row],[ReorderLevel]]-Table1[[#This Row],[CurrentStock]]&gt;0,Table1[[#This Row],[ReorderLevel]]-Table1[[#This Row],[CurrentStock]],"")</f>
        <v/>
      </c>
      <c r="N929" t="str">
        <f>IF(Table1[[#This Row],[CurrentStock]]&gt;Table1[[#This Row],[ReorderLevel]]*3,"Over Stock","Okay")</f>
        <v>Okay</v>
      </c>
      <c r="O929" t="str">
        <f>IF(Table1[[#This Row],[CurrentStock]]&lt;Table1[[#This Row],[ReorderLevel]],"Reorder","Okay")</f>
        <v>Okay</v>
      </c>
    </row>
    <row r="930" spans="1:15" x14ac:dyDescent="0.3">
      <c r="A930">
        <v>28976</v>
      </c>
      <c r="B930" t="s">
        <v>10</v>
      </c>
      <c r="C930" t="s">
        <v>27</v>
      </c>
      <c r="D930">
        <v>88</v>
      </c>
      <c r="E930">
        <v>80</v>
      </c>
      <c r="F930">
        <v>6.9</v>
      </c>
      <c r="G930" t="s">
        <v>33</v>
      </c>
      <c r="H930" s="1">
        <v>45635</v>
      </c>
      <c r="I930" s="1">
        <v>45641</v>
      </c>
      <c r="J930" t="s">
        <v>38</v>
      </c>
      <c r="K930" t="b">
        <f>Table1[[#This Row],[CurrentStock]]&lt;Table1[[#This Row],[ReorderLevel]]</f>
        <v>0</v>
      </c>
      <c r="L930" s="9">
        <f>Table1[[#This Row],[CurrentStock]]*Table1[[#This Row],[UnitPrice]]</f>
        <v>607.20000000000005</v>
      </c>
      <c r="M930" t="str">
        <f>IF(Table1[[#This Row],[ReorderLevel]]-Table1[[#This Row],[CurrentStock]]&gt;0,Table1[[#This Row],[ReorderLevel]]-Table1[[#This Row],[CurrentStock]],"")</f>
        <v/>
      </c>
      <c r="N930" t="str">
        <f>IF(Table1[[#This Row],[CurrentStock]]&gt;Table1[[#This Row],[ReorderLevel]]*3,"Over Stock","Okay")</f>
        <v>Okay</v>
      </c>
      <c r="O930" t="str">
        <f>IF(Table1[[#This Row],[CurrentStock]]&lt;Table1[[#This Row],[ReorderLevel]],"Reorder","Okay")</f>
        <v>Okay</v>
      </c>
    </row>
    <row r="931" spans="1:15" x14ac:dyDescent="0.3">
      <c r="A931">
        <v>94360</v>
      </c>
      <c r="B931" t="s">
        <v>19</v>
      </c>
      <c r="C931" t="s">
        <v>28</v>
      </c>
      <c r="D931">
        <v>486</v>
      </c>
      <c r="E931">
        <v>80</v>
      </c>
      <c r="F931">
        <v>370</v>
      </c>
      <c r="G931" t="s">
        <v>34</v>
      </c>
      <c r="H931" s="1">
        <v>45333</v>
      </c>
      <c r="I931" s="1">
        <v>45358</v>
      </c>
      <c r="J931" t="s">
        <v>38</v>
      </c>
      <c r="K931" t="b">
        <f>Table1[[#This Row],[CurrentStock]]&lt;Table1[[#This Row],[ReorderLevel]]</f>
        <v>0</v>
      </c>
      <c r="L931" s="9">
        <f>Table1[[#This Row],[CurrentStock]]*Table1[[#This Row],[UnitPrice]]</f>
        <v>179820</v>
      </c>
      <c r="M931" t="str">
        <f>IF(Table1[[#This Row],[ReorderLevel]]-Table1[[#This Row],[CurrentStock]]&gt;0,Table1[[#This Row],[ReorderLevel]]-Table1[[#This Row],[CurrentStock]],"")</f>
        <v/>
      </c>
      <c r="N931" t="str">
        <f>IF(Table1[[#This Row],[CurrentStock]]&gt;Table1[[#This Row],[ReorderLevel]]*3,"Over Stock","Okay")</f>
        <v>Over Stock</v>
      </c>
      <c r="O931" t="str">
        <f>IF(Table1[[#This Row],[CurrentStock]]&lt;Table1[[#This Row],[ReorderLevel]],"Reorder","Okay")</f>
        <v>Okay</v>
      </c>
    </row>
    <row r="932" spans="1:15" x14ac:dyDescent="0.3">
      <c r="A932">
        <v>15190</v>
      </c>
      <c r="B932" t="s">
        <v>20</v>
      </c>
      <c r="C932" t="s">
        <v>29</v>
      </c>
      <c r="D932">
        <v>324</v>
      </c>
      <c r="E932">
        <v>20</v>
      </c>
      <c r="F932">
        <v>61.52</v>
      </c>
      <c r="G932" t="s">
        <v>34</v>
      </c>
      <c r="H932" s="1">
        <v>45611</v>
      </c>
      <c r="I932" s="1">
        <v>45638</v>
      </c>
      <c r="J932" t="s">
        <v>37</v>
      </c>
      <c r="K932" t="b">
        <f>Table1[[#This Row],[CurrentStock]]&lt;Table1[[#This Row],[ReorderLevel]]</f>
        <v>0</v>
      </c>
      <c r="L932" s="9">
        <f>Table1[[#This Row],[CurrentStock]]*Table1[[#This Row],[UnitPrice]]</f>
        <v>19932.48</v>
      </c>
      <c r="M932" t="str">
        <f>IF(Table1[[#This Row],[ReorderLevel]]-Table1[[#This Row],[CurrentStock]]&gt;0,Table1[[#This Row],[ReorderLevel]]-Table1[[#This Row],[CurrentStock]],"")</f>
        <v/>
      </c>
      <c r="N932" t="str">
        <f>IF(Table1[[#This Row],[CurrentStock]]&gt;Table1[[#This Row],[ReorderLevel]]*3,"Over Stock","Okay")</f>
        <v>Over Stock</v>
      </c>
      <c r="O932" t="str">
        <f>IF(Table1[[#This Row],[CurrentStock]]&lt;Table1[[#This Row],[ReorderLevel]],"Reorder","Okay")</f>
        <v>Okay</v>
      </c>
    </row>
    <row r="933" spans="1:15" x14ac:dyDescent="0.3">
      <c r="A933">
        <v>97858</v>
      </c>
      <c r="B933" t="s">
        <v>20</v>
      </c>
      <c r="C933" t="s">
        <v>29</v>
      </c>
      <c r="D933">
        <v>389</v>
      </c>
      <c r="E933">
        <v>150</v>
      </c>
      <c r="F933">
        <v>458.01</v>
      </c>
      <c r="G933" t="s">
        <v>34</v>
      </c>
      <c r="H933" s="1">
        <v>45300</v>
      </c>
      <c r="I933" s="1">
        <v>45337</v>
      </c>
      <c r="J933" t="s">
        <v>39</v>
      </c>
      <c r="K933" t="b">
        <f>Table1[[#This Row],[CurrentStock]]&lt;Table1[[#This Row],[ReorderLevel]]</f>
        <v>0</v>
      </c>
      <c r="L933" s="9">
        <f>Table1[[#This Row],[CurrentStock]]*Table1[[#This Row],[UnitPrice]]</f>
        <v>178165.88999999998</v>
      </c>
      <c r="M933" t="str">
        <f>IF(Table1[[#This Row],[ReorderLevel]]-Table1[[#This Row],[CurrentStock]]&gt;0,Table1[[#This Row],[ReorderLevel]]-Table1[[#This Row],[CurrentStock]],"")</f>
        <v/>
      </c>
      <c r="N933" t="str">
        <f>IF(Table1[[#This Row],[CurrentStock]]&gt;Table1[[#This Row],[ReorderLevel]]*3,"Over Stock","Okay")</f>
        <v>Okay</v>
      </c>
      <c r="O933" t="str">
        <f>IF(Table1[[#This Row],[CurrentStock]]&lt;Table1[[#This Row],[ReorderLevel]],"Reorder","Okay")</f>
        <v>Okay</v>
      </c>
    </row>
    <row r="934" spans="1:15" x14ac:dyDescent="0.3">
      <c r="A934">
        <v>85271</v>
      </c>
      <c r="B934" t="s">
        <v>16</v>
      </c>
      <c r="C934" t="s">
        <v>30</v>
      </c>
      <c r="D934">
        <v>481</v>
      </c>
      <c r="E934">
        <v>20</v>
      </c>
      <c r="F934">
        <v>274.29000000000002</v>
      </c>
      <c r="G934" t="s">
        <v>33</v>
      </c>
      <c r="H934" s="1">
        <v>45305</v>
      </c>
      <c r="I934" s="1">
        <v>45324</v>
      </c>
      <c r="J934" t="s">
        <v>37</v>
      </c>
      <c r="K934" t="b">
        <f>Table1[[#This Row],[CurrentStock]]&lt;Table1[[#This Row],[ReorderLevel]]</f>
        <v>0</v>
      </c>
      <c r="L934" s="9">
        <f>Table1[[#This Row],[CurrentStock]]*Table1[[#This Row],[UnitPrice]]</f>
        <v>131933.49000000002</v>
      </c>
      <c r="M934" t="str">
        <f>IF(Table1[[#This Row],[ReorderLevel]]-Table1[[#This Row],[CurrentStock]]&gt;0,Table1[[#This Row],[ReorderLevel]]-Table1[[#This Row],[CurrentStock]],"")</f>
        <v/>
      </c>
      <c r="N934" t="str">
        <f>IF(Table1[[#This Row],[CurrentStock]]&gt;Table1[[#This Row],[ReorderLevel]]*3,"Over Stock","Okay")</f>
        <v>Over Stock</v>
      </c>
      <c r="O934" t="str">
        <f>IF(Table1[[#This Row],[CurrentStock]]&lt;Table1[[#This Row],[ReorderLevel]],"Reorder","Okay")</f>
        <v>Okay</v>
      </c>
    </row>
    <row r="935" spans="1:15" x14ac:dyDescent="0.3">
      <c r="A935">
        <v>48409</v>
      </c>
      <c r="B935" t="s">
        <v>11</v>
      </c>
      <c r="C935" t="s">
        <v>27</v>
      </c>
      <c r="D935">
        <v>445</v>
      </c>
      <c r="E935">
        <v>100</v>
      </c>
      <c r="F935">
        <v>303.69</v>
      </c>
      <c r="G935" t="s">
        <v>33</v>
      </c>
      <c r="H935" s="1">
        <v>45598</v>
      </c>
      <c r="I935" s="1">
        <v>45631</v>
      </c>
      <c r="J935" t="s">
        <v>38</v>
      </c>
      <c r="K935" t="b">
        <f>Table1[[#This Row],[CurrentStock]]&lt;Table1[[#This Row],[ReorderLevel]]</f>
        <v>0</v>
      </c>
      <c r="L935" s="9">
        <f>Table1[[#This Row],[CurrentStock]]*Table1[[#This Row],[UnitPrice]]</f>
        <v>135142.04999999999</v>
      </c>
      <c r="M935" t="str">
        <f>IF(Table1[[#This Row],[ReorderLevel]]-Table1[[#This Row],[CurrentStock]]&gt;0,Table1[[#This Row],[ReorderLevel]]-Table1[[#This Row],[CurrentStock]],"")</f>
        <v/>
      </c>
      <c r="N935" t="str">
        <f>IF(Table1[[#This Row],[CurrentStock]]&gt;Table1[[#This Row],[ReorderLevel]]*3,"Over Stock","Okay")</f>
        <v>Over Stock</v>
      </c>
      <c r="O935" t="str">
        <f>IF(Table1[[#This Row],[CurrentStock]]&lt;Table1[[#This Row],[ReorderLevel]],"Reorder","Okay")</f>
        <v>Okay</v>
      </c>
    </row>
    <row r="936" spans="1:15" x14ac:dyDescent="0.3">
      <c r="A936">
        <v>91238</v>
      </c>
      <c r="B936" t="s">
        <v>24</v>
      </c>
      <c r="C936" t="s">
        <v>31</v>
      </c>
      <c r="D936">
        <v>294</v>
      </c>
      <c r="E936">
        <v>80</v>
      </c>
      <c r="F936">
        <v>254.05</v>
      </c>
      <c r="G936" t="s">
        <v>35</v>
      </c>
      <c r="H936" s="1">
        <v>45479</v>
      </c>
      <c r="I936" s="1">
        <v>45503</v>
      </c>
      <c r="J936" t="s">
        <v>39</v>
      </c>
      <c r="K936" t="b">
        <f>Table1[[#This Row],[CurrentStock]]&lt;Table1[[#This Row],[ReorderLevel]]</f>
        <v>0</v>
      </c>
      <c r="L936" s="9">
        <f>Table1[[#This Row],[CurrentStock]]*Table1[[#This Row],[UnitPrice]]</f>
        <v>74690.7</v>
      </c>
      <c r="M936" t="str">
        <f>IF(Table1[[#This Row],[ReorderLevel]]-Table1[[#This Row],[CurrentStock]]&gt;0,Table1[[#This Row],[ReorderLevel]]-Table1[[#This Row],[CurrentStock]],"")</f>
        <v/>
      </c>
      <c r="N936" t="str">
        <f>IF(Table1[[#This Row],[CurrentStock]]&gt;Table1[[#This Row],[ReorderLevel]]*3,"Over Stock","Okay")</f>
        <v>Over Stock</v>
      </c>
      <c r="O936" t="str">
        <f>IF(Table1[[#This Row],[CurrentStock]]&lt;Table1[[#This Row],[ReorderLevel]],"Reorder","Okay")</f>
        <v>Okay</v>
      </c>
    </row>
    <row r="937" spans="1:15" x14ac:dyDescent="0.3">
      <c r="A937">
        <v>38341</v>
      </c>
      <c r="B937" t="s">
        <v>14</v>
      </c>
      <c r="C937" t="s">
        <v>27</v>
      </c>
      <c r="D937">
        <v>431</v>
      </c>
      <c r="E937">
        <v>20</v>
      </c>
      <c r="F937">
        <v>277.52</v>
      </c>
      <c r="G937" t="s">
        <v>34</v>
      </c>
      <c r="H937" s="1">
        <v>45608</v>
      </c>
      <c r="I937" s="1">
        <v>45622</v>
      </c>
      <c r="J937" t="s">
        <v>37</v>
      </c>
      <c r="K937" t="b">
        <f>Table1[[#This Row],[CurrentStock]]&lt;Table1[[#This Row],[ReorderLevel]]</f>
        <v>0</v>
      </c>
      <c r="L937" s="9">
        <f>Table1[[#This Row],[CurrentStock]]*Table1[[#This Row],[UnitPrice]]</f>
        <v>119611.12</v>
      </c>
      <c r="M937" t="str">
        <f>IF(Table1[[#This Row],[ReorderLevel]]-Table1[[#This Row],[CurrentStock]]&gt;0,Table1[[#This Row],[ReorderLevel]]-Table1[[#This Row],[CurrentStock]],"")</f>
        <v/>
      </c>
      <c r="N937" t="str">
        <f>IF(Table1[[#This Row],[CurrentStock]]&gt;Table1[[#This Row],[ReorderLevel]]*3,"Over Stock","Okay")</f>
        <v>Over Stock</v>
      </c>
      <c r="O937" t="str">
        <f>IF(Table1[[#This Row],[CurrentStock]]&lt;Table1[[#This Row],[ReorderLevel]],"Reorder","Okay")</f>
        <v>Okay</v>
      </c>
    </row>
    <row r="938" spans="1:15" x14ac:dyDescent="0.3">
      <c r="A938">
        <v>48383</v>
      </c>
      <c r="B938" t="s">
        <v>26</v>
      </c>
      <c r="C938" t="s">
        <v>30</v>
      </c>
      <c r="D938">
        <v>132</v>
      </c>
      <c r="E938">
        <v>150</v>
      </c>
      <c r="F938">
        <v>146.36000000000001</v>
      </c>
      <c r="G938" t="s">
        <v>36</v>
      </c>
      <c r="H938" s="1">
        <v>45514</v>
      </c>
      <c r="I938" s="1">
        <v>45541</v>
      </c>
      <c r="J938" t="s">
        <v>38</v>
      </c>
      <c r="K938" t="b">
        <f>Table1[[#This Row],[CurrentStock]]&lt;Table1[[#This Row],[ReorderLevel]]</f>
        <v>1</v>
      </c>
      <c r="L938" s="9">
        <f>Table1[[#This Row],[CurrentStock]]*Table1[[#This Row],[UnitPrice]]</f>
        <v>19319.52</v>
      </c>
      <c r="M938">
        <f>IF(Table1[[#This Row],[ReorderLevel]]-Table1[[#This Row],[CurrentStock]]&gt;0,Table1[[#This Row],[ReorderLevel]]-Table1[[#This Row],[CurrentStock]],"")</f>
        <v>18</v>
      </c>
      <c r="N938" t="str">
        <f>IF(Table1[[#This Row],[CurrentStock]]&gt;Table1[[#This Row],[ReorderLevel]]*3,"Over Stock","Okay")</f>
        <v>Okay</v>
      </c>
      <c r="O938" t="str">
        <f>IF(Table1[[#This Row],[CurrentStock]]&lt;Table1[[#This Row],[ReorderLevel]],"Reorder","Okay")</f>
        <v>Reorder</v>
      </c>
    </row>
    <row r="939" spans="1:15" x14ac:dyDescent="0.3">
      <c r="A939">
        <v>65612</v>
      </c>
      <c r="B939" t="s">
        <v>18</v>
      </c>
      <c r="C939" t="s">
        <v>28</v>
      </c>
      <c r="D939">
        <v>353</v>
      </c>
      <c r="E939">
        <v>80</v>
      </c>
      <c r="F939">
        <v>292</v>
      </c>
      <c r="G939" t="s">
        <v>32</v>
      </c>
      <c r="H939" s="1">
        <v>45575</v>
      </c>
      <c r="I939" s="1">
        <v>45611</v>
      </c>
      <c r="J939" t="s">
        <v>38</v>
      </c>
      <c r="K939" t="b">
        <f>Table1[[#This Row],[CurrentStock]]&lt;Table1[[#This Row],[ReorderLevel]]</f>
        <v>0</v>
      </c>
      <c r="L939" s="9">
        <f>Table1[[#This Row],[CurrentStock]]*Table1[[#This Row],[UnitPrice]]</f>
        <v>103076</v>
      </c>
      <c r="M939" t="str">
        <f>IF(Table1[[#This Row],[ReorderLevel]]-Table1[[#This Row],[CurrentStock]]&gt;0,Table1[[#This Row],[ReorderLevel]]-Table1[[#This Row],[CurrentStock]],"")</f>
        <v/>
      </c>
      <c r="N939" t="str">
        <f>IF(Table1[[#This Row],[CurrentStock]]&gt;Table1[[#This Row],[ReorderLevel]]*3,"Over Stock","Okay")</f>
        <v>Over Stock</v>
      </c>
      <c r="O939" t="str">
        <f>IF(Table1[[#This Row],[CurrentStock]]&lt;Table1[[#This Row],[ReorderLevel]],"Reorder","Okay")</f>
        <v>Okay</v>
      </c>
    </row>
    <row r="940" spans="1:15" x14ac:dyDescent="0.3">
      <c r="A940">
        <v>16853</v>
      </c>
      <c r="B940" t="s">
        <v>19</v>
      </c>
      <c r="C940" t="s">
        <v>28</v>
      </c>
      <c r="D940">
        <v>456</v>
      </c>
      <c r="E940">
        <v>30</v>
      </c>
      <c r="F940">
        <v>413.01</v>
      </c>
      <c r="G940" t="s">
        <v>35</v>
      </c>
      <c r="H940" s="1">
        <v>45496</v>
      </c>
      <c r="I940" s="1">
        <v>45505</v>
      </c>
      <c r="J940" t="s">
        <v>38</v>
      </c>
      <c r="K940" t="b">
        <f>Table1[[#This Row],[CurrentStock]]&lt;Table1[[#This Row],[ReorderLevel]]</f>
        <v>0</v>
      </c>
      <c r="L940" s="9">
        <f>Table1[[#This Row],[CurrentStock]]*Table1[[#This Row],[UnitPrice]]</f>
        <v>188332.56</v>
      </c>
      <c r="M940" t="str">
        <f>IF(Table1[[#This Row],[ReorderLevel]]-Table1[[#This Row],[CurrentStock]]&gt;0,Table1[[#This Row],[ReorderLevel]]-Table1[[#This Row],[CurrentStock]],"")</f>
        <v/>
      </c>
      <c r="N940" t="str">
        <f>IF(Table1[[#This Row],[CurrentStock]]&gt;Table1[[#This Row],[ReorderLevel]]*3,"Over Stock","Okay")</f>
        <v>Over Stock</v>
      </c>
      <c r="O940" t="str">
        <f>IF(Table1[[#This Row],[CurrentStock]]&lt;Table1[[#This Row],[ReorderLevel]],"Reorder","Okay")</f>
        <v>Okay</v>
      </c>
    </row>
    <row r="941" spans="1:15" x14ac:dyDescent="0.3">
      <c r="A941">
        <v>87186</v>
      </c>
      <c r="B941" t="s">
        <v>11</v>
      </c>
      <c r="C941" t="s">
        <v>27</v>
      </c>
      <c r="D941">
        <v>456</v>
      </c>
      <c r="E941">
        <v>30</v>
      </c>
      <c r="F941">
        <v>69.790000000000006</v>
      </c>
      <c r="G941" t="s">
        <v>35</v>
      </c>
      <c r="H941" s="1">
        <v>45423</v>
      </c>
      <c r="I941" s="1">
        <v>45452</v>
      </c>
      <c r="J941" t="s">
        <v>39</v>
      </c>
      <c r="K941" t="b">
        <f>Table1[[#This Row],[CurrentStock]]&lt;Table1[[#This Row],[ReorderLevel]]</f>
        <v>0</v>
      </c>
      <c r="L941" s="9">
        <f>Table1[[#This Row],[CurrentStock]]*Table1[[#This Row],[UnitPrice]]</f>
        <v>31824.240000000002</v>
      </c>
      <c r="M941" t="str">
        <f>IF(Table1[[#This Row],[ReorderLevel]]-Table1[[#This Row],[CurrentStock]]&gt;0,Table1[[#This Row],[ReorderLevel]]-Table1[[#This Row],[CurrentStock]],"")</f>
        <v/>
      </c>
      <c r="N941" t="str">
        <f>IF(Table1[[#This Row],[CurrentStock]]&gt;Table1[[#This Row],[ReorderLevel]]*3,"Over Stock","Okay")</f>
        <v>Over Stock</v>
      </c>
      <c r="O941" t="str">
        <f>IF(Table1[[#This Row],[CurrentStock]]&lt;Table1[[#This Row],[ReorderLevel]],"Reorder","Okay")</f>
        <v>Okay</v>
      </c>
    </row>
    <row r="942" spans="1:15" x14ac:dyDescent="0.3">
      <c r="A942">
        <v>19969</v>
      </c>
      <c r="B942" t="s">
        <v>14</v>
      </c>
      <c r="C942" t="s">
        <v>27</v>
      </c>
      <c r="D942">
        <v>289</v>
      </c>
      <c r="E942">
        <v>40</v>
      </c>
      <c r="F942">
        <v>386.26</v>
      </c>
      <c r="G942" t="s">
        <v>33</v>
      </c>
      <c r="H942" s="1">
        <v>45569</v>
      </c>
      <c r="I942" s="1">
        <v>45579</v>
      </c>
      <c r="J942" t="s">
        <v>39</v>
      </c>
      <c r="K942" t="b">
        <f>Table1[[#This Row],[CurrentStock]]&lt;Table1[[#This Row],[ReorderLevel]]</f>
        <v>0</v>
      </c>
      <c r="L942" s="9">
        <f>Table1[[#This Row],[CurrentStock]]*Table1[[#This Row],[UnitPrice]]</f>
        <v>111629.14</v>
      </c>
      <c r="M942" t="str">
        <f>IF(Table1[[#This Row],[ReorderLevel]]-Table1[[#This Row],[CurrentStock]]&gt;0,Table1[[#This Row],[ReorderLevel]]-Table1[[#This Row],[CurrentStock]],"")</f>
        <v/>
      </c>
      <c r="N942" t="str">
        <f>IF(Table1[[#This Row],[CurrentStock]]&gt;Table1[[#This Row],[ReorderLevel]]*3,"Over Stock","Okay")</f>
        <v>Over Stock</v>
      </c>
      <c r="O942" t="str">
        <f>IF(Table1[[#This Row],[CurrentStock]]&lt;Table1[[#This Row],[ReorderLevel]],"Reorder","Okay")</f>
        <v>Okay</v>
      </c>
    </row>
    <row r="943" spans="1:15" x14ac:dyDescent="0.3">
      <c r="A943">
        <v>99614</v>
      </c>
      <c r="B943" t="s">
        <v>21</v>
      </c>
      <c r="C943" t="s">
        <v>31</v>
      </c>
      <c r="D943">
        <v>399</v>
      </c>
      <c r="E943">
        <v>50</v>
      </c>
      <c r="F943">
        <v>481.29</v>
      </c>
      <c r="G943" t="s">
        <v>36</v>
      </c>
      <c r="H943" s="1">
        <v>45363</v>
      </c>
      <c r="I943" s="1">
        <v>45380</v>
      </c>
      <c r="J943" t="s">
        <v>39</v>
      </c>
      <c r="K943" t="b">
        <f>Table1[[#This Row],[CurrentStock]]&lt;Table1[[#This Row],[ReorderLevel]]</f>
        <v>0</v>
      </c>
      <c r="L943" s="9">
        <f>Table1[[#This Row],[CurrentStock]]*Table1[[#This Row],[UnitPrice]]</f>
        <v>192034.71000000002</v>
      </c>
      <c r="M943" t="str">
        <f>IF(Table1[[#This Row],[ReorderLevel]]-Table1[[#This Row],[CurrentStock]]&gt;0,Table1[[#This Row],[ReorderLevel]]-Table1[[#This Row],[CurrentStock]],"")</f>
        <v/>
      </c>
      <c r="N943" t="str">
        <f>IF(Table1[[#This Row],[CurrentStock]]&gt;Table1[[#This Row],[ReorderLevel]]*3,"Over Stock","Okay")</f>
        <v>Over Stock</v>
      </c>
      <c r="O943" t="str">
        <f>IF(Table1[[#This Row],[CurrentStock]]&lt;Table1[[#This Row],[ReorderLevel]],"Reorder","Okay")</f>
        <v>Okay</v>
      </c>
    </row>
    <row r="944" spans="1:15" x14ac:dyDescent="0.3">
      <c r="A944">
        <v>20131</v>
      </c>
      <c r="B944" t="s">
        <v>23</v>
      </c>
      <c r="C944" t="s">
        <v>30</v>
      </c>
      <c r="D944">
        <v>146</v>
      </c>
      <c r="E944">
        <v>150</v>
      </c>
      <c r="F944">
        <v>57.52</v>
      </c>
      <c r="G944" t="s">
        <v>36</v>
      </c>
      <c r="H944" s="1">
        <v>45430</v>
      </c>
      <c r="I944" s="1">
        <v>45454</v>
      </c>
      <c r="J944" t="s">
        <v>39</v>
      </c>
      <c r="K944" t="b">
        <f>Table1[[#This Row],[CurrentStock]]&lt;Table1[[#This Row],[ReorderLevel]]</f>
        <v>1</v>
      </c>
      <c r="L944" s="9">
        <f>Table1[[#This Row],[CurrentStock]]*Table1[[#This Row],[UnitPrice]]</f>
        <v>8397.92</v>
      </c>
      <c r="M944">
        <f>IF(Table1[[#This Row],[ReorderLevel]]-Table1[[#This Row],[CurrentStock]]&gt;0,Table1[[#This Row],[ReorderLevel]]-Table1[[#This Row],[CurrentStock]],"")</f>
        <v>4</v>
      </c>
      <c r="N944" t="str">
        <f>IF(Table1[[#This Row],[CurrentStock]]&gt;Table1[[#This Row],[ReorderLevel]]*3,"Over Stock","Okay")</f>
        <v>Okay</v>
      </c>
      <c r="O944" t="str">
        <f>IF(Table1[[#This Row],[CurrentStock]]&lt;Table1[[#This Row],[ReorderLevel]],"Reorder","Okay")</f>
        <v>Reorder</v>
      </c>
    </row>
    <row r="945" spans="1:15" x14ac:dyDescent="0.3">
      <c r="A945">
        <v>98822</v>
      </c>
      <c r="B945" t="s">
        <v>12</v>
      </c>
      <c r="C945" t="s">
        <v>28</v>
      </c>
      <c r="D945">
        <v>329</v>
      </c>
      <c r="E945">
        <v>30</v>
      </c>
      <c r="F945">
        <v>47.28</v>
      </c>
      <c r="G945" t="s">
        <v>34</v>
      </c>
      <c r="H945" s="1">
        <v>45492</v>
      </c>
      <c r="I945" s="1">
        <v>45527</v>
      </c>
      <c r="J945" t="s">
        <v>37</v>
      </c>
      <c r="K945" t="b">
        <f>Table1[[#This Row],[CurrentStock]]&lt;Table1[[#This Row],[ReorderLevel]]</f>
        <v>0</v>
      </c>
      <c r="L945" s="9">
        <f>Table1[[#This Row],[CurrentStock]]*Table1[[#This Row],[UnitPrice]]</f>
        <v>15555.12</v>
      </c>
      <c r="M945" t="str">
        <f>IF(Table1[[#This Row],[ReorderLevel]]-Table1[[#This Row],[CurrentStock]]&gt;0,Table1[[#This Row],[ReorderLevel]]-Table1[[#This Row],[CurrentStock]],"")</f>
        <v/>
      </c>
      <c r="N945" t="str">
        <f>IF(Table1[[#This Row],[CurrentStock]]&gt;Table1[[#This Row],[ReorderLevel]]*3,"Over Stock","Okay")</f>
        <v>Over Stock</v>
      </c>
      <c r="O945" t="str">
        <f>IF(Table1[[#This Row],[CurrentStock]]&lt;Table1[[#This Row],[ReorderLevel]],"Reorder","Okay")</f>
        <v>Okay</v>
      </c>
    </row>
    <row r="946" spans="1:15" x14ac:dyDescent="0.3">
      <c r="A946">
        <v>28706</v>
      </c>
      <c r="B946" t="s">
        <v>23</v>
      </c>
      <c r="C946" t="s">
        <v>30</v>
      </c>
      <c r="D946">
        <v>333</v>
      </c>
      <c r="E946">
        <v>50</v>
      </c>
      <c r="F946">
        <v>117.25</v>
      </c>
      <c r="G946" t="s">
        <v>36</v>
      </c>
      <c r="H946" s="1">
        <v>45650</v>
      </c>
      <c r="I946" s="1">
        <v>45671</v>
      </c>
      <c r="J946" t="s">
        <v>38</v>
      </c>
      <c r="K946" t="b">
        <f>Table1[[#This Row],[CurrentStock]]&lt;Table1[[#This Row],[ReorderLevel]]</f>
        <v>0</v>
      </c>
      <c r="L946" s="9">
        <f>Table1[[#This Row],[CurrentStock]]*Table1[[#This Row],[UnitPrice]]</f>
        <v>39044.25</v>
      </c>
      <c r="M946" t="str">
        <f>IF(Table1[[#This Row],[ReorderLevel]]-Table1[[#This Row],[CurrentStock]]&gt;0,Table1[[#This Row],[ReorderLevel]]-Table1[[#This Row],[CurrentStock]],"")</f>
        <v/>
      </c>
      <c r="N946" t="str">
        <f>IF(Table1[[#This Row],[CurrentStock]]&gt;Table1[[#This Row],[ReorderLevel]]*3,"Over Stock","Okay")</f>
        <v>Over Stock</v>
      </c>
      <c r="O946" t="str">
        <f>IF(Table1[[#This Row],[CurrentStock]]&lt;Table1[[#This Row],[ReorderLevel]],"Reorder","Okay")</f>
        <v>Okay</v>
      </c>
    </row>
    <row r="947" spans="1:15" x14ac:dyDescent="0.3">
      <c r="A947">
        <v>48015</v>
      </c>
      <c r="B947" t="s">
        <v>12</v>
      </c>
      <c r="C947" t="s">
        <v>28</v>
      </c>
      <c r="D947">
        <v>318</v>
      </c>
      <c r="E947">
        <v>80</v>
      </c>
      <c r="F947">
        <v>315.83999999999997</v>
      </c>
      <c r="G947" t="s">
        <v>33</v>
      </c>
      <c r="H947" s="1">
        <v>45444</v>
      </c>
      <c r="I947" s="1">
        <v>45459</v>
      </c>
      <c r="J947" t="s">
        <v>39</v>
      </c>
      <c r="K947" t="b">
        <f>Table1[[#This Row],[CurrentStock]]&lt;Table1[[#This Row],[ReorderLevel]]</f>
        <v>0</v>
      </c>
      <c r="L947" s="9">
        <f>Table1[[#This Row],[CurrentStock]]*Table1[[#This Row],[UnitPrice]]</f>
        <v>100437.12</v>
      </c>
      <c r="M947" t="str">
        <f>IF(Table1[[#This Row],[ReorderLevel]]-Table1[[#This Row],[CurrentStock]]&gt;0,Table1[[#This Row],[ReorderLevel]]-Table1[[#This Row],[CurrentStock]],"")</f>
        <v/>
      </c>
      <c r="N947" t="str">
        <f>IF(Table1[[#This Row],[CurrentStock]]&gt;Table1[[#This Row],[ReorderLevel]]*3,"Over Stock","Okay")</f>
        <v>Over Stock</v>
      </c>
      <c r="O947" t="str">
        <f>IF(Table1[[#This Row],[CurrentStock]]&lt;Table1[[#This Row],[ReorderLevel]],"Reorder","Okay")</f>
        <v>Okay</v>
      </c>
    </row>
    <row r="948" spans="1:15" x14ac:dyDescent="0.3">
      <c r="A948">
        <v>55784</v>
      </c>
      <c r="B948" t="s">
        <v>19</v>
      </c>
      <c r="C948" t="s">
        <v>28</v>
      </c>
      <c r="D948">
        <v>158</v>
      </c>
      <c r="E948">
        <v>30</v>
      </c>
      <c r="F948">
        <v>120.79</v>
      </c>
      <c r="G948" t="s">
        <v>33</v>
      </c>
      <c r="H948" s="1">
        <v>45314</v>
      </c>
      <c r="I948" s="1">
        <v>45331</v>
      </c>
      <c r="J948" t="s">
        <v>39</v>
      </c>
      <c r="K948" t="b">
        <f>Table1[[#This Row],[CurrentStock]]&lt;Table1[[#This Row],[ReorderLevel]]</f>
        <v>0</v>
      </c>
      <c r="L948" s="9">
        <f>Table1[[#This Row],[CurrentStock]]*Table1[[#This Row],[UnitPrice]]</f>
        <v>19084.82</v>
      </c>
      <c r="M948" t="str">
        <f>IF(Table1[[#This Row],[ReorderLevel]]-Table1[[#This Row],[CurrentStock]]&gt;0,Table1[[#This Row],[ReorderLevel]]-Table1[[#This Row],[CurrentStock]],"")</f>
        <v/>
      </c>
      <c r="N948" t="str">
        <f>IF(Table1[[#This Row],[CurrentStock]]&gt;Table1[[#This Row],[ReorderLevel]]*3,"Over Stock","Okay")</f>
        <v>Over Stock</v>
      </c>
      <c r="O948" t="str">
        <f>IF(Table1[[#This Row],[CurrentStock]]&lt;Table1[[#This Row],[ReorderLevel]],"Reorder","Okay")</f>
        <v>Okay</v>
      </c>
    </row>
    <row r="949" spans="1:15" x14ac:dyDescent="0.3">
      <c r="A949">
        <v>65989</v>
      </c>
      <c r="B949" t="s">
        <v>18</v>
      </c>
      <c r="C949" t="s">
        <v>28</v>
      </c>
      <c r="D949">
        <v>418</v>
      </c>
      <c r="E949">
        <v>20</v>
      </c>
      <c r="F949">
        <v>46.04</v>
      </c>
      <c r="G949" t="s">
        <v>33</v>
      </c>
      <c r="H949" s="1">
        <v>45376</v>
      </c>
      <c r="I949" s="1">
        <v>45412</v>
      </c>
      <c r="J949" t="s">
        <v>38</v>
      </c>
      <c r="K949" t="b">
        <f>Table1[[#This Row],[CurrentStock]]&lt;Table1[[#This Row],[ReorderLevel]]</f>
        <v>0</v>
      </c>
      <c r="L949" s="9">
        <f>Table1[[#This Row],[CurrentStock]]*Table1[[#This Row],[UnitPrice]]</f>
        <v>19244.72</v>
      </c>
      <c r="M949" t="str">
        <f>IF(Table1[[#This Row],[ReorderLevel]]-Table1[[#This Row],[CurrentStock]]&gt;0,Table1[[#This Row],[ReorderLevel]]-Table1[[#This Row],[CurrentStock]],"")</f>
        <v/>
      </c>
      <c r="N949" t="str">
        <f>IF(Table1[[#This Row],[CurrentStock]]&gt;Table1[[#This Row],[ReorderLevel]]*3,"Over Stock","Okay")</f>
        <v>Over Stock</v>
      </c>
      <c r="O949" t="str">
        <f>IF(Table1[[#This Row],[CurrentStock]]&lt;Table1[[#This Row],[ReorderLevel]],"Reorder","Okay")</f>
        <v>Okay</v>
      </c>
    </row>
    <row r="950" spans="1:15" x14ac:dyDescent="0.3">
      <c r="A950">
        <v>77560</v>
      </c>
      <c r="B950" t="s">
        <v>12</v>
      </c>
      <c r="C950" t="s">
        <v>28</v>
      </c>
      <c r="D950">
        <v>229</v>
      </c>
      <c r="E950">
        <v>100</v>
      </c>
      <c r="F950">
        <v>385.54</v>
      </c>
      <c r="G950" t="s">
        <v>33</v>
      </c>
      <c r="H950" s="1">
        <v>45447</v>
      </c>
      <c r="I950" s="1">
        <v>45452</v>
      </c>
      <c r="J950" t="s">
        <v>38</v>
      </c>
      <c r="K950" t="b">
        <f>Table1[[#This Row],[CurrentStock]]&lt;Table1[[#This Row],[ReorderLevel]]</f>
        <v>0</v>
      </c>
      <c r="L950" s="9">
        <f>Table1[[#This Row],[CurrentStock]]*Table1[[#This Row],[UnitPrice]]</f>
        <v>88288.66</v>
      </c>
      <c r="M950" t="str">
        <f>IF(Table1[[#This Row],[ReorderLevel]]-Table1[[#This Row],[CurrentStock]]&gt;0,Table1[[#This Row],[ReorderLevel]]-Table1[[#This Row],[CurrentStock]],"")</f>
        <v/>
      </c>
      <c r="N950" t="str">
        <f>IF(Table1[[#This Row],[CurrentStock]]&gt;Table1[[#This Row],[ReorderLevel]]*3,"Over Stock","Okay")</f>
        <v>Okay</v>
      </c>
      <c r="O950" t="str">
        <f>IF(Table1[[#This Row],[CurrentStock]]&lt;Table1[[#This Row],[ReorderLevel]],"Reorder","Okay")</f>
        <v>Okay</v>
      </c>
    </row>
    <row r="951" spans="1:15" x14ac:dyDescent="0.3">
      <c r="A951">
        <v>25916</v>
      </c>
      <c r="B951" t="s">
        <v>22</v>
      </c>
      <c r="C951" t="s">
        <v>27</v>
      </c>
      <c r="D951">
        <v>381</v>
      </c>
      <c r="E951">
        <v>30</v>
      </c>
      <c r="F951">
        <v>7.42</v>
      </c>
      <c r="G951" t="s">
        <v>35</v>
      </c>
      <c r="H951" s="1">
        <v>45561</v>
      </c>
      <c r="I951" s="1">
        <v>45577</v>
      </c>
      <c r="J951" t="s">
        <v>38</v>
      </c>
      <c r="K951" t="b">
        <f>Table1[[#This Row],[CurrentStock]]&lt;Table1[[#This Row],[ReorderLevel]]</f>
        <v>0</v>
      </c>
      <c r="L951" s="9">
        <f>Table1[[#This Row],[CurrentStock]]*Table1[[#This Row],[UnitPrice]]</f>
        <v>2827.02</v>
      </c>
      <c r="M951" t="str">
        <f>IF(Table1[[#This Row],[ReorderLevel]]-Table1[[#This Row],[CurrentStock]]&gt;0,Table1[[#This Row],[ReorderLevel]]-Table1[[#This Row],[CurrentStock]],"")</f>
        <v/>
      </c>
      <c r="N951" t="str">
        <f>IF(Table1[[#This Row],[CurrentStock]]&gt;Table1[[#This Row],[ReorderLevel]]*3,"Over Stock","Okay")</f>
        <v>Over Stock</v>
      </c>
      <c r="O951" t="str">
        <f>IF(Table1[[#This Row],[CurrentStock]]&lt;Table1[[#This Row],[ReorderLevel]],"Reorder","Okay")</f>
        <v>Okay</v>
      </c>
    </row>
    <row r="952" spans="1:15" x14ac:dyDescent="0.3">
      <c r="A952">
        <v>45233</v>
      </c>
      <c r="B952" t="s">
        <v>25</v>
      </c>
      <c r="C952" t="s">
        <v>31</v>
      </c>
      <c r="D952">
        <v>252</v>
      </c>
      <c r="E952">
        <v>20</v>
      </c>
      <c r="F952">
        <v>450.88</v>
      </c>
      <c r="G952" t="s">
        <v>35</v>
      </c>
      <c r="H952" s="1">
        <v>45565</v>
      </c>
      <c r="I952" s="1">
        <v>45589</v>
      </c>
      <c r="J952" t="s">
        <v>39</v>
      </c>
      <c r="K952" t="b">
        <f>Table1[[#This Row],[CurrentStock]]&lt;Table1[[#This Row],[ReorderLevel]]</f>
        <v>0</v>
      </c>
      <c r="L952" s="9">
        <f>Table1[[#This Row],[CurrentStock]]*Table1[[#This Row],[UnitPrice]]</f>
        <v>113621.75999999999</v>
      </c>
      <c r="M952" t="str">
        <f>IF(Table1[[#This Row],[ReorderLevel]]-Table1[[#This Row],[CurrentStock]]&gt;0,Table1[[#This Row],[ReorderLevel]]-Table1[[#This Row],[CurrentStock]],"")</f>
        <v/>
      </c>
      <c r="N952" t="str">
        <f>IF(Table1[[#This Row],[CurrentStock]]&gt;Table1[[#This Row],[ReorderLevel]]*3,"Over Stock","Okay")</f>
        <v>Over Stock</v>
      </c>
      <c r="O952" t="str">
        <f>IF(Table1[[#This Row],[CurrentStock]]&lt;Table1[[#This Row],[ReorderLevel]],"Reorder","Okay")</f>
        <v>Okay</v>
      </c>
    </row>
    <row r="953" spans="1:15" x14ac:dyDescent="0.3">
      <c r="A953">
        <v>78295</v>
      </c>
      <c r="B953" t="s">
        <v>21</v>
      </c>
      <c r="C953" t="s">
        <v>31</v>
      </c>
      <c r="D953">
        <v>185</v>
      </c>
      <c r="E953">
        <v>30</v>
      </c>
      <c r="F953">
        <v>213.78</v>
      </c>
      <c r="G953" t="s">
        <v>34</v>
      </c>
      <c r="H953" s="1">
        <v>45544</v>
      </c>
      <c r="I953" s="1">
        <v>45567</v>
      </c>
      <c r="J953" t="s">
        <v>38</v>
      </c>
      <c r="K953" t="b">
        <f>Table1[[#This Row],[CurrentStock]]&lt;Table1[[#This Row],[ReorderLevel]]</f>
        <v>0</v>
      </c>
      <c r="L953" s="9">
        <f>Table1[[#This Row],[CurrentStock]]*Table1[[#This Row],[UnitPrice]]</f>
        <v>39549.300000000003</v>
      </c>
      <c r="M953" t="str">
        <f>IF(Table1[[#This Row],[ReorderLevel]]-Table1[[#This Row],[CurrentStock]]&gt;0,Table1[[#This Row],[ReorderLevel]]-Table1[[#This Row],[CurrentStock]],"")</f>
        <v/>
      </c>
      <c r="N953" t="str">
        <f>IF(Table1[[#This Row],[CurrentStock]]&gt;Table1[[#This Row],[ReorderLevel]]*3,"Over Stock","Okay")</f>
        <v>Over Stock</v>
      </c>
      <c r="O953" t="str">
        <f>IF(Table1[[#This Row],[CurrentStock]]&lt;Table1[[#This Row],[ReorderLevel]],"Reorder","Okay")</f>
        <v>Okay</v>
      </c>
    </row>
    <row r="954" spans="1:15" x14ac:dyDescent="0.3">
      <c r="A954">
        <v>81309</v>
      </c>
      <c r="B954" t="s">
        <v>13</v>
      </c>
      <c r="C954" t="s">
        <v>29</v>
      </c>
      <c r="D954">
        <v>235</v>
      </c>
      <c r="E954">
        <v>150</v>
      </c>
      <c r="F954">
        <v>181.35</v>
      </c>
      <c r="G954" t="s">
        <v>32</v>
      </c>
      <c r="H954" s="1">
        <v>45519</v>
      </c>
      <c r="I954" s="1">
        <v>45540</v>
      </c>
      <c r="J954" t="s">
        <v>37</v>
      </c>
      <c r="K954" t="b">
        <f>Table1[[#This Row],[CurrentStock]]&lt;Table1[[#This Row],[ReorderLevel]]</f>
        <v>0</v>
      </c>
      <c r="L954" s="9">
        <f>Table1[[#This Row],[CurrentStock]]*Table1[[#This Row],[UnitPrice]]</f>
        <v>42617.25</v>
      </c>
      <c r="M954" t="str">
        <f>IF(Table1[[#This Row],[ReorderLevel]]-Table1[[#This Row],[CurrentStock]]&gt;0,Table1[[#This Row],[ReorderLevel]]-Table1[[#This Row],[CurrentStock]],"")</f>
        <v/>
      </c>
      <c r="N954" t="str">
        <f>IF(Table1[[#This Row],[CurrentStock]]&gt;Table1[[#This Row],[ReorderLevel]]*3,"Over Stock","Okay")</f>
        <v>Okay</v>
      </c>
      <c r="O954" t="str">
        <f>IF(Table1[[#This Row],[CurrentStock]]&lt;Table1[[#This Row],[ReorderLevel]],"Reorder","Okay")</f>
        <v>Okay</v>
      </c>
    </row>
    <row r="955" spans="1:15" x14ac:dyDescent="0.3">
      <c r="A955">
        <v>16791</v>
      </c>
      <c r="B955" t="s">
        <v>17</v>
      </c>
      <c r="C955" t="s">
        <v>30</v>
      </c>
      <c r="D955">
        <v>164</v>
      </c>
      <c r="E955">
        <v>40</v>
      </c>
      <c r="F955">
        <v>463.87</v>
      </c>
      <c r="G955" t="s">
        <v>34</v>
      </c>
      <c r="H955" s="1">
        <v>45344</v>
      </c>
      <c r="I955" s="1">
        <v>45359</v>
      </c>
      <c r="J955" t="s">
        <v>38</v>
      </c>
      <c r="K955" t="b">
        <f>Table1[[#This Row],[CurrentStock]]&lt;Table1[[#This Row],[ReorderLevel]]</f>
        <v>0</v>
      </c>
      <c r="L955" s="9">
        <f>Table1[[#This Row],[CurrentStock]]*Table1[[#This Row],[UnitPrice]]</f>
        <v>76074.680000000008</v>
      </c>
      <c r="M955" t="str">
        <f>IF(Table1[[#This Row],[ReorderLevel]]-Table1[[#This Row],[CurrentStock]]&gt;0,Table1[[#This Row],[ReorderLevel]]-Table1[[#This Row],[CurrentStock]],"")</f>
        <v/>
      </c>
      <c r="N955" t="str">
        <f>IF(Table1[[#This Row],[CurrentStock]]&gt;Table1[[#This Row],[ReorderLevel]]*3,"Over Stock","Okay")</f>
        <v>Over Stock</v>
      </c>
      <c r="O955" t="str">
        <f>IF(Table1[[#This Row],[CurrentStock]]&lt;Table1[[#This Row],[ReorderLevel]],"Reorder","Okay")</f>
        <v>Okay</v>
      </c>
    </row>
    <row r="956" spans="1:15" x14ac:dyDescent="0.3">
      <c r="A956">
        <v>53220</v>
      </c>
      <c r="B956" t="s">
        <v>11</v>
      </c>
      <c r="C956" t="s">
        <v>27</v>
      </c>
      <c r="D956">
        <v>357</v>
      </c>
      <c r="E956">
        <v>150</v>
      </c>
      <c r="F956">
        <v>407.03</v>
      </c>
      <c r="G956" t="s">
        <v>34</v>
      </c>
      <c r="H956" s="1">
        <v>45339</v>
      </c>
      <c r="I956" s="1">
        <v>45370</v>
      </c>
      <c r="J956" t="s">
        <v>38</v>
      </c>
      <c r="K956" t="b">
        <f>Table1[[#This Row],[CurrentStock]]&lt;Table1[[#This Row],[ReorderLevel]]</f>
        <v>0</v>
      </c>
      <c r="L956" s="9">
        <f>Table1[[#This Row],[CurrentStock]]*Table1[[#This Row],[UnitPrice]]</f>
        <v>145309.71</v>
      </c>
      <c r="M956" t="str">
        <f>IF(Table1[[#This Row],[ReorderLevel]]-Table1[[#This Row],[CurrentStock]]&gt;0,Table1[[#This Row],[ReorderLevel]]-Table1[[#This Row],[CurrentStock]],"")</f>
        <v/>
      </c>
      <c r="N956" t="str">
        <f>IF(Table1[[#This Row],[CurrentStock]]&gt;Table1[[#This Row],[ReorderLevel]]*3,"Over Stock","Okay")</f>
        <v>Okay</v>
      </c>
      <c r="O956" t="str">
        <f>IF(Table1[[#This Row],[CurrentStock]]&lt;Table1[[#This Row],[ReorderLevel]],"Reorder","Okay")</f>
        <v>Okay</v>
      </c>
    </row>
    <row r="957" spans="1:15" x14ac:dyDescent="0.3">
      <c r="A957">
        <v>38261</v>
      </c>
      <c r="B957" t="s">
        <v>26</v>
      </c>
      <c r="C957" t="s">
        <v>30</v>
      </c>
      <c r="D957">
        <v>72</v>
      </c>
      <c r="E957">
        <v>50</v>
      </c>
      <c r="F957">
        <v>326.33</v>
      </c>
      <c r="G957" t="s">
        <v>33</v>
      </c>
      <c r="H957" s="1">
        <v>45368</v>
      </c>
      <c r="I957" s="1">
        <v>45398</v>
      </c>
      <c r="J957" t="s">
        <v>37</v>
      </c>
      <c r="K957" t="b">
        <f>Table1[[#This Row],[CurrentStock]]&lt;Table1[[#This Row],[ReorderLevel]]</f>
        <v>0</v>
      </c>
      <c r="L957" s="9">
        <f>Table1[[#This Row],[CurrentStock]]*Table1[[#This Row],[UnitPrice]]</f>
        <v>23495.759999999998</v>
      </c>
      <c r="M957" t="str">
        <f>IF(Table1[[#This Row],[ReorderLevel]]-Table1[[#This Row],[CurrentStock]]&gt;0,Table1[[#This Row],[ReorderLevel]]-Table1[[#This Row],[CurrentStock]],"")</f>
        <v/>
      </c>
      <c r="N957" t="str">
        <f>IF(Table1[[#This Row],[CurrentStock]]&gt;Table1[[#This Row],[ReorderLevel]]*3,"Over Stock","Okay")</f>
        <v>Okay</v>
      </c>
      <c r="O957" t="str">
        <f>IF(Table1[[#This Row],[CurrentStock]]&lt;Table1[[#This Row],[ReorderLevel]],"Reorder","Okay")</f>
        <v>Okay</v>
      </c>
    </row>
    <row r="958" spans="1:15" x14ac:dyDescent="0.3">
      <c r="A958">
        <v>43012</v>
      </c>
      <c r="B958" t="s">
        <v>14</v>
      </c>
      <c r="C958" t="s">
        <v>27</v>
      </c>
      <c r="D958">
        <v>274</v>
      </c>
      <c r="E958">
        <v>40</v>
      </c>
      <c r="F958">
        <v>225.62</v>
      </c>
      <c r="G958" t="s">
        <v>33</v>
      </c>
      <c r="H958" s="1">
        <v>45368</v>
      </c>
      <c r="I958" s="1">
        <v>45400</v>
      </c>
      <c r="J958" t="s">
        <v>39</v>
      </c>
      <c r="K958" t="b">
        <f>Table1[[#This Row],[CurrentStock]]&lt;Table1[[#This Row],[ReorderLevel]]</f>
        <v>0</v>
      </c>
      <c r="L958" s="9">
        <f>Table1[[#This Row],[CurrentStock]]*Table1[[#This Row],[UnitPrice]]</f>
        <v>61819.880000000005</v>
      </c>
      <c r="M958" t="str">
        <f>IF(Table1[[#This Row],[ReorderLevel]]-Table1[[#This Row],[CurrentStock]]&gt;0,Table1[[#This Row],[ReorderLevel]]-Table1[[#This Row],[CurrentStock]],"")</f>
        <v/>
      </c>
      <c r="N958" t="str">
        <f>IF(Table1[[#This Row],[CurrentStock]]&gt;Table1[[#This Row],[ReorderLevel]]*3,"Over Stock","Okay")</f>
        <v>Over Stock</v>
      </c>
      <c r="O958" t="str">
        <f>IF(Table1[[#This Row],[CurrentStock]]&lt;Table1[[#This Row],[ReorderLevel]],"Reorder","Okay")</f>
        <v>Okay</v>
      </c>
    </row>
    <row r="959" spans="1:15" x14ac:dyDescent="0.3">
      <c r="A959">
        <v>45167</v>
      </c>
      <c r="B959" t="s">
        <v>23</v>
      </c>
      <c r="C959" t="s">
        <v>30</v>
      </c>
      <c r="D959">
        <v>200</v>
      </c>
      <c r="E959">
        <v>20</v>
      </c>
      <c r="F959">
        <v>271.14999999999998</v>
      </c>
      <c r="G959" t="s">
        <v>35</v>
      </c>
      <c r="H959" s="1">
        <v>45375</v>
      </c>
      <c r="I959" s="1">
        <v>45394</v>
      </c>
      <c r="J959" t="s">
        <v>37</v>
      </c>
      <c r="K959" t="b">
        <f>Table1[[#This Row],[CurrentStock]]&lt;Table1[[#This Row],[ReorderLevel]]</f>
        <v>0</v>
      </c>
      <c r="L959" s="9">
        <f>Table1[[#This Row],[CurrentStock]]*Table1[[#This Row],[UnitPrice]]</f>
        <v>54229.999999999993</v>
      </c>
      <c r="M959" t="str">
        <f>IF(Table1[[#This Row],[ReorderLevel]]-Table1[[#This Row],[CurrentStock]]&gt;0,Table1[[#This Row],[ReorderLevel]]-Table1[[#This Row],[CurrentStock]],"")</f>
        <v/>
      </c>
      <c r="N959" t="str">
        <f>IF(Table1[[#This Row],[CurrentStock]]&gt;Table1[[#This Row],[ReorderLevel]]*3,"Over Stock","Okay")</f>
        <v>Over Stock</v>
      </c>
      <c r="O959" t="str">
        <f>IF(Table1[[#This Row],[CurrentStock]]&lt;Table1[[#This Row],[ReorderLevel]],"Reorder","Okay")</f>
        <v>Okay</v>
      </c>
    </row>
    <row r="960" spans="1:15" x14ac:dyDescent="0.3">
      <c r="A960">
        <v>51002</v>
      </c>
      <c r="B960" t="s">
        <v>23</v>
      </c>
      <c r="C960" t="s">
        <v>30</v>
      </c>
      <c r="D960">
        <v>250</v>
      </c>
      <c r="E960">
        <v>150</v>
      </c>
      <c r="F960">
        <v>14.96</v>
      </c>
      <c r="G960" t="s">
        <v>34</v>
      </c>
      <c r="H960" s="1">
        <v>45500</v>
      </c>
      <c r="I960" s="1">
        <v>45536</v>
      </c>
      <c r="J960" t="s">
        <v>38</v>
      </c>
      <c r="K960" t="b">
        <f>Table1[[#This Row],[CurrentStock]]&lt;Table1[[#This Row],[ReorderLevel]]</f>
        <v>0</v>
      </c>
      <c r="L960" s="9">
        <f>Table1[[#This Row],[CurrentStock]]*Table1[[#This Row],[UnitPrice]]</f>
        <v>3740</v>
      </c>
      <c r="M960" t="str">
        <f>IF(Table1[[#This Row],[ReorderLevel]]-Table1[[#This Row],[CurrentStock]]&gt;0,Table1[[#This Row],[ReorderLevel]]-Table1[[#This Row],[CurrentStock]],"")</f>
        <v/>
      </c>
      <c r="N960" t="str">
        <f>IF(Table1[[#This Row],[CurrentStock]]&gt;Table1[[#This Row],[ReorderLevel]]*3,"Over Stock","Okay")</f>
        <v>Okay</v>
      </c>
      <c r="O960" t="str">
        <f>IF(Table1[[#This Row],[CurrentStock]]&lt;Table1[[#This Row],[ReorderLevel]],"Reorder","Okay")</f>
        <v>Okay</v>
      </c>
    </row>
    <row r="961" spans="1:15" x14ac:dyDescent="0.3">
      <c r="A961">
        <v>28205</v>
      </c>
      <c r="B961" t="s">
        <v>17</v>
      </c>
      <c r="C961" t="s">
        <v>30</v>
      </c>
      <c r="D961">
        <v>83</v>
      </c>
      <c r="E961">
        <v>100</v>
      </c>
      <c r="F961">
        <v>272.68</v>
      </c>
      <c r="G961" t="s">
        <v>32</v>
      </c>
      <c r="H961" s="1">
        <v>45468</v>
      </c>
      <c r="I961" s="1">
        <v>45505</v>
      </c>
      <c r="J961" t="s">
        <v>38</v>
      </c>
      <c r="K961" t="b">
        <f>Table1[[#This Row],[CurrentStock]]&lt;Table1[[#This Row],[ReorderLevel]]</f>
        <v>1</v>
      </c>
      <c r="L961" s="9">
        <f>Table1[[#This Row],[CurrentStock]]*Table1[[#This Row],[UnitPrice]]</f>
        <v>22632.440000000002</v>
      </c>
      <c r="M961">
        <f>IF(Table1[[#This Row],[ReorderLevel]]-Table1[[#This Row],[CurrentStock]]&gt;0,Table1[[#This Row],[ReorderLevel]]-Table1[[#This Row],[CurrentStock]],"")</f>
        <v>17</v>
      </c>
      <c r="N961" t="str">
        <f>IF(Table1[[#This Row],[CurrentStock]]&gt;Table1[[#This Row],[ReorderLevel]]*3,"Over Stock","Okay")</f>
        <v>Okay</v>
      </c>
      <c r="O961" t="str">
        <f>IF(Table1[[#This Row],[CurrentStock]]&lt;Table1[[#This Row],[ReorderLevel]],"Reorder","Okay")</f>
        <v>Reorder</v>
      </c>
    </row>
    <row r="962" spans="1:15" x14ac:dyDescent="0.3">
      <c r="A962">
        <v>45645</v>
      </c>
      <c r="B962" t="s">
        <v>25</v>
      </c>
      <c r="C962" t="s">
        <v>31</v>
      </c>
      <c r="D962">
        <v>91</v>
      </c>
      <c r="E962">
        <v>100</v>
      </c>
      <c r="F962">
        <v>347.19</v>
      </c>
      <c r="G962" t="s">
        <v>34</v>
      </c>
      <c r="H962" s="1">
        <v>45385</v>
      </c>
      <c r="I962" s="1">
        <v>45422</v>
      </c>
      <c r="J962" t="s">
        <v>39</v>
      </c>
      <c r="K962" t="b">
        <f>Table1[[#This Row],[CurrentStock]]&lt;Table1[[#This Row],[ReorderLevel]]</f>
        <v>1</v>
      </c>
      <c r="L962" s="9">
        <f>Table1[[#This Row],[CurrentStock]]*Table1[[#This Row],[UnitPrice]]</f>
        <v>31594.29</v>
      </c>
      <c r="M962">
        <f>IF(Table1[[#This Row],[ReorderLevel]]-Table1[[#This Row],[CurrentStock]]&gt;0,Table1[[#This Row],[ReorderLevel]]-Table1[[#This Row],[CurrentStock]],"")</f>
        <v>9</v>
      </c>
      <c r="N962" t="str">
        <f>IF(Table1[[#This Row],[CurrentStock]]&gt;Table1[[#This Row],[ReorderLevel]]*3,"Over Stock","Okay")</f>
        <v>Okay</v>
      </c>
      <c r="O962" t="str">
        <f>IF(Table1[[#This Row],[CurrentStock]]&lt;Table1[[#This Row],[ReorderLevel]],"Reorder","Okay")</f>
        <v>Reorder</v>
      </c>
    </row>
    <row r="963" spans="1:15" x14ac:dyDescent="0.3">
      <c r="A963">
        <v>22213</v>
      </c>
      <c r="B963" t="s">
        <v>12</v>
      </c>
      <c r="C963" t="s">
        <v>28</v>
      </c>
      <c r="D963">
        <v>427</v>
      </c>
      <c r="E963">
        <v>40</v>
      </c>
      <c r="F963">
        <v>87.9</v>
      </c>
      <c r="G963" t="s">
        <v>35</v>
      </c>
      <c r="H963" s="1">
        <v>45481</v>
      </c>
      <c r="I963" s="1">
        <v>45510</v>
      </c>
      <c r="J963" t="s">
        <v>38</v>
      </c>
      <c r="K963" t="b">
        <f>Table1[[#This Row],[CurrentStock]]&lt;Table1[[#This Row],[ReorderLevel]]</f>
        <v>0</v>
      </c>
      <c r="L963" s="9">
        <f>Table1[[#This Row],[CurrentStock]]*Table1[[#This Row],[UnitPrice]]</f>
        <v>37533.300000000003</v>
      </c>
      <c r="M963" t="str">
        <f>IF(Table1[[#This Row],[ReorderLevel]]-Table1[[#This Row],[CurrentStock]]&gt;0,Table1[[#This Row],[ReorderLevel]]-Table1[[#This Row],[CurrentStock]],"")</f>
        <v/>
      </c>
      <c r="N963" t="str">
        <f>IF(Table1[[#This Row],[CurrentStock]]&gt;Table1[[#This Row],[ReorderLevel]]*3,"Over Stock","Okay")</f>
        <v>Over Stock</v>
      </c>
      <c r="O963" t="str">
        <f>IF(Table1[[#This Row],[CurrentStock]]&lt;Table1[[#This Row],[ReorderLevel]],"Reorder","Okay")</f>
        <v>Okay</v>
      </c>
    </row>
    <row r="964" spans="1:15" x14ac:dyDescent="0.3">
      <c r="A964">
        <v>32369</v>
      </c>
      <c r="B964" t="s">
        <v>21</v>
      </c>
      <c r="C964" t="s">
        <v>31</v>
      </c>
      <c r="D964">
        <v>19</v>
      </c>
      <c r="E964">
        <v>20</v>
      </c>
      <c r="F964">
        <v>467.74</v>
      </c>
      <c r="G964" t="s">
        <v>35</v>
      </c>
      <c r="H964" s="1">
        <v>45337</v>
      </c>
      <c r="I964" s="1">
        <v>45350</v>
      </c>
      <c r="J964" t="s">
        <v>38</v>
      </c>
      <c r="K964" t="b">
        <f>Table1[[#This Row],[CurrentStock]]&lt;Table1[[#This Row],[ReorderLevel]]</f>
        <v>1</v>
      </c>
      <c r="L964" s="9">
        <f>Table1[[#This Row],[CurrentStock]]*Table1[[#This Row],[UnitPrice]]</f>
        <v>8887.06</v>
      </c>
      <c r="M964">
        <f>IF(Table1[[#This Row],[ReorderLevel]]-Table1[[#This Row],[CurrentStock]]&gt;0,Table1[[#This Row],[ReorderLevel]]-Table1[[#This Row],[CurrentStock]],"")</f>
        <v>1</v>
      </c>
      <c r="N964" t="str">
        <f>IF(Table1[[#This Row],[CurrentStock]]&gt;Table1[[#This Row],[ReorderLevel]]*3,"Over Stock","Okay")</f>
        <v>Okay</v>
      </c>
      <c r="O964" t="str">
        <f>IF(Table1[[#This Row],[CurrentStock]]&lt;Table1[[#This Row],[ReorderLevel]],"Reorder","Okay")</f>
        <v>Reorder</v>
      </c>
    </row>
    <row r="965" spans="1:15" x14ac:dyDescent="0.3">
      <c r="A965">
        <v>37328</v>
      </c>
      <c r="B965" t="s">
        <v>16</v>
      </c>
      <c r="C965" t="s">
        <v>30</v>
      </c>
      <c r="D965">
        <v>60</v>
      </c>
      <c r="E965">
        <v>20</v>
      </c>
      <c r="F965">
        <v>403.39</v>
      </c>
      <c r="G965" t="s">
        <v>32</v>
      </c>
      <c r="H965" s="1">
        <v>45537</v>
      </c>
      <c r="I965" s="1">
        <v>45556</v>
      </c>
      <c r="J965" t="s">
        <v>39</v>
      </c>
      <c r="K965" t="b">
        <f>Table1[[#This Row],[CurrentStock]]&lt;Table1[[#This Row],[ReorderLevel]]</f>
        <v>0</v>
      </c>
      <c r="L965" s="9">
        <f>Table1[[#This Row],[CurrentStock]]*Table1[[#This Row],[UnitPrice]]</f>
        <v>24203.399999999998</v>
      </c>
      <c r="M965" t="str">
        <f>IF(Table1[[#This Row],[ReorderLevel]]-Table1[[#This Row],[CurrentStock]]&gt;0,Table1[[#This Row],[ReorderLevel]]-Table1[[#This Row],[CurrentStock]],"")</f>
        <v/>
      </c>
      <c r="N965" t="str">
        <f>IF(Table1[[#This Row],[CurrentStock]]&gt;Table1[[#This Row],[ReorderLevel]]*3,"Over Stock","Okay")</f>
        <v>Okay</v>
      </c>
      <c r="O965" t="str">
        <f>IF(Table1[[#This Row],[CurrentStock]]&lt;Table1[[#This Row],[ReorderLevel]],"Reorder","Okay")</f>
        <v>Okay</v>
      </c>
    </row>
    <row r="966" spans="1:15" x14ac:dyDescent="0.3">
      <c r="A966">
        <v>59882</v>
      </c>
      <c r="B966" t="s">
        <v>14</v>
      </c>
      <c r="C966" t="s">
        <v>27</v>
      </c>
      <c r="D966">
        <v>494</v>
      </c>
      <c r="E966">
        <v>20</v>
      </c>
      <c r="F966">
        <v>230.53</v>
      </c>
      <c r="G966" t="s">
        <v>35</v>
      </c>
      <c r="H966" s="1">
        <v>45301</v>
      </c>
      <c r="I966" s="1">
        <v>45306</v>
      </c>
      <c r="J966" t="s">
        <v>38</v>
      </c>
      <c r="K966" t="b">
        <f>Table1[[#This Row],[CurrentStock]]&lt;Table1[[#This Row],[ReorderLevel]]</f>
        <v>0</v>
      </c>
      <c r="L966" s="9">
        <f>Table1[[#This Row],[CurrentStock]]*Table1[[#This Row],[UnitPrice]]</f>
        <v>113881.82</v>
      </c>
      <c r="M966" t="str">
        <f>IF(Table1[[#This Row],[ReorderLevel]]-Table1[[#This Row],[CurrentStock]]&gt;0,Table1[[#This Row],[ReorderLevel]]-Table1[[#This Row],[CurrentStock]],"")</f>
        <v/>
      </c>
      <c r="N966" t="str">
        <f>IF(Table1[[#This Row],[CurrentStock]]&gt;Table1[[#This Row],[ReorderLevel]]*3,"Over Stock","Okay")</f>
        <v>Over Stock</v>
      </c>
      <c r="O966" t="str">
        <f>IF(Table1[[#This Row],[CurrentStock]]&lt;Table1[[#This Row],[ReorderLevel]],"Reorder","Okay")</f>
        <v>Okay</v>
      </c>
    </row>
    <row r="967" spans="1:15" x14ac:dyDescent="0.3">
      <c r="A967">
        <v>77042</v>
      </c>
      <c r="B967" t="s">
        <v>20</v>
      </c>
      <c r="C967" t="s">
        <v>29</v>
      </c>
      <c r="D967">
        <v>132</v>
      </c>
      <c r="E967">
        <v>150</v>
      </c>
      <c r="F967">
        <v>346.56</v>
      </c>
      <c r="G967" t="s">
        <v>36</v>
      </c>
      <c r="H967" s="1">
        <v>45640</v>
      </c>
      <c r="I967" s="1">
        <v>45659</v>
      </c>
      <c r="J967" t="s">
        <v>38</v>
      </c>
      <c r="K967" t="b">
        <f>Table1[[#This Row],[CurrentStock]]&lt;Table1[[#This Row],[ReorderLevel]]</f>
        <v>1</v>
      </c>
      <c r="L967" s="9">
        <f>Table1[[#This Row],[CurrentStock]]*Table1[[#This Row],[UnitPrice]]</f>
        <v>45745.919999999998</v>
      </c>
      <c r="M967">
        <f>IF(Table1[[#This Row],[ReorderLevel]]-Table1[[#This Row],[CurrentStock]]&gt;0,Table1[[#This Row],[ReorderLevel]]-Table1[[#This Row],[CurrentStock]],"")</f>
        <v>18</v>
      </c>
      <c r="N967" t="str">
        <f>IF(Table1[[#This Row],[CurrentStock]]&gt;Table1[[#This Row],[ReorderLevel]]*3,"Over Stock","Okay")</f>
        <v>Okay</v>
      </c>
      <c r="O967" t="str">
        <f>IF(Table1[[#This Row],[CurrentStock]]&lt;Table1[[#This Row],[ReorderLevel]],"Reorder","Okay")</f>
        <v>Reorder</v>
      </c>
    </row>
    <row r="968" spans="1:15" x14ac:dyDescent="0.3">
      <c r="A968">
        <v>99110</v>
      </c>
      <c r="B968" t="s">
        <v>14</v>
      </c>
      <c r="C968" t="s">
        <v>27</v>
      </c>
      <c r="D968">
        <v>19</v>
      </c>
      <c r="E968">
        <v>80</v>
      </c>
      <c r="F968">
        <v>128.99</v>
      </c>
      <c r="G968" t="s">
        <v>32</v>
      </c>
      <c r="H968" s="1">
        <v>45413</v>
      </c>
      <c r="I968" s="1">
        <v>45443</v>
      </c>
      <c r="J968" t="s">
        <v>37</v>
      </c>
      <c r="K968" t="b">
        <f>Table1[[#This Row],[CurrentStock]]&lt;Table1[[#This Row],[ReorderLevel]]</f>
        <v>1</v>
      </c>
      <c r="L968" s="9">
        <f>Table1[[#This Row],[CurrentStock]]*Table1[[#This Row],[UnitPrice]]</f>
        <v>2450.8100000000004</v>
      </c>
      <c r="M968">
        <f>IF(Table1[[#This Row],[ReorderLevel]]-Table1[[#This Row],[CurrentStock]]&gt;0,Table1[[#This Row],[ReorderLevel]]-Table1[[#This Row],[CurrentStock]],"")</f>
        <v>61</v>
      </c>
      <c r="N968" t="str">
        <f>IF(Table1[[#This Row],[CurrentStock]]&gt;Table1[[#This Row],[ReorderLevel]]*3,"Over Stock","Okay")</f>
        <v>Okay</v>
      </c>
      <c r="O968" t="str">
        <f>IF(Table1[[#This Row],[CurrentStock]]&lt;Table1[[#This Row],[ReorderLevel]],"Reorder","Okay")</f>
        <v>Reorder</v>
      </c>
    </row>
    <row r="969" spans="1:15" x14ac:dyDescent="0.3">
      <c r="A969">
        <v>13621</v>
      </c>
      <c r="B969" t="s">
        <v>18</v>
      </c>
      <c r="C969" t="s">
        <v>28</v>
      </c>
      <c r="D969">
        <v>411</v>
      </c>
      <c r="E969">
        <v>40</v>
      </c>
      <c r="F969">
        <v>181.42</v>
      </c>
      <c r="G969" t="s">
        <v>34</v>
      </c>
      <c r="H969" s="1">
        <v>45343</v>
      </c>
      <c r="I969" s="1">
        <v>45364</v>
      </c>
      <c r="J969" t="s">
        <v>37</v>
      </c>
      <c r="K969" t="b">
        <f>Table1[[#This Row],[CurrentStock]]&lt;Table1[[#This Row],[ReorderLevel]]</f>
        <v>0</v>
      </c>
      <c r="L969" s="9">
        <f>Table1[[#This Row],[CurrentStock]]*Table1[[#This Row],[UnitPrice]]</f>
        <v>74563.62</v>
      </c>
      <c r="M969" t="str">
        <f>IF(Table1[[#This Row],[ReorderLevel]]-Table1[[#This Row],[CurrentStock]]&gt;0,Table1[[#This Row],[ReorderLevel]]-Table1[[#This Row],[CurrentStock]],"")</f>
        <v/>
      </c>
      <c r="N969" t="str">
        <f>IF(Table1[[#This Row],[CurrentStock]]&gt;Table1[[#This Row],[ReorderLevel]]*3,"Over Stock","Okay")</f>
        <v>Over Stock</v>
      </c>
      <c r="O969" t="str">
        <f>IF(Table1[[#This Row],[CurrentStock]]&lt;Table1[[#This Row],[ReorderLevel]],"Reorder","Okay")</f>
        <v>Okay</v>
      </c>
    </row>
    <row r="970" spans="1:15" x14ac:dyDescent="0.3">
      <c r="A970">
        <v>25659</v>
      </c>
      <c r="B970" t="s">
        <v>25</v>
      </c>
      <c r="C970" t="s">
        <v>31</v>
      </c>
      <c r="D970">
        <v>50</v>
      </c>
      <c r="E970">
        <v>20</v>
      </c>
      <c r="F970">
        <v>351.73</v>
      </c>
      <c r="G970" t="s">
        <v>34</v>
      </c>
      <c r="H970" s="1">
        <v>45602</v>
      </c>
      <c r="I970" s="1">
        <v>45621</v>
      </c>
      <c r="J970" t="s">
        <v>37</v>
      </c>
      <c r="K970" t="b">
        <f>Table1[[#This Row],[CurrentStock]]&lt;Table1[[#This Row],[ReorderLevel]]</f>
        <v>0</v>
      </c>
      <c r="L970" s="9">
        <f>Table1[[#This Row],[CurrentStock]]*Table1[[#This Row],[UnitPrice]]</f>
        <v>17586.5</v>
      </c>
      <c r="M970" t="str">
        <f>IF(Table1[[#This Row],[ReorderLevel]]-Table1[[#This Row],[CurrentStock]]&gt;0,Table1[[#This Row],[ReorderLevel]]-Table1[[#This Row],[CurrentStock]],"")</f>
        <v/>
      </c>
      <c r="N970" t="str">
        <f>IF(Table1[[#This Row],[CurrentStock]]&gt;Table1[[#This Row],[ReorderLevel]]*3,"Over Stock","Okay")</f>
        <v>Okay</v>
      </c>
      <c r="O970" t="str">
        <f>IF(Table1[[#This Row],[CurrentStock]]&lt;Table1[[#This Row],[ReorderLevel]],"Reorder","Okay")</f>
        <v>Okay</v>
      </c>
    </row>
    <row r="971" spans="1:15" x14ac:dyDescent="0.3">
      <c r="A971">
        <v>67745</v>
      </c>
      <c r="B971" t="s">
        <v>22</v>
      </c>
      <c r="C971" t="s">
        <v>27</v>
      </c>
      <c r="D971">
        <v>127</v>
      </c>
      <c r="E971">
        <v>20</v>
      </c>
      <c r="F971">
        <v>145.72</v>
      </c>
      <c r="G971" t="s">
        <v>34</v>
      </c>
      <c r="H971" s="1">
        <v>45439</v>
      </c>
      <c r="I971" s="1">
        <v>45454</v>
      </c>
      <c r="J971" t="s">
        <v>37</v>
      </c>
      <c r="K971" t="b">
        <f>Table1[[#This Row],[CurrentStock]]&lt;Table1[[#This Row],[ReorderLevel]]</f>
        <v>0</v>
      </c>
      <c r="L971" s="9">
        <f>Table1[[#This Row],[CurrentStock]]*Table1[[#This Row],[UnitPrice]]</f>
        <v>18506.439999999999</v>
      </c>
      <c r="M971" t="str">
        <f>IF(Table1[[#This Row],[ReorderLevel]]-Table1[[#This Row],[CurrentStock]]&gt;0,Table1[[#This Row],[ReorderLevel]]-Table1[[#This Row],[CurrentStock]],"")</f>
        <v/>
      </c>
      <c r="N971" t="str">
        <f>IF(Table1[[#This Row],[CurrentStock]]&gt;Table1[[#This Row],[ReorderLevel]]*3,"Over Stock","Okay")</f>
        <v>Over Stock</v>
      </c>
      <c r="O971" t="str">
        <f>IF(Table1[[#This Row],[CurrentStock]]&lt;Table1[[#This Row],[ReorderLevel]],"Reorder","Okay")</f>
        <v>Okay</v>
      </c>
    </row>
    <row r="972" spans="1:15" x14ac:dyDescent="0.3">
      <c r="A972">
        <v>38797</v>
      </c>
      <c r="B972" t="s">
        <v>10</v>
      </c>
      <c r="C972" t="s">
        <v>27</v>
      </c>
      <c r="D972">
        <v>267</v>
      </c>
      <c r="E972">
        <v>80</v>
      </c>
      <c r="F972">
        <v>200.43</v>
      </c>
      <c r="G972" t="s">
        <v>33</v>
      </c>
      <c r="H972" s="1">
        <v>45611</v>
      </c>
      <c r="I972" s="1">
        <v>45624</v>
      </c>
      <c r="J972" t="s">
        <v>39</v>
      </c>
      <c r="K972" t="b">
        <f>Table1[[#This Row],[CurrentStock]]&lt;Table1[[#This Row],[ReorderLevel]]</f>
        <v>0</v>
      </c>
      <c r="L972" s="9">
        <f>Table1[[#This Row],[CurrentStock]]*Table1[[#This Row],[UnitPrice]]</f>
        <v>53514.810000000005</v>
      </c>
      <c r="M972" t="str">
        <f>IF(Table1[[#This Row],[ReorderLevel]]-Table1[[#This Row],[CurrentStock]]&gt;0,Table1[[#This Row],[ReorderLevel]]-Table1[[#This Row],[CurrentStock]],"")</f>
        <v/>
      </c>
      <c r="N972" t="str">
        <f>IF(Table1[[#This Row],[CurrentStock]]&gt;Table1[[#This Row],[ReorderLevel]]*3,"Over Stock","Okay")</f>
        <v>Over Stock</v>
      </c>
      <c r="O972" t="str">
        <f>IF(Table1[[#This Row],[CurrentStock]]&lt;Table1[[#This Row],[ReorderLevel]],"Reorder","Okay")</f>
        <v>Okay</v>
      </c>
    </row>
    <row r="973" spans="1:15" x14ac:dyDescent="0.3">
      <c r="A973">
        <v>85591</v>
      </c>
      <c r="B973" t="s">
        <v>19</v>
      </c>
      <c r="C973" t="s">
        <v>28</v>
      </c>
      <c r="D973">
        <v>115</v>
      </c>
      <c r="E973">
        <v>20</v>
      </c>
      <c r="F973">
        <v>398.67</v>
      </c>
      <c r="G973" t="s">
        <v>36</v>
      </c>
      <c r="H973" s="1">
        <v>45500</v>
      </c>
      <c r="I973" s="1">
        <v>45529</v>
      </c>
      <c r="J973" t="s">
        <v>37</v>
      </c>
      <c r="K973" t="b">
        <f>Table1[[#This Row],[CurrentStock]]&lt;Table1[[#This Row],[ReorderLevel]]</f>
        <v>0</v>
      </c>
      <c r="L973" s="9">
        <f>Table1[[#This Row],[CurrentStock]]*Table1[[#This Row],[UnitPrice]]</f>
        <v>45847.05</v>
      </c>
      <c r="M973" t="str">
        <f>IF(Table1[[#This Row],[ReorderLevel]]-Table1[[#This Row],[CurrentStock]]&gt;0,Table1[[#This Row],[ReorderLevel]]-Table1[[#This Row],[CurrentStock]],"")</f>
        <v/>
      </c>
      <c r="N973" t="str">
        <f>IF(Table1[[#This Row],[CurrentStock]]&gt;Table1[[#This Row],[ReorderLevel]]*3,"Over Stock","Okay")</f>
        <v>Over Stock</v>
      </c>
      <c r="O973" t="str">
        <f>IF(Table1[[#This Row],[CurrentStock]]&lt;Table1[[#This Row],[ReorderLevel]],"Reorder","Okay")</f>
        <v>Okay</v>
      </c>
    </row>
    <row r="974" spans="1:15" x14ac:dyDescent="0.3">
      <c r="A974">
        <v>67632</v>
      </c>
      <c r="B974" t="s">
        <v>19</v>
      </c>
      <c r="C974" t="s">
        <v>28</v>
      </c>
      <c r="D974">
        <v>146</v>
      </c>
      <c r="E974">
        <v>150</v>
      </c>
      <c r="F974">
        <v>140.03</v>
      </c>
      <c r="G974" t="s">
        <v>33</v>
      </c>
      <c r="H974" s="1">
        <v>45385</v>
      </c>
      <c r="I974" s="1">
        <v>45405</v>
      </c>
      <c r="J974" t="s">
        <v>39</v>
      </c>
      <c r="K974" t="b">
        <f>Table1[[#This Row],[CurrentStock]]&lt;Table1[[#This Row],[ReorderLevel]]</f>
        <v>1</v>
      </c>
      <c r="L974" s="9">
        <f>Table1[[#This Row],[CurrentStock]]*Table1[[#This Row],[UnitPrice]]</f>
        <v>20444.38</v>
      </c>
      <c r="M974">
        <f>IF(Table1[[#This Row],[ReorderLevel]]-Table1[[#This Row],[CurrentStock]]&gt;0,Table1[[#This Row],[ReorderLevel]]-Table1[[#This Row],[CurrentStock]],"")</f>
        <v>4</v>
      </c>
      <c r="N974" t="str">
        <f>IF(Table1[[#This Row],[CurrentStock]]&gt;Table1[[#This Row],[ReorderLevel]]*3,"Over Stock","Okay")</f>
        <v>Okay</v>
      </c>
      <c r="O974" t="str">
        <f>IF(Table1[[#This Row],[CurrentStock]]&lt;Table1[[#This Row],[ReorderLevel]],"Reorder","Okay")</f>
        <v>Reorder</v>
      </c>
    </row>
    <row r="975" spans="1:15" x14ac:dyDescent="0.3">
      <c r="A975">
        <v>63517</v>
      </c>
      <c r="B975" t="s">
        <v>12</v>
      </c>
      <c r="C975" t="s">
        <v>28</v>
      </c>
      <c r="D975">
        <v>185</v>
      </c>
      <c r="E975">
        <v>20</v>
      </c>
      <c r="F975">
        <v>471.94</v>
      </c>
      <c r="G975" t="s">
        <v>36</v>
      </c>
      <c r="H975" s="1">
        <v>45637</v>
      </c>
      <c r="I975" s="1">
        <v>45657</v>
      </c>
      <c r="J975" t="s">
        <v>38</v>
      </c>
      <c r="K975" t="b">
        <f>Table1[[#This Row],[CurrentStock]]&lt;Table1[[#This Row],[ReorderLevel]]</f>
        <v>0</v>
      </c>
      <c r="L975" s="9">
        <f>Table1[[#This Row],[CurrentStock]]*Table1[[#This Row],[UnitPrice]]</f>
        <v>87308.9</v>
      </c>
      <c r="M975" t="str">
        <f>IF(Table1[[#This Row],[ReorderLevel]]-Table1[[#This Row],[CurrentStock]]&gt;0,Table1[[#This Row],[ReorderLevel]]-Table1[[#This Row],[CurrentStock]],"")</f>
        <v/>
      </c>
      <c r="N975" t="str">
        <f>IF(Table1[[#This Row],[CurrentStock]]&gt;Table1[[#This Row],[ReorderLevel]]*3,"Over Stock","Okay")</f>
        <v>Over Stock</v>
      </c>
      <c r="O975" t="str">
        <f>IF(Table1[[#This Row],[CurrentStock]]&lt;Table1[[#This Row],[ReorderLevel]],"Reorder","Okay")</f>
        <v>Okay</v>
      </c>
    </row>
    <row r="976" spans="1:15" x14ac:dyDescent="0.3">
      <c r="A976">
        <v>23275</v>
      </c>
      <c r="B976" t="s">
        <v>15</v>
      </c>
      <c r="C976" t="s">
        <v>29</v>
      </c>
      <c r="D976">
        <v>385</v>
      </c>
      <c r="E976">
        <v>40</v>
      </c>
      <c r="F976">
        <v>462.62</v>
      </c>
      <c r="G976" t="s">
        <v>34</v>
      </c>
      <c r="H976" s="1">
        <v>45506</v>
      </c>
      <c r="I976" s="1">
        <v>45518</v>
      </c>
      <c r="J976" t="s">
        <v>39</v>
      </c>
      <c r="K976" t="b">
        <f>Table1[[#This Row],[CurrentStock]]&lt;Table1[[#This Row],[ReorderLevel]]</f>
        <v>0</v>
      </c>
      <c r="L976" s="9">
        <f>Table1[[#This Row],[CurrentStock]]*Table1[[#This Row],[UnitPrice]]</f>
        <v>178108.7</v>
      </c>
      <c r="M976" t="str">
        <f>IF(Table1[[#This Row],[ReorderLevel]]-Table1[[#This Row],[CurrentStock]]&gt;0,Table1[[#This Row],[ReorderLevel]]-Table1[[#This Row],[CurrentStock]],"")</f>
        <v/>
      </c>
      <c r="N976" t="str">
        <f>IF(Table1[[#This Row],[CurrentStock]]&gt;Table1[[#This Row],[ReorderLevel]]*3,"Over Stock","Okay")</f>
        <v>Over Stock</v>
      </c>
      <c r="O976" t="str">
        <f>IF(Table1[[#This Row],[CurrentStock]]&lt;Table1[[#This Row],[ReorderLevel]],"Reorder","Okay")</f>
        <v>Okay</v>
      </c>
    </row>
    <row r="977" spans="1:15" x14ac:dyDescent="0.3">
      <c r="A977">
        <v>42624</v>
      </c>
      <c r="B977" t="s">
        <v>23</v>
      </c>
      <c r="C977" t="s">
        <v>30</v>
      </c>
      <c r="D977">
        <v>92</v>
      </c>
      <c r="E977">
        <v>20</v>
      </c>
      <c r="F977">
        <v>33.85</v>
      </c>
      <c r="G977" t="s">
        <v>33</v>
      </c>
      <c r="H977" s="1">
        <v>45354</v>
      </c>
      <c r="I977" s="1">
        <v>45390</v>
      </c>
      <c r="J977" t="s">
        <v>37</v>
      </c>
      <c r="K977" t="b">
        <f>Table1[[#This Row],[CurrentStock]]&lt;Table1[[#This Row],[ReorderLevel]]</f>
        <v>0</v>
      </c>
      <c r="L977" s="9">
        <f>Table1[[#This Row],[CurrentStock]]*Table1[[#This Row],[UnitPrice]]</f>
        <v>3114.2000000000003</v>
      </c>
      <c r="M977" t="str">
        <f>IF(Table1[[#This Row],[ReorderLevel]]-Table1[[#This Row],[CurrentStock]]&gt;0,Table1[[#This Row],[ReorderLevel]]-Table1[[#This Row],[CurrentStock]],"")</f>
        <v/>
      </c>
      <c r="N977" t="str">
        <f>IF(Table1[[#This Row],[CurrentStock]]&gt;Table1[[#This Row],[ReorderLevel]]*3,"Over Stock","Okay")</f>
        <v>Over Stock</v>
      </c>
      <c r="O977" t="str">
        <f>IF(Table1[[#This Row],[CurrentStock]]&lt;Table1[[#This Row],[ReorderLevel]],"Reorder","Okay")</f>
        <v>Okay</v>
      </c>
    </row>
    <row r="978" spans="1:15" x14ac:dyDescent="0.3">
      <c r="A978">
        <v>75546</v>
      </c>
      <c r="B978" t="s">
        <v>22</v>
      </c>
      <c r="C978" t="s">
        <v>27</v>
      </c>
      <c r="D978">
        <v>268</v>
      </c>
      <c r="E978">
        <v>50</v>
      </c>
      <c r="F978">
        <v>152.35</v>
      </c>
      <c r="G978" t="s">
        <v>32</v>
      </c>
      <c r="H978" s="1">
        <v>45443</v>
      </c>
      <c r="I978" s="1">
        <v>45471</v>
      </c>
      <c r="J978" t="s">
        <v>39</v>
      </c>
      <c r="K978" t="b">
        <f>Table1[[#This Row],[CurrentStock]]&lt;Table1[[#This Row],[ReorderLevel]]</f>
        <v>0</v>
      </c>
      <c r="L978" s="9">
        <f>Table1[[#This Row],[CurrentStock]]*Table1[[#This Row],[UnitPrice]]</f>
        <v>40829.799999999996</v>
      </c>
      <c r="M978" t="str">
        <f>IF(Table1[[#This Row],[ReorderLevel]]-Table1[[#This Row],[CurrentStock]]&gt;0,Table1[[#This Row],[ReorderLevel]]-Table1[[#This Row],[CurrentStock]],"")</f>
        <v/>
      </c>
      <c r="N978" t="str">
        <f>IF(Table1[[#This Row],[CurrentStock]]&gt;Table1[[#This Row],[ReorderLevel]]*3,"Over Stock","Okay")</f>
        <v>Over Stock</v>
      </c>
      <c r="O978" t="str">
        <f>IF(Table1[[#This Row],[CurrentStock]]&lt;Table1[[#This Row],[ReorderLevel]],"Reorder","Okay")</f>
        <v>Okay</v>
      </c>
    </row>
    <row r="979" spans="1:15" x14ac:dyDescent="0.3">
      <c r="A979">
        <v>65872</v>
      </c>
      <c r="B979" t="s">
        <v>24</v>
      </c>
      <c r="C979" t="s">
        <v>31</v>
      </c>
      <c r="D979">
        <v>410</v>
      </c>
      <c r="E979">
        <v>50</v>
      </c>
      <c r="F979">
        <v>243.58</v>
      </c>
      <c r="G979" t="s">
        <v>35</v>
      </c>
      <c r="H979" s="1">
        <v>45419</v>
      </c>
      <c r="I979" s="1">
        <v>45451</v>
      </c>
      <c r="J979" t="s">
        <v>38</v>
      </c>
      <c r="K979" t="b">
        <f>Table1[[#This Row],[CurrentStock]]&lt;Table1[[#This Row],[ReorderLevel]]</f>
        <v>0</v>
      </c>
      <c r="L979" s="9">
        <f>Table1[[#This Row],[CurrentStock]]*Table1[[#This Row],[UnitPrice]]</f>
        <v>99867.8</v>
      </c>
      <c r="M979" t="str">
        <f>IF(Table1[[#This Row],[ReorderLevel]]-Table1[[#This Row],[CurrentStock]]&gt;0,Table1[[#This Row],[ReorderLevel]]-Table1[[#This Row],[CurrentStock]],"")</f>
        <v/>
      </c>
      <c r="N979" t="str">
        <f>IF(Table1[[#This Row],[CurrentStock]]&gt;Table1[[#This Row],[ReorderLevel]]*3,"Over Stock","Okay")</f>
        <v>Over Stock</v>
      </c>
      <c r="O979" t="str">
        <f>IF(Table1[[#This Row],[CurrentStock]]&lt;Table1[[#This Row],[ReorderLevel]],"Reorder","Okay")</f>
        <v>Okay</v>
      </c>
    </row>
    <row r="980" spans="1:15" x14ac:dyDescent="0.3">
      <c r="A980">
        <v>54135</v>
      </c>
      <c r="B980" t="s">
        <v>14</v>
      </c>
      <c r="C980" t="s">
        <v>27</v>
      </c>
      <c r="D980">
        <v>318</v>
      </c>
      <c r="E980">
        <v>80</v>
      </c>
      <c r="F980">
        <v>418.61</v>
      </c>
      <c r="G980" t="s">
        <v>34</v>
      </c>
      <c r="H980" s="1">
        <v>45501</v>
      </c>
      <c r="I980" s="1">
        <v>45511</v>
      </c>
      <c r="J980" t="s">
        <v>37</v>
      </c>
      <c r="K980" t="b">
        <f>Table1[[#This Row],[CurrentStock]]&lt;Table1[[#This Row],[ReorderLevel]]</f>
        <v>0</v>
      </c>
      <c r="L980" s="9">
        <f>Table1[[#This Row],[CurrentStock]]*Table1[[#This Row],[UnitPrice]]</f>
        <v>133117.98000000001</v>
      </c>
      <c r="M980" t="str">
        <f>IF(Table1[[#This Row],[ReorderLevel]]-Table1[[#This Row],[CurrentStock]]&gt;0,Table1[[#This Row],[ReorderLevel]]-Table1[[#This Row],[CurrentStock]],"")</f>
        <v/>
      </c>
      <c r="N980" t="str">
        <f>IF(Table1[[#This Row],[CurrentStock]]&gt;Table1[[#This Row],[ReorderLevel]]*3,"Over Stock","Okay")</f>
        <v>Over Stock</v>
      </c>
      <c r="O980" t="str">
        <f>IF(Table1[[#This Row],[CurrentStock]]&lt;Table1[[#This Row],[ReorderLevel]],"Reorder","Okay")</f>
        <v>Okay</v>
      </c>
    </row>
    <row r="981" spans="1:15" x14ac:dyDescent="0.3">
      <c r="A981">
        <v>42872</v>
      </c>
      <c r="B981" t="s">
        <v>22</v>
      </c>
      <c r="C981" t="s">
        <v>27</v>
      </c>
      <c r="D981">
        <v>329</v>
      </c>
      <c r="E981">
        <v>100</v>
      </c>
      <c r="F981">
        <v>134.53</v>
      </c>
      <c r="G981" t="s">
        <v>33</v>
      </c>
      <c r="H981" s="1">
        <v>45322</v>
      </c>
      <c r="I981" s="1">
        <v>45333</v>
      </c>
      <c r="J981" t="s">
        <v>39</v>
      </c>
      <c r="K981" t="b">
        <f>Table1[[#This Row],[CurrentStock]]&lt;Table1[[#This Row],[ReorderLevel]]</f>
        <v>0</v>
      </c>
      <c r="L981" s="9">
        <f>Table1[[#This Row],[CurrentStock]]*Table1[[#This Row],[UnitPrice]]</f>
        <v>44260.37</v>
      </c>
      <c r="M981" t="str">
        <f>IF(Table1[[#This Row],[ReorderLevel]]-Table1[[#This Row],[CurrentStock]]&gt;0,Table1[[#This Row],[ReorderLevel]]-Table1[[#This Row],[CurrentStock]],"")</f>
        <v/>
      </c>
      <c r="N981" t="str">
        <f>IF(Table1[[#This Row],[CurrentStock]]&gt;Table1[[#This Row],[ReorderLevel]]*3,"Over Stock","Okay")</f>
        <v>Over Stock</v>
      </c>
      <c r="O981" t="str">
        <f>IF(Table1[[#This Row],[CurrentStock]]&lt;Table1[[#This Row],[ReorderLevel]],"Reorder","Okay")</f>
        <v>Okay</v>
      </c>
    </row>
    <row r="982" spans="1:15" x14ac:dyDescent="0.3">
      <c r="A982">
        <v>32228</v>
      </c>
      <c r="B982" t="s">
        <v>16</v>
      </c>
      <c r="C982" t="s">
        <v>30</v>
      </c>
      <c r="D982">
        <v>155</v>
      </c>
      <c r="E982">
        <v>100</v>
      </c>
      <c r="F982">
        <v>109.96</v>
      </c>
      <c r="G982" t="s">
        <v>34</v>
      </c>
      <c r="H982" s="1">
        <v>45358</v>
      </c>
      <c r="I982" s="1">
        <v>45377</v>
      </c>
      <c r="J982" t="s">
        <v>37</v>
      </c>
      <c r="K982" t="b">
        <f>Table1[[#This Row],[CurrentStock]]&lt;Table1[[#This Row],[ReorderLevel]]</f>
        <v>0</v>
      </c>
      <c r="L982" s="9">
        <f>Table1[[#This Row],[CurrentStock]]*Table1[[#This Row],[UnitPrice]]</f>
        <v>17043.8</v>
      </c>
      <c r="M982" t="str">
        <f>IF(Table1[[#This Row],[ReorderLevel]]-Table1[[#This Row],[CurrentStock]]&gt;0,Table1[[#This Row],[ReorderLevel]]-Table1[[#This Row],[CurrentStock]],"")</f>
        <v/>
      </c>
      <c r="N982" t="str">
        <f>IF(Table1[[#This Row],[CurrentStock]]&gt;Table1[[#This Row],[ReorderLevel]]*3,"Over Stock","Okay")</f>
        <v>Okay</v>
      </c>
      <c r="O982" t="str">
        <f>IF(Table1[[#This Row],[CurrentStock]]&lt;Table1[[#This Row],[ReorderLevel]],"Reorder","Okay")</f>
        <v>Okay</v>
      </c>
    </row>
    <row r="983" spans="1:15" x14ac:dyDescent="0.3">
      <c r="A983">
        <v>71756</v>
      </c>
      <c r="B983" t="s">
        <v>11</v>
      </c>
      <c r="C983" t="s">
        <v>27</v>
      </c>
      <c r="D983">
        <v>238</v>
      </c>
      <c r="E983">
        <v>20</v>
      </c>
      <c r="F983">
        <v>10.35</v>
      </c>
      <c r="G983" t="s">
        <v>34</v>
      </c>
      <c r="H983" s="1">
        <v>45383</v>
      </c>
      <c r="I983" s="1">
        <v>45410</v>
      </c>
      <c r="J983" t="s">
        <v>39</v>
      </c>
      <c r="K983" t="b">
        <f>Table1[[#This Row],[CurrentStock]]&lt;Table1[[#This Row],[ReorderLevel]]</f>
        <v>0</v>
      </c>
      <c r="L983" s="9">
        <f>Table1[[#This Row],[CurrentStock]]*Table1[[#This Row],[UnitPrice]]</f>
        <v>2463.2999999999997</v>
      </c>
      <c r="M983" t="str">
        <f>IF(Table1[[#This Row],[ReorderLevel]]-Table1[[#This Row],[CurrentStock]]&gt;0,Table1[[#This Row],[ReorderLevel]]-Table1[[#This Row],[CurrentStock]],"")</f>
        <v/>
      </c>
      <c r="N983" t="str">
        <f>IF(Table1[[#This Row],[CurrentStock]]&gt;Table1[[#This Row],[ReorderLevel]]*3,"Over Stock","Okay")</f>
        <v>Over Stock</v>
      </c>
      <c r="O983" t="str">
        <f>IF(Table1[[#This Row],[CurrentStock]]&lt;Table1[[#This Row],[ReorderLevel]],"Reorder","Okay")</f>
        <v>Okay</v>
      </c>
    </row>
    <row r="984" spans="1:15" x14ac:dyDescent="0.3">
      <c r="A984">
        <v>68182</v>
      </c>
      <c r="B984" t="s">
        <v>15</v>
      </c>
      <c r="C984" t="s">
        <v>29</v>
      </c>
      <c r="D984">
        <v>217</v>
      </c>
      <c r="E984">
        <v>100</v>
      </c>
      <c r="F984">
        <v>384</v>
      </c>
      <c r="G984" t="s">
        <v>33</v>
      </c>
      <c r="H984" s="1">
        <v>45569</v>
      </c>
      <c r="I984" s="1">
        <v>45591</v>
      </c>
      <c r="J984" t="s">
        <v>39</v>
      </c>
      <c r="K984" t="b">
        <f>Table1[[#This Row],[CurrentStock]]&lt;Table1[[#This Row],[ReorderLevel]]</f>
        <v>0</v>
      </c>
      <c r="L984" s="9">
        <f>Table1[[#This Row],[CurrentStock]]*Table1[[#This Row],[UnitPrice]]</f>
        <v>83328</v>
      </c>
      <c r="M984" t="str">
        <f>IF(Table1[[#This Row],[ReorderLevel]]-Table1[[#This Row],[CurrentStock]]&gt;0,Table1[[#This Row],[ReorderLevel]]-Table1[[#This Row],[CurrentStock]],"")</f>
        <v/>
      </c>
      <c r="N984" t="str">
        <f>IF(Table1[[#This Row],[CurrentStock]]&gt;Table1[[#This Row],[ReorderLevel]]*3,"Over Stock","Okay")</f>
        <v>Okay</v>
      </c>
      <c r="O984" t="str">
        <f>IF(Table1[[#This Row],[CurrentStock]]&lt;Table1[[#This Row],[ReorderLevel]],"Reorder","Okay")</f>
        <v>Okay</v>
      </c>
    </row>
    <row r="985" spans="1:15" x14ac:dyDescent="0.3">
      <c r="A985">
        <v>17436</v>
      </c>
      <c r="B985" t="s">
        <v>25</v>
      </c>
      <c r="C985" t="s">
        <v>31</v>
      </c>
      <c r="D985">
        <v>312</v>
      </c>
      <c r="E985">
        <v>80</v>
      </c>
      <c r="F985">
        <v>315</v>
      </c>
      <c r="G985" t="s">
        <v>33</v>
      </c>
      <c r="H985" s="1">
        <v>45618</v>
      </c>
      <c r="I985" s="1">
        <v>45631</v>
      </c>
      <c r="J985" t="s">
        <v>38</v>
      </c>
      <c r="K985" t="b">
        <f>Table1[[#This Row],[CurrentStock]]&lt;Table1[[#This Row],[ReorderLevel]]</f>
        <v>0</v>
      </c>
      <c r="L985" s="9">
        <f>Table1[[#This Row],[CurrentStock]]*Table1[[#This Row],[UnitPrice]]</f>
        <v>98280</v>
      </c>
      <c r="M985" t="str">
        <f>IF(Table1[[#This Row],[ReorderLevel]]-Table1[[#This Row],[CurrentStock]]&gt;0,Table1[[#This Row],[ReorderLevel]]-Table1[[#This Row],[CurrentStock]],"")</f>
        <v/>
      </c>
      <c r="N985" t="str">
        <f>IF(Table1[[#This Row],[CurrentStock]]&gt;Table1[[#This Row],[ReorderLevel]]*3,"Over Stock","Okay")</f>
        <v>Over Stock</v>
      </c>
      <c r="O985" t="str">
        <f>IF(Table1[[#This Row],[CurrentStock]]&lt;Table1[[#This Row],[ReorderLevel]],"Reorder","Okay")</f>
        <v>Okay</v>
      </c>
    </row>
    <row r="986" spans="1:15" x14ac:dyDescent="0.3">
      <c r="A986">
        <v>27157</v>
      </c>
      <c r="B986" t="s">
        <v>20</v>
      </c>
      <c r="C986" t="s">
        <v>29</v>
      </c>
      <c r="D986">
        <v>276</v>
      </c>
      <c r="E986">
        <v>150</v>
      </c>
      <c r="F986">
        <v>136.08000000000001</v>
      </c>
      <c r="G986" t="s">
        <v>36</v>
      </c>
      <c r="H986" s="1">
        <v>45454</v>
      </c>
      <c r="I986" s="1">
        <v>45473</v>
      </c>
      <c r="J986" t="s">
        <v>37</v>
      </c>
      <c r="K986" t="b">
        <f>Table1[[#This Row],[CurrentStock]]&lt;Table1[[#This Row],[ReorderLevel]]</f>
        <v>0</v>
      </c>
      <c r="L986" s="9">
        <f>Table1[[#This Row],[CurrentStock]]*Table1[[#This Row],[UnitPrice]]</f>
        <v>37558.080000000002</v>
      </c>
      <c r="M986" t="str">
        <f>IF(Table1[[#This Row],[ReorderLevel]]-Table1[[#This Row],[CurrentStock]]&gt;0,Table1[[#This Row],[ReorderLevel]]-Table1[[#This Row],[CurrentStock]],"")</f>
        <v/>
      </c>
      <c r="N986" t="str">
        <f>IF(Table1[[#This Row],[CurrentStock]]&gt;Table1[[#This Row],[ReorderLevel]]*3,"Over Stock","Okay")</f>
        <v>Okay</v>
      </c>
      <c r="O986" t="str">
        <f>IF(Table1[[#This Row],[CurrentStock]]&lt;Table1[[#This Row],[ReorderLevel]],"Reorder","Okay")</f>
        <v>Okay</v>
      </c>
    </row>
    <row r="987" spans="1:15" x14ac:dyDescent="0.3">
      <c r="A987">
        <v>37213</v>
      </c>
      <c r="B987" t="s">
        <v>19</v>
      </c>
      <c r="C987" t="s">
        <v>28</v>
      </c>
      <c r="D987">
        <v>224</v>
      </c>
      <c r="E987">
        <v>50</v>
      </c>
      <c r="F987">
        <v>481.37</v>
      </c>
      <c r="G987" t="s">
        <v>32</v>
      </c>
      <c r="H987" s="1">
        <v>45409</v>
      </c>
      <c r="I987" s="1">
        <v>45447</v>
      </c>
      <c r="J987" t="s">
        <v>38</v>
      </c>
      <c r="K987" t="b">
        <f>Table1[[#This Row],[CurrentStock]]&lt;Table1[[#This Row],[ReorderLevel]]</f>
        <v>0</v>
      </c>
      <c r="L987" s="9">
        <f>Table1[[#This Row],[CurrentStock]]*Table1[[#This Row],[UnitPrice]]</f>
        <v>107826.88</v>
      </c>
      <c r="M987" t="str">
        <f>IF(Table1[[#This Row],[ReorderLevel]]-Table1[[#This Row],[CurrentStock]]&gt;0,Table1[[#This Row],[ReorderLevel]]-Table1[[#This Row],[CurrentStock]],"")</f>
        <v/>
      </c>
      <c r="N987" t="str">
        <f>IF(Table1[[#This Row],[CurrentStock]]&gt;Table1[[#This Row],[ReorderLevel]]*3,"Over Stock","Okay")</f>
        <v>Over Stock</v>
      </c>
      <c r="O987" t="str">
        <f>IF(Table1[[#This Row],[CurrentStock]]&lt;Table1[[#This Row],[ReorderLevel]],"Reorder","Okay")</f>
        <v>Okay</v>
      </c>
    </row>
    <row r="988" spans="1:15" x14ac:dyDescent="0.3">
      <c r="A988">
        <v>43371</v>
      </c>
      <c r="B988" t="s">
        <v>10</v>
      </c>
      <c r="C988" t="s">
        <v>27</v>
      </c>
      <c r="D988">
        <v>356</v>
      </c>
      <c r="E988">
        <v>50</v>
      </c>
      <c r="F988">
        <v>366.3</v>
      </c>
      <c r="G988" t="s">
        <v>36</v>
      </c>
      <c r="H988" s="1">
        <v>45317</v>
      </c>
      <c r="I988" s="1">
        <v>45339</v>
      </c>
      <c r="J988" t="s">
        <v>38</v>
      </c>
      <c r="K988" t="b">
        <f>Table1[[#This Row],[CurrentStock]]&lt;Table1[[#This Row],[ReorderLevel]]</f>
        <v>0</v>
      </c>
      <c r="L988" s="9">
        <f>Table1[[#This Row],[CurrentStock]]*Table1[[#This Row],[UnitPrice]]</f>
        <v>130402.8</v>
      </c>
      <c r="M988" t="str">
        <f>IF(Table1[[#This Row],[ReorderLevel]]-Table1[[#This Row],[CurrentStock]]&gt;0,Table1[[#This Row],[ReorderLevel]]-Table1[[#This Row],[CurrentStock]],"")</f>
        <v/>
      </c>
      <c r="N988" t="str">
        <f>IF(Table1[[#This Row],[CurrentStock]]&gt;Table1[[#This Row],[ReorderLevel]]*3,"Over Stock","Okay")</f>
        <v>Over Stock</v>
      </c>
      <c r="O988" t="str">
        <f>IF(Table1[[#This Row],[CurrentStock]]&lt;Table1[[#This Row],[ReorderLevel]],"Reorder","Okay")</f>
        <v>Okay</v>
      </c>
    </row>
    <row r="989" spans="1:15" x14ac:dyDescent="0.3">
      <c r="A989">
        <v>44381</v>
      </c>
      <c r="B989" t="s">
        <v>20</v>
      </c>
      <c r="C989" t="s">
        <v>29</v>
      </c>
      <c r="D989">
        <v>479</v>
      </c>
      <c r="E989">
        <v>40</v>
      </c>
      <c r="F989">
        <v>313.98</v>
      </c>
      <c r="G989" t="s">
        <v>34</v>
      </c>
      <c r="H989" s="1">
        <v>45478</v>
      </c>
      <c r="I989" s="1">
        <v>45488</v>
      </c>
      <c r="J989" t="s">
        <v>39</v>
      </c>
      <c r="K989" t="b">
        <f>Table1[[#This Row],[CurrentStock]]&lt;Table1[[#This Row],[ReorderLevel]]</f>
        <v>0</v>
      </c>
      <c r="L989" s="9">
        <f>Table1[[#This Row],[CurrentStock]]*Table1[[#This Row],[UnitPrice]]</f>
        <v>150396.42000000001</v>
      </c>
      <c r="M989" t="str">
        <f>IF(Table1[[#This Row],[ReorderLevel]]-Table1[[#This Row],[CurrentStock]]&gt;0,Table1[[#This Row],[ReorderLevel]]-Table1[[#This Row],[CurrentStock]],"")</f>
        <v/>
      </c>
      <c r="N989" t="str">
        <f>IF(Table1[[#This Row],[CurrentStock]]&gt;Table1[[#This Row],[ReorderLevel]]*3,"Over Stock","Okay")</f>
        <v>Over Stock</v>
      </c>
      <c r="O989" t="str">
        <f>IF(Table1[[#This Row],[CurrentStock]]&lt;Table1[[#This Row],[ReorderLevel]],"Reorder","Okay")</f>
        <v>Okay</v>
      </c>
    </row>
    <row r="990" spans="1:15" x14ac:dyDescent="0.3">
      <c r="A990">
        <v>36745</v>
      </c>
      <c r="B990" t="s">
        <v>26</v>
      </c>
      <c r="C990" t="s">
        <v>30</v>
      </c>
      <c r="D990">
        <v>298</v>
      </c>
      <c r="E990">
        <v>50</v>
      </c>
      <c r="F990">
        <v>176.4</v>
      </c>
      <c r="G990" t="s">
        <v>32</v>
      </c>
      <c r="H990" s="1">
        <v>45440</v>
      </c>
      <c r="I990" s="1">
        <v>45471</v>
      </c>
      <c r="J990" t="s">
        <v>39</v>
      </c>
      <c r="K990" t="b">
        <f>Table1[[#This Row],[CurrentStock]]&lt;Table1[[#This Row],[ReorderLevel]]</f>
        <v>0</v>
      </c>
      <c r="L990" s="9">
        <f>Table1[[#This Row],[CurrentStock]]*Table1[[#This Row],[UnitPrice]]</f>
        <v>52567.200000000004</v>
      </c>
      <c r="M990" t="str">
        <f>IF(Table1[[#This Row],[ReorderLevel]]-Table1[[#This Row],[CurrentStock]]&gt;0,Table1[[#This Row],[ReorderLevel]]-Table1[[#This Row],[CurrentStock]],"")</f>
        <v/>
      </c>
      <c r="N990" t="str">
        <f>IF(Table1[[#This Row],[CurrentStock]]&gt;Table1[[#This Row],[ReorderLevel]]*3,"Over Stock","Okay")</f>
        <v>Over Stock</v>
      </c>
      <c r="O990" t="str">
        <f>IF(Table1[[#This Row],[CurrentStock]]&lt;Table1[[#This Row],[ReorderLevel]],"Reorder","Okay")</f>
        <v>Okay</v>
      </c>
    </row>
    <row r="991" spans="1:15" x14ac:dyDescent="0.3">
      <c r="A991">
        <v>74555</v>
      </c>
      <c r="B991" t="s">
        <v>17</v>
      </c>
      <c r="C991" t="s">
        <v>30</v>
      </c>
      <c r="D991">
        <v>237</v>
      </c>
      <c r="E991">
        <v>30</v>
      </c>
      <c r="F991">
        <v>109.21</v>
      </c>
      <c r="G991" t="s">
        <v>36</v>
      </c>
      <c r="H991" s="1">
        <v>45564</v>
      </c>
      <c r="I991" s="1">
        <v>45572</v>
      </c>
      <c r="J991" t="s">
        <v>37</v>
      </c>
      <c r="K991" t="b">
        <f>Table1[[#This Row],[CurrentStock]]&lt;Table1[[#This Row],[ReorderLevel]]</f>
        <v>0</v>
      </c>
      <c r="L991" s="9">
        <f>Table1[[#This Row],[CurrentStock]]*Table1[[#This Row],[UnitPrice]]</f>
        <v>25882.769999999997</v>
      </c>
      <c r="M991" t="str">
        <f>IF(Table1[[#This Row],[ReorderLevel]]-Table1[[#This Row],[CurrentStock]]&gt;0,Table1[[#This Row],[ReorderLevel]]-Table1[[#This Row],[CurrentStock]],"")</f>
        <v/>
      </c>
      <c r="N991" t="str">
        <f>IF(Table1[[#This Row],[CurrentStock]]&gt;Table1[[#This Row],[ReorderLevel]]*3,"Over Stock","Okay")</f>
        <v>Over Stock</v>
      </c>
      <c r="O991" t="str">
        <f>IF(Table1[[#This Row],[CurrentStock]]&lt;Table1[[#This Row],[ReorderLevel]],"Reorder","Okay")</f>
        <v>Okay</v>
      </c>
    </row>
    <row r="992" spans="1:15" x14ac:dyDescent="0.3">
      <c r="A992">
        <v>57096</v>
      </c>
      <c r="B992" t="s">
        <v>20</v>
      </c>
      <c r="C992" t="s">
        <v>29</v>
      </c>
      <c r="D992">
        <v>195</v>
      </c>
      <c r="E992">
        <v>30</v>
      </c>
      <c r="F992">
        <v>241.61</v>
      </c>
      <c r="G992" t="s">
        <v>35</v>
      </c>
      <c r="H992" s="1">
        <v>45614</v>
      </c>
      <c r="I992" s="1">
        <v>45620</v>
      </c>
      <c r="J992" t="s">
        <v>37</v>
      </c>
      <c r="K992" t="b">
        <f>Table1[[#This Row],[CurrentStock]]&lt;Table1[[#This Row],[ReorderLevel]]</f>
        <v>0</v>
      </c>
      <c r="L992" s="9">
        <f>Table1[[#This Row],[CurrentStock]]*Table1[[#This Row],[UnitPrice]]</f>
        <v>47113.950000000004</v>
      </c>
      <c r="M992" t="str">
        <f>IF(Table1[[#This Row],[ReorderLevel]]-Table1[[#This Row],[CurrentStock]]&gt;0,Table1[[#This Row],[ReorderLevel]]-Table1[[#This Row],[CurrentStock]],"")</f>
        <v/>
      </c>
      <c r="N992" t="str">
        <f>IF(Table1[[#This Row],[CurrentStock]]&gt;Table1[[#This Row],[ReorderLevel]]*3,"Over Stock","Okay")</f>
        <v>Over Stock</v>
      </c>
      <c r="O992" t="str">
        <f>IF(Table1[[#This Row],[CurrentStock]]&lt;Table1[[#This Row],[ReorderLevel]],"Reorder","Okay")</f>
        <v>Okay</v>
      </c>
    </row>
    <row r="993" spans="1:15" x14ac:dyDescent="0.3">
      <c r="A993">
        <v>62726</v>
      </c>
      <c r="B993" t="s">
        <v>25</v>
      </c>
      <c r="C993" t="s">
        <v>31</v>
      </c>
      <c r="D993">
        <v>26</v>
      </c>
      <c r="E993">
        <v>20</v>
      </c>
      <c r="F993">
        <v>379.93</v>
      </c>
      <c r="G993" t="s">
        <v>34</v>
      </c>
      <c r="H993" s="1">
        <v>45548</v>
      </c>
      <c r="I993" s="1">
        <v>45555</v>
      </c>
      <c r="J993" t="s">
        <v>37</v>
      </c>
      <c r="K993" t="b">
        <f>Table1[[#This Row],[CurrentStock]]&lt;Table1[[#This Row],[ReorderLevel]]</f>
        <v>0</v>
      </c>
      <c r="L993" s="9">
        <f>Table1[[#This Row],[CurrentStock]]*Table1[[#This Row],[UnitPrice]]</f>
        <v>9878.18</v>
      </c>
      <c r="M993" t="str">
        <f>IF(Table1[[#This Row],[ReorderLevel]]-Table1[[#This Row],[CurrentStock]]&gt;0,Table1[[#This Row],[ReorderLevel]]-Table1[[#This Row],[CurrentStock]],"")</f>
        <v/>
      </c>
      <c r="N993" t="str">
        <f>IF(Table1[[#This Row],[CurrentStock]]&gt;Table1[[#This Row],[ReorderLevel]]*3,"Over Stock","Okay")</f>
        <v>Okay</v>
      </c>
      <c r="O993" t="str">
        <f>IF(Table1[[#This Row],[CurrentStock]]&lt;Table1[[#This Row],[ReorderLevel]],"Reorder","Okay")</f>
        <v>Okay</v>
      </c>
    </row>
    <row r="994" spans="1:15" x14ac:dyDescent="0.3">
      <c r="A994">
        <v>88182</v>
      </c>
      <c r="B994" t="s">
        <v>16</v>
      </c>
      <c r="C994" t="s">
        <v>30</v>
      </c>
      <c r="D994">
        <v>270</v>
      </c>
      <c r="E994">
        <v>100</v>
      </c>
      <c r="F994">
        <v>473.92</v>
      </c>
      <c r="G994" t="s">
        <v>33</v>
      </c>
      <c r="H994" s="1">
        <v>45347</v>
      </c>
      <c r="I994" s="1">
        <v>45377</v>
      </c>
      <c r="J994" t="s">
        <v>39</v>
      </c>
      <c r="K994" t="b">
        <f>Table1[[#This Row],[CurrentStock]]&lt;Table1[[#This Row],[ReorderLevel]]</f>
        <v>0</v>
      </c>
      <c r="L994" s="9">
        <f>Table1[[#This Row],[CurrentStock]]*Table1[[#This Row],[UnitPrice]]</f>
        <v>127958.40000000001</v>
      </c>
      <c r="M994" t="str">
        <f>IF(Table1[[#This Row],[ReorderLevel]]-Table1[[#This Row],[CurrentStock]]&gt;0,Table1[[#This Row],[ReorderLevel]]-Table1[[#This Row],[CurrentStock]],"")</f>
        <v/>
      </c>
      <c r="N994" t="str">
        <f>IF(Table1[[#This Row],[CurrentStock]]&gt;Table1[[#This Row],[ReorderLevel]]*3,"Over Stock","Okay")</f>
        <v>Okay</v>
      </c>
      <c r="O994" t="str">
        <f>IF(Table1[[#This Row],[CurrentStock]]&lt;Table1[[#This Row],[ReorderLevel]],"Reorder","Okay")</f>
        <v>Okay</v>
      </c>
    </row>
    <row r="995" spans="1:15" x14ac:dyDescent="0.3">
      <c r="A995">
        <v>79918</v>
      </c>
      <c r="B995" t="s">
        <v>18</v>
      </c>
      <c r="C995" t="s">
        <v>28</v>
      </c>
      <c r="D995">
        <v>338</v>
      </c>
      <c r="E995">
        <v>100</v>
      </c>
      <c r="F995">
        <v>247.89</v>
      </c>
      <c r="G995" t="s">
        <v>34</v>
      </c>
      <c r="H995" s="1">
        <v>45514</v>
      </c>
      <c r="I995" s="1">
        <v>45525</v>
      </c>
      <c r="J995" t="s">
        <v>39</v>
      </c>
      <c r="K995" t="b">
        <f>Table1[[#This Row],[CurrentStock]]&lt;Table1[[#This Row],[ReorderLevel]]</f>
        <v>0</v>
      </c>
      <c r="L995" s="9">
        <f>Table1[[#This Row],[CurrentStock]]*Table1[[#This Row],[UnitPrice]]</f>
        <v>83786.819999999992</v>
      </c>
      <c r="M995" t="str">
        <f>IF(Table1[[#This Row],[ReorderLevel]]-Table1[[#This Row],[CurrentStock]]&gt;0,Table1[[#This Row],[ReorderLevel]]-Table1[[#This Row],[CurrentStock]],"")</f>
        <v/>
      </c>
      <c r="N995" t="str">
        <f>IF(Table1[[#This Row],[CurrentStock]]&gt;Table1[[#This Row],[ReorderLevel]]*3,"Over Stock","Okay")</f>
        <v>Over Stock</v>
      </c>
      <c r="O995" t="str">
        <f>IF(Table1[[#This Row],[CurrentStock]]&lt;Table1[[#This Row],[ReorderLevel]],"Reorder","Okay")</f>
        <v>Okay</v>
      </c>
    </row>
    <row r="996" spans="1:15" x14ac:dyDescent="0.3">
      <c r="A996">
        <v>63450</v>
      </c>
      <c r="B996" t="s">
        <v>24</v>
      </c>
      <c r="C996" t="s">
        <v>31</v>
      </c>
      <c r="D996">
        <v>22</v>
      </c>
      <c r="E996">
        <v>80</v>
      </c>
      <c r="F996">
        <v>257.01</v>
      </c>
      <c r="G996" t="s">
        <v>36</v>
      </c>
      <c r="H996" s="1">
        <v>45329</v>
      </c>
      <c r="I996" s="1">
        <v>45360</v>
      </c>
      <c r="J996" t="s">
        <v>37</v>
      </c>
      <c r="K996" t="b">
        <f>Table1[[#This Row],[CurrentStock]]&lt;Table1[[#This Row],[ReorderLevel]]</f>
        <v>1</v>
      </c>
      <c r="L996" s="9">
        <f>Table1[[#This Row],[CurrentStock]]*Table1[[#This Row],[UnitPrice]]</f>
        <v>5654.2199999999993</v>
      </c>
      <c r="M996">
        <f>IF(Table1[[#This Row],[ReorderLevel]]-Table1[[#This Row],[CurrentStock]]&gt;0,Table1[[#This Row],[ReorderLevel]]-Table1[[#This Row],[CurrentStock]],"")</f>
        <v>58</v>
      </c>
      <c r="N996" t="str">
        <f>IF(Table1[[#This Row],[CurrentStock]]&gt;Table1[[#This Row],[ReorderLevel]]*3,"Over Stock","Okay")</f>
        <v>Okay</v>
      </c>
      <c r="O996" t="str">
        <f>IF(Table1[[#This Row],[CurrentStock]]&lt;Table1[[#This Row],[ReorderLevel]],"Reorder","Okay")</f>
        <v>Reorder</v>
      </c>
    </row>
    <row r="997" spans="1:15" x14ac:dyDescent="0.3">
      <c r="A997">
        <v>27290</v>
      </c>
      <c r="B997" t="s">
        <v>19</v>
      </c>
      <c r="C997" t="s">
        <v>28</v>
      </c>
      <c r="D997">
        <v>474</v>
      </c>
      <c r="E997">
        <v>150</v>
      </c>
      <c r="F997">
        <v>473.31</v>
      </c>
      <c r="G997" t="s">
        <v>34</v>
      </c>
      <c r="H997" s="1">
        <v>45401</v>
      </c>
      <c r="I997" s="1">
        <v>45418</v>
      </c>
      <c r="J997" t="s">
        <v>37</v>
      </c>
      <c r="K997" t="b">
        <f>Table1[[#This Row],[CurrentStock]]&lt;Table1[[#This Row],[ReorderLevel]]</f>
        <v>0</v>
      </c>
      <c r="L997" s="9">
        <f>Table1[[#This Row],[CurrentStock]]*Table1[[#This Row],[UnitPrice]]</f>
        <v>224348.94</v>
      </c>
      <c r="M997" t="str">
        <f>IF(Table1[[#This Row],[ReorderLevel]]-Table1[[#This Row],[CurrentStock]]&gt;0,Table1[[#This Row],[ReorderLevel]]-Table1[[#This Row],[CurrentStock]],"")</f>
        <v/>
      </c>
      <c r="N997" t="str">
        <f>IF(Table1[[#This Row],[CurrentStock]]&gt;Table1[[#This Row],[ReorderLevel]]*3,"Over Stock","Okay")</f>
        <v>Over Stock</v>
      </c>
      <c r="O997" t="str">
        <f>IF(Table1[[#This Row],[CurrentStock]]&lt;Table1[[#This Row],[ReorderLevel]],"Reorder","Okay")</f>
        <v>Okay</v>
      </c>
    </row>
    <row r="998" spans="1:15" x14ac:dyDescent="0.3">
      <c r="A998">
        <v>20447</v>
      </c>
      <c r="B998" t="s">
        <v>21</v>
      </c>
      <c r="C998" t="s">
        <v>31</v>
      </c>
      <c r="D998">
        <v>347</v>
      </c>
      <c r="E998">
        <v>80</v>
      </c>
      <c r="F998">
        <v>430.37</v>
      </c>
      <c r="G998" t="s">
        <v>35</v>
      </c>
      <c r="H998" s="1">
        <v>45551</v>
      </c>
      <c r="I998" s="1">
        <v>45573</v>
      </c>
      <c r="J998" t="s">
        <v>37</v>
      </c>
      <c r="K998" t="b">
        <f>Table1[[#This Row],[CurrentStock]]&lt;Table1[[#This Row],[ReorderLevel]]</f>
        <v>0</v>
      </c>
      <c r="L998" s="9">
        <f>Table1[[#This Row],[CurrentStock]]*Table1[[#This Row],[UnitPrice]]</f>
        <v>149338.39000000001</v>
      </c>
      <c r="M998" t="str">
        <f>IF(Table1[[#This Row],[ReorderLevel]]-Table1[[#This Row],[CurrentStock]]&gt;0,Table1[[#This Row],[ReorderLevel]]-Table1[[#This Row],[CurrentStock]],"")</f>
        <v/>
      </c>
      <c r="N998" t="str">
        <f>IF(Table1[[#This Row],[CurrentStock]]&gt;Table1[[#This Row],[ReorderLevel]]*3,"Over Stock","Okay")</f>
        <v>Over Stock</v>
      </c>
      <c r="O998" t="str">
        <f>IF(Table1[[#This Row],[CurrentStock]]&lt;Table1[[#This Row],[ReorderLevel]],"Reorder","Okay")</f>
        <v>Okay</v>
      </c>
    </row>
    <row r="999" spans="1:15" x14ac:dyDescent="0.3">
      <c r="A999">
        <v>94853</v>
      </c>
      <c r="B999" t="s">
        <v>14</v>
      </c>
      <c r="C999" t="s">
        <v>27</v>
      </c>
      <c r="D999">
        <v>328</v>
      </c>
      <c r="E999">
        <v>40</v>
      </c>
      <c r="F999">
        <v>172.58</v>
      </c>
      <c r="G999" t="s">
        <v>33</v>
      </c>
      <c r="H999" s="1">
        <v>45351</v>
      </c>
      <c r="I999" s="1">
        <v>45358</v>
      </c>
      <c r="J999" t="s">
        <v>37</v>
      </c>
      <c r="K999" t="b">
        <f>Table1[[#This Row],[CurrentStock]]&lt;Table1[[#This Row],[ReorderLevel]]</f>
        <v>0</v>
      </c>
      <c r="L999" s="9">
        <f>Table1[[#This Row],[CurrentStock]]*Table1[[#This Row],[UnitPrice]]</f>
        <v>56606.240000000005</v>
      </c>
      <c r="M999" t="str">
        <f>IF(Table1[[#This Row],[ReorderLevel]]-Table1[[#This Row],[CurrentStock]]&gt;0,Table1[[#This Row],[ReorderLevel]]-Table1[[#This Row],[CurrentStock]],"")</f>
        <v/>
      </c>
      <c r="N999" t="str">
        <f>IF(Table1[[#This Row],[CurrentStock]]&gt;Table1[[#This Row],[ReorderLevel]]*3,"Over Stock","Okay")</f>
        <v>Over Stock</v>
      </c>
      <c r="O999" t="str">
        <f>IF(Table1[[#This Row],[CurrentStock]]&lt;Table1[[#This Row],[ReorderLevel]],"Reorder","Okay")</f>
        <v>Okay</v>
      </c>
    </row>
    <row r="1000" spans="1:15" x14ac:dyDescent="0.3">
      <c r="A1000">
        <v>91060</v>
      </c>
      <c r="B1000" t="s">
        <v>21</v>
      </c>
      <c r="C1000" t="s">
        <v>31</v>
      </c>
      <c r="D1000">
        <v>319</v>
      </c>
      <c r="E1000">
        <v>150</v>
      </c>
      <c r="F1000">
        <v>301.94</v>
      </c>
      <c r="G1000" t="s">
        <v>32</v>
      </c>
      <c r="H1000" s="1">
        <v>45571</v>
      </c>
      <c r="I1000" s="1">
        <v>45602</v>
      </c>
      <c r="J1000" t="s">
        <v>38</v>
      </c>
      <c r="K1000" t="b">
        <f>Table1[[#This Row],[CurrentStock]]&lt;Table1[[#This Row],[ReorderLevel]]</f>
        <v>0</v>
      </c>
      <c r="L1000" s="9">
        <f>Table1[[#This Row],[CurrentStock]]*Table1[[#This Row],[UnitPrice]]</f>
        <v>96318.86</v>
      </c>
      <c r="M1000" t="str">
        <f>IF(Table1[[#This Row],[ReorderLevel]]-Table1[[#This Row],[CurrentStock]]&gt;0,Table1[[#This Row],[ReorderLevel]]-Table1[[#This Row],[CurrentStock]],"")</f>
        <v/>
      </c>
      <c r="N1000" t="str">
        <f>IF(Table1[[#This Row],[CurrentStock]]&gt;Table1[[#This Row],[ReorderLevel]]*3,"Over Stock","Okay")</f>
        <v>Okay</v>
      </c>
      <c r="O1000" t="str">
        <f>IF(Table1[[#This Row],[CurrentStock]]&lt;Table1[[#This Row],[ReorderLevel]],"Reorder","Okay")</f>
        <v>Okay</v>
      </c>
    </row>
    <row r="1001" spans="1:15" x14ac:dyDescent="0.3">
      <c r="A1001">
        <v>30874</v>
      </c>
      <c r="B1001" t="s">
        <v>24</v>
      </c>
      <c r="C1001" t="s">
        <v>31</v>
      </c>
      <c r="D1001">
        <v>375</v>
      </c>
      <c r="E1001">
        <v>50</v>
      </c>
      <c r="F1001">
        <v>427.43</v>
      </c>
      <c r="G1001" t="s">
        <v>33</v>
      </c>
      <c r="H1001" s="1">
        <v>45548</v>
      </c>
      <c r="I1001" s="1">
        <v>45574</v>
      </c>
      <c r="J1001" t="s">
        <v>38</v>
      </c>
      <c r="K1001" t="b">
        <f>Table1[[#This Row],[CurrentStock]]&lt;Table1[[#This Row],[ReorderLevel]]</f>
        <v>0</v>
      </c>
      <c r="L1001" s="9">
        <f>Table1[[#This Row],[CurrentStock]]*Table1[[#This Row],[UnitPrice]]</f>
        <v>160286.25</v>
      </c>
      <c r="M1001" t="str">
        <f>IF(Table1[[#This Row],[ReorderLevel]]-Table1[[#This Row],[CurrentStock]]&gt;0,Table1[[#This Row],[ReorderLevel]]-Table1[[#This Row],[CurrentStock]],"")</f>
        <v/>
      </c>
      <c r="N1001" t="str">
        <f>IF(Table1[[#This Row],[CurrentStock]]&gt;Table1[[#This Row],[ReorderLevel]]*3,"Over Stock","Okay")</f>
        <v>Over Stock</v>
      </c>
      <c r="O1001" t="str">
        <f>IF(Table1[[#This Row],[CurrentStock]]&lt;Table1[[#This Row],[ReorderLevel]],"Reorder","Okay")</f>
        <v>Okay</v>
      </c>
    </row>
    <row r="1002" spans="1:15" x14ac:dyDescent="0.3">
      <c r="A1002">
        <v>71509</v>
      </c>
      <c r="B1002" t="s">
        <v>19</v>
      </c>
      <c r="C1002" t="s">
        <v>28</v>
      </c>
      <c r="D1002">
        <v>217</v>
      </c>
      <c r="E1002">
        <v>80</v>
      </c>
      <c r="F1002">
        <v>225.02</v>
      </c>
      <c r="G1002" t="s">
        <v>35</v>
      </c>
      <c r="H1002" s="1">
        <v>45430</v>
      </c>
      <c r="I1002" s="1">
        <v>45445</v>
      </c>
      <c r="J1002" t="s">
        <v>39</v>
      </c>
      <c r="K1002" t="b">
        <f>Table1[[#This Row],[CurrentStock]]&lt;Table1[[#This Row],[ReorderLevel]]</f>
        <v>0</v>
      </c>
      <c r="L1002" s="9">
        <f>Table1[[#This Row],[CurrentStock]]*Table1[[#This Row],[UnitPrice]]</f>
        <v>48829.340000000004</v>
      </c>
      <c r="M1002" t="str">
        <f>IF(Table1[[#This Row],[ReorderLevel]]-Table1[[#This Row],[CurrentStock]]&gt;0,Table1[[#This Row],[ReorderLevel]]-Table1[[#This Row],[CurrentStock]],"")</f>
        <v/>
      </c>
      <c r="N1002" t="str">
        <f>IF(Table1[[#This Row],[CurrentStock]]&gt;Table1[[#This Row],[ReorderLevel]]*3,"Over Stock","Okay")</f>
        <v>Okay</v>
      </c>
      <c r="O1002" t="str">
        <f>IF(Table1[[#This Row],[CurrentStock]]&lt;Table1[[#This Row],[ReorderLevel]],"Reorder","Okay")</f>
        <v>Okay</v>
      </c>
    </row>
    <row r="1003" spans="1:15" x14ac:dyDescent="0.3">
      <c r="A1003">
        <v>35457</v>
      </c>
      <c r="B1003" t="s">
        <v>23</v>
      </c>
      <c r="C1003" t="s">
        <v>30</v>
      </c>
      <c r="D1003">
        <v>55</v>
      </c>
      <c r="E1003">
        <v>150</v>
      </c>
      <c r="F1003">
        <v>44.23</v>
      </c>
      <c r="G1003" t="s">
        <v>34</v>
      </c>
      <c r="H1003" s="1">
        <v>45466</v>
      </c>
      <c r="I1003" s="1">
        <v>45497</v>
      </c>
      <c r="J1003" t="s">
        <v>39</v>
      </c>
      <c r="K1003" t="b">
        <f>Table1[[#This Row],[CurrentStock]]&lt;Table1[[#This Row],[ReorderLevel]]</f>
        <v>1</v>
      </c>
      <c r="L1003" s="9">
        <f>Table1[[#This Row],[CurrentStock]]*Table1[[#This Row],[UnitPrice]]</f>
        <v>2432.6499999999996</v>
      </c>
      <c r="M1003">
        <f>IF(Table1[[#This Row],[ReorderLevel]]-Table1[[#This Row],[CurrentStock]]&gt;0,Table1[[#This Row],[ReorderLevel]]-Table1[[#This Row],[CurrentStock]],"")</f>
        <v>95</v>
      </c>
      <c r="N1003" t="str">
        <f>IF(Table1[[#This Row],[CurrentStock]]&gt;Table1[[#This Row],[ReorderLevel]]*3,"Over Stock","Okay")</f>
        <v>Okay</v>
      </c>
      <c r="O1003" t="str">
        <f>IF(Table1[[#This Row],[CurrentStock]]&lt;Table1[[#This Row],[ReorderLevel]],"Reorder","Okay")</f>
        <v>Reorder</v>
      </c>
    </row>
    <row r="1004" spans="1:15" x14ac:dyDescent="0.3">
      <c r="A1004">
        <v>62137</v>
      </c>
      <c r="B1004" t="s">
        <v>24</v>
      </c>
      <c r="C1004" t="s">
        <v>31</v>
      </c>
      <c r="D1004">
        <v>441</v>
      </c>
      <c r="E1004">
        <v>50</v>
      </c>
      <c r="F1004">
        <v>66.03</v>
      </c>
      <c r="G1004" t="s">
        <v>33</v>
      </c>
      <c r="H1004" s="1">
        <v>45355</v>
      </c>
      <c r="I1004" s="1">
        <v>45366</v>
      </c>
      <c r="J1004" t="s">
        <v>39</v>
      </c>
      <c r="K1004" t="b">
        <f>Table1[[#This Row],[CurrentStock]]&lt;Table1[[#This Row],[ReorderLevel]]</f>
        <v>0</v>
      </c>
      <c r="L1004" s="9">
        <f>Table1[[#This Row],[CurrentStock]]*Table1[[#This Row],[UnitPrice]]</f>
        <v>29119.23</v>
      </c>
      <c r="M1004" t="str">
        <f>IF(Table1[[#This Row],[ReorderLevel]]-Table1[[#This Row],[CurrentStock]]&gt;0,Table1[[#This Row],[ReorderLevel]]-Table1[[#This Row],[CurrentStock]],"")</f>
        <v/>
      </c>
      <c r="N1004" t="str">
        <f>IF(Table1[[#This Row],[CurrentStock]]&gt;Table1[[#This Row],[ReorderLevel]]*3,"Over Stock","Okay")</f>
        <v>Over Stock</v>
      </c>
      <c r="O1004" t="str">
        <f>IF(Table1[[#This Row],[CurrentStock]]&lt;Table1[[#This Row],[ReorderLevel]],"Reorder","Okay")</f>
        <v>Okay</v>
      </c>
    </row>
    <row r="1005" spans="1:15" x14ac:dyDescent="0.3">
      <c r="A1005">
        <v>10037</v>
      </c>
      <c r="B1005" t="s">
        <v>12</v>
      </c>
      <c r="C1005" t="s">
        <v>28</v>
      </c>
      <c r="D1005">
        <v>404</v>
      </c>
      <c r="E1005">
        <v>50</v>
      </c>
      <c r="F1005">
        <v>382.98</v>
      </c>
      <c r="G1005" t="s">
        <v>35</v>
      </c>
      <c r="H1005" s="1">
        <v>45356</v>
      </c>
      <c r="I1005" s="1">
        <v>45393</v>
      </c>
      <c r="J1005" t="s">
        <v>39</v>
      </c>
      <c r="K1005" t="b">
        <f>Table1[[#This Row],[CurrentStock]]&lt;Table1[[#This Row],[ReorderLevel]]</f>
        <v>0</v>
      </c>
      <c r="L1005" s="9">
        <f>Table1[[#This Row],[CurrentStock]]*Table1[[#This Row],[UnitPrice]]</f>
        <v>154723.92000000001</v>
      </c>
      <c r="M1005" t="str">
        <f>IF(Table1[[#This Row],[ReorderLevel]]-Table1[[#This Row],[CurrentStock]]&gt;0,Table1[[#This Row],[ReorderLevel]]-Table1[[#This Row],[CurrentStock]],"")</f>
        <v/>
      </c>
      <c r="N1005" t="str">
        <f>IF(Table1[[#This Row],[CurrentStock]]&gt;Table1[[#This Row],[ReorderLevel]]*3,"Over Stock","Okay")</f>
        <v>Over Stock</v>
      </c>
      <c r="O1005" t="str">
        <f>IF(Table1[[#This Row],[CurrentStock]]&lt;Table1[[#This Row],[ReorderLevel]],"Reorder","Okay")</f>
        <v>Okay</v>
      </c>
    </row>
    <row r="1006" spans="1:15" x14ac:dyDescent="0.3">
      <c r="A1006">
        <v>72008</v>
      </c>
      <c r="B1006" t="s">
        <v>16</v>
      </c>
      <c r="C1006" t="s">
        <v>30</v>
      </c>
      <c r="D1006">
        <v>475</v>
      </c>
      <c r="E1006">
        <v>20</v>
      </c>
      <c r="F1006">
        <v>266.11</v>
      </c>
      <c r="G1006" t="s">
        <v>35</v>
      </c>
      <c r="H1006" s="1">
        <v>45588</v>
      </c>
      <c r="I1006" s="1">
        <v>45622</v>
      </c>
      <c r="J1006" t="s">
        <v>37</v>
      </c>
      <c r="K1006" t="b">
        <f>Table1[[#This Row],[CurrentStock]]&lt;Table1[[#This Row],[ReorderLevel]]</f>
        <v>0</v>
      </c>
      <c r="L1006" s="9">
        <f>Table1[[#This Row],[CurrentStock]]*Table1[[#This Row],[UnitPrice]]</f>
        <v>126402.25</v>
      </c>
      <c r="M1006" t="str">
        <f>IF(Table1[[#This Row],[ReorderLevel]]-Table1[[#This Row],[CurrentStock]]&gt;0,Table1[[#This Row],[ReorderLevel]]-Table1[[#This Row],[CurrentStock]],"")</f>
        <v/>
      </c>
      <c r="N1006" t="str">
        <f>IF(Table1[[#This Row],[CurrentStock]]&gt;Table1[[#This Row],[ReorderLevel]]*3,"Over Stock","Okay")</f>
        <v>Over Stock</v>
      </c>
      <c r="O1006" t="str">
        <f>IF(Table1[[#This Row],[CurrentStock]]&lt;Table1[[#This Row],[ReorderLevel]],"Reorder","Okay")</f>
        <v>Okay</v>
      </c>
    </row>
    <row r="1007" spans="1:15" x14ac:dyDescent="0.3">
      <c r="A1007">
        <v>43439</v>
      </c>
      <c r="B1007" t="s">
        <v>18</v>
      </c>
      <c r="C1007" t="s">
        <v>28</v>
      </c>
      <c r="D1007">
        <v>215</v>
      </c>
      <c r="E1007">
        <v>100</v>
      </c>
      <c r="F1007">
        <v>57.53</v>
      </c>
      <c r="G1007" t="s">
        <v>33</v>
      </c>
      <c r="H1007" s="1">
        <v>45572</v>
      </c>
      <c r="I1007" s="1">
        <v>45577</v>
      </c>
      <c r="J1007" t="s">
        <v>39</v>
      </c>
      <c r="K1007" t="b">
        <f>Table1[[#This Row],[CurrentStock]]&lt;Table1[[#This Row],[ReorderLevel]]</f>
        <v>0</v>
      </c>
      <c r="L1007" s="9">
        <f>Table1[[#This Row],[CurrentStock]]*Table1[[#This Row],[UnitPrice]]</f>
        <v>12368.95</v>
      </c>
      <c r="M1007" t="str">
        <f>IF(Table1[[#This Row],[ReorderLevel]]-Table1[[#This Row],[CurrentStock]]&gt;0,Table1[[#This Row],[ReorderLevel]]-Table1[[#This Row],[CurrentStock]],"")</f>
        <v/>
      </c>
      <c r="N1007" t="str">
        <f>IF(Table1[[#This Row],[CurrentStock]]&gt;Table1[[#This Row],[ReorderLevel]]*3,"Over Stock","Okay")</f>
        <v>Okay</v>
      </c>
      <c r="O1007" t="str">
        <f>IF(Table1[[#This Row],[CurrentStock]]&lt;Table1[[#This Row],[ReorderLevel]],"Reorder","Okay")</f>
        <v>Okay</v>
      </c>
    </row>
    <row r="1008" spans="1:15" x14ac:dyDescent="0.3">
      <c r="A1008">
        <v>44743</v>
      </c>
      <c r="B1008" t="s">
        <v>20</v>
      </c>
      <c r="C1008" t="s">
        <v>29</v>
      </c>
      <c r="D1008">
        <v>146</v>
      </c>
      <c r="E1008">
        <v>50</v>
      </c>
      <c r="F1008">
        <v>177.78</v>
      </c>
      <c r="G1008" t="s">
        <v>35</v>
      </c>
      <c r="H1008" s="1">
        <v>45293</v>
      </c>
      <c r="I1008" s="1">
        <v>45306</v>
      </c>
      <c r="J1008" t="s">
        <v>39</v>
      </c>
      <c r="K1008" t="b">
        <f>Table1[[#This Row],[CurrentStock]]&lt;Table1[[#This Row],[ReorderLevel]]</f>
        <v>0</v>
      </c>
      <c r="L1008" s="9">
        <f>Table1[[#This Row],[CurrentStock]]*Table1[[#This Row],[UnitPrice]]</f>
        <v>25955.88</v>
      </c>
      <c r="M1008" t="str">
        <f>IF(Table1[[#This Row],[ReorderLevel]]-Table1[[#This Row],[CurrentStock]]&gt;0,Table1[[#This Row],[ReorderLevel]]-Table1[[#This Row],[CurrentStock]],"")</f>
        <v/>
      </c>
      <c r="N1008" t="str">
        <f>IF(Table1[[#This Row],[CurrentStock]]&gt;Table1[[#This Row],[ReorderLevel]]*3,"Over Stock","Okay")</f>
        <v>Okay</v>
      </c>
      <c r="O1008" t="str">
        <f>IF(Table1[[#This Row],[CurrentStock]]&lt;Table1[[#This Row],[ReorderLevel]],"Reorder","Okay")</f>
        <v>Okay</v>
      </c>
    </row>
    <row r="1009" spans="1:15" x14ac:dyDescent="0.3">
      <c r="A1009">
        <v>92896</v>
      </c>
      <c r="B1009" t="s">
        <v>10</v>
      </c>
      <c r="C1009" t="s">
        <v>27</v>
      </c>
      <c r="D1009">
        <v>272</v>
      </c>
      <c r="E1009">
        <v>20</v>
      </c>
      <c r="F1009">
        <v>25.09</v>
      </c>
      <c r="G1009" t="s">
        <v>33</v>
      </c>
      <c r="H1009" s="1">
        <v>45422</v>
      </c>
      <c r="I1009" s="1">
        <v>45430</v>
      </c>
      <c r="J1009" t="s">
        <v>37</v>
      </c>
      <c r="K1009" t="b">
        <f>Table1[[#This Row],[CurrentStock]]&lt;Table1[[#This Row],[ReorderLevel]]</f>
        <v>0</v>
      </c>
      <c r="L1009" s="9">
        <f>Table1[[#This Row],[CurrentStock]]*Table1[[#This Row],[UnitPrice]]</f>
        <v>6824.48</v>
      </c>
      <c r="M1009" t="str">
        <f>IF(Table1[[#This Row],[ReorderLevel]]-Table1[[#This Row],[CurrentStock]]&gt;0,Table1[[#This Row],[ReorderLevel]]-Table1[[#This Row],[CurrentStock]],"")</f>
        <v/>
      </c>
      <c r="N1009" t="str">
        <f>IF(Table1[[#This Row],[CurrentStock]]&gt;Table1[[#This Row],[ReorderLevel]]*3,"Over Stock","Okay")</f>
        <v>Over Stock</v>
      </c>
      <c r="O1009" t="str">
        <f>IF(Table1[[#This Row],[CurrentStock]]&lt;Table1[[#This Row],[ReorderLevel]],"Reorder","Okay")</f>
        <v>Okay</v>
      </c>
    </row>
    <row r="1010" spans="1:15" x14ac:dyDescent="0.3">
      <c r="A1010">
        <v>10636</v>
      </c>
      <c r="B1010" t="s">
        <v>25</v>
      </c>
      <c r="C1010" t="s">
        <v>31</v>
      </c>
      <c r="D1010">
        <v>416</v>
      </c>
      <c r="E1010">
        <v>40</v>
      </c>
      <c r="F1010">
        <v>184.48</v>
      </c>
      <c r="G1010" t="s">
        <v>33</v>
      </c>
      <c r="H1010" s="1">
        <v>45521</v>
      </c>
      <c r="I1010" s="1">
        <v>45549</v>
      </c>
      <c r="J1010" t="s">
        <v>37</v>
      </c>
      <c r="K1010" t="b">
        <f>Table1[[#This Row],[CurrentStock]]&lt;Table1[[#This Row],[ReorderLevel]]</f>
        <v>0</v>
      </c>
      <c r="L1010" s="9">
        <f>Table1[[#This Row],[CurrentStock]]*Table1[[#This Row],[UnitPrice]]</f>
        <v>76743.679999999993</v>
      </c>
      <c r="M1010" t="str">
        <f>IF(Table1[[#This Row],[ReorderLevel]]-Table1[[#This Row],[CurrentStock]]&gt;0,Table1[[#This Row],[ReorderLevel]]-Table1[[#This Row],[CurrentStock]],"")</f>
        <v/>
      </c>
      <c r="N1010" t="str">
        <f>IF(Table1[[#This Row],[CurrentStock]]&gt;Table1[[#This Row],[ReorderLevel]]*3,"Over Stock","Okay")</f>
        <v>Over Stock</v>
      </c>
      <c r="O1010" t="str">
        <f>IF(Table1[[#This Row],[CurrentStock]]&lt;Table1[[#This Row],[ReorderLevel]],"Reorder","Okay")</f>
        <v>Okay</v>
      </c>
    </row>
    <row r="1011" spans="1:15" x14ac:dyDescent="0.3">
      <c r="A1011">
        <v>83309</v>
      </c>
      <c r="B1011" t="s">
        <v>12</v>
      </c>
      <c r="C1011" t="s">
        <v>28</v>
      </c>
      <c r="D1011">
        <v>203</v>
      </c>
      <c r="E1011">
        <v>20</v>
      </c>
      <c r="F1011">
        <v>305.81</v>
      </c>
      <c r="G1011" t="s">
        <v>32</v>
      </c>
      <c r="H1011" s="1">
        <v>45352</v>
      </c>
      <c r="I1011" s="1">
        <v>45371</v>
      </c>
      <c r="J1011" t="s">
        <v>38</v>
      </c>
      <c r="K1011" t="b">
        <f>Table1[[#This Row],[CurrentStock]]&lt;Table1[[#This Row],[ReorderLevel]]</f>
        <v>0</v>
      </c>
      <c r="L1011" s="9">
        <f>Table1[[#This Row],[CurrentStock]]*Table1[[#This Row],[UnitPrice]]</f>
        <v>62079.43</v>
      </c>
      <c r="M1011" t="str">
        <f>IF(Table1[[#This Row],[ReorderLevel]]-Table1[[#This Row],[CurrentStock]]&gt;0,Table1[[#This Row],[ReorderLevel]]-Table1[[#This Row],[CurrentStock]],"")</f>
        <v/>
      </c>
      <c r="N1011" t="str">
        <f>IF(Table1[[#This Row],[CurrentStock]]&gt;Table1[[#This Row],[ReorderLevel]]*3,"Over Stock","Okay")</f>
        <v>Over Stock</v>
      </c>
      <c r="O1011" t="str">
        <f>IF(Table1[[#This Row],[CurrentStock]]&lt;Table1[[#This Row],[ReorderLevel]],"Reorder","Okay")</f>
        <v>Okay</v>
      </c>
    </row>
    <row r="1012" spans="1:15" x14ac:dyDescent="0.3">
      <c r="A1012">
        <v>24367</v>
      </c>
      <c r="B1012" t="s">
        <v>24</v>
      </c>
      <c r="C1012" t="s">
        <v>31</v>
      </c>
      <c r="D1012">
        <v>185</v>
      </c>
      <c r="E1012">
        <v>150</v>
      </c>
      <c r="F1012">
        <v>98.62</v>
      </c>
      <c r="G1012" t="s">
        <v>35</v>
      </c>
      <c r="H1012" s="1">
        <v>45593</v>
      </c>
      <c r="I1012" s="1">
        <v>45628</v>
      </c>
      <c r="J1012" t="s">
        <v>38</v>
      </c>
      <c r="K1012" t="b">
        <f>Table1[[#This Row],[CurrentStock]]&lt;Table1[[#This Row],[ReorderLevel]]</f>
        <v>0</v>
      </c>
      <c r="L1012" s="9">
        <f>Table1[[#This Row],[CurrentStock]]*Table1[[#This Row],[UnitPrice]]</f>
        <v>18244.7</v>
      </c>
      <c r="M1012" t="str">
        <f>IF(Table1[[#This Row],[ReorderLevel]]-Table1[[#This Row],[CurrentStock]]&gt;0,Table1[[#This Row],[ReorderLevel]]-Table1[[#This Row],[CurrentStock]],"")</f>
        <v/>
      </c>
      <c r="N1012" t="str">
        <f>IF(Table1[[#This Row],[CurrentStock]]&gt;Table1[[#This Row],[ReorderLevel]]*3,"Over Stock","Okay")</f>
        <v>Okay</v>
      </c>
      <c r="O1012" t="str">
        <f>IF(Table1[[#This Row],[CurrentStock]]&lt;Table1[[#This Row],[ReorderLevel]],"Reorder","Okay")</f>
        <v>Okay</v>
      </c>
    </row>
    <row r="1013" spans="1:15" x14ac:dyDescent="0.3">
      <c r="A1013">
        <v>99859</v>
      </c>
      <c r="B1013" t="s">
        <v>16</v>
      </c>
      <c r="C1013" t="s">
        <v>30</v>
      </c>
      <c r="D1013">
        <v>180</v>
      </c>
      <c r="E1013">
        <v>80</v>
      </c>
      <c r="F1013">
        <v>179.39</v>
      </c>
      <c r="G1013" t="s">
        <v>32</v>
      </c>
      <c r="H1013" s="1">
        <v>45371</v>
      </c>
      <c r="I1013" s="1">
        <v>45382</v>
      </c>
      <c r="J1013" t="s">
        <v>38</v>
      </c>
      <c r="K1013" t="b">
        <f>Table1[[#This Row],[CurrentStock]]&lt;Table1[[#This Row],[ReorderLevel]]</f>
        <v>0</v>
      </c>
      <c r="L1013" s="9">
        <f>Table1[[#This Row],[CurrentStock]]*Table1[[#This Row],[UnitPrice]]</f>
        <v>32290.199999999997</v>
      </c>
      <c r="M1013" t="str">
        <f>IF(Table1[[#This Row],[ReorderLevel]]-Table1[[#This Row],[CurrentStock]]&gt;0,Table1[[#This Row],[ReorderLevel]]-Table1[[#This Row],[CurrentStock]],"")</f>
        <v/>
      </c>
      <c r="N1013" t="str">
        <f>IF(Table1[[#This Row],[CurrentStock]]&gt;Table1[[#This Row],[ReorderLevel]]*3,"Over Stock","Okay")</f>
        <v>Okay</v>
      </c>
      <c r="O1013" t="str">
        <f>IF(Table1[[#This Row],[CurrentStock]]&lt;Table1[[#This Row],[ReorderLevel]],"Reorder","Okay")</f>
        <v>Okay</v>
      </c>
    </row>
    <row r="1014" spans="1:15" x14ac:dyDescent="0.3">
      <c r="A1014">
        <v>22780</v>
      </c>
      <c r="B1014" t="s">
        <v>19</v>
      </c>
      <c r="C1014" t="s">
        <v>28</v>
      </c>
      <c r="D1014">
        <v>202</v>
      </c>
      <c r="E1014">
        <v>50</v>
      </c>
      <c r="F1014">
        <v>201.16</v>
      </c>
      <c r="G1014" t="s">
        <v>32</v>
      </c>
      <c r="H1014" s="1">
        <v>45601</v>
      </c>
      <c r="I1014" s="1">
        <v>45622</v>
      </c>
      <c r="J1014" t="s">
        <v>39</v>
      </c>
      <c r="K1014" t="b">
        <f>Table1[[#This Row],[CurrentStock]]&lt;Table1[[#This Row],[ReorderLevel]]</f>
        <v>0</v>
      </c>
      <c r="L1014" s="9">
        <f>Table1[[#This Row],[CurrentStock]]*Table1[[#This Row],[UnitPrice]]</f>
        <v>40634.32</v>
      </c>
      <c r="M1014" t="str">
        <f>IF(Table1[[#This Row],[ReorderLevel]]-Table1[[#This Row],[CurrentStock]]&gt;0,Table1[[#This Row],[ReorderLevel]]-Table1[[#This Row],[CurrentStock]],"")</f>
        <v/>
      </c>
      <c r="N1014" t="str">
        <f>IF(Table1[[#This Row],[CurrentStock]]&gt;Table1[[#This Row],[ReorderLevel]]*3,"Over Stock","Okay")</f>
        <v>Over Stock</v>
      </c>
      <c r="O1014" t="str">
        <f>IF(Table1[[#This Row],[CurrentStock]]&lt;Table1[[#This Row],[ReorderLevel]],"Reorder","Okay")</f>
        <v>Okay</v>
      </c>
    </row>
    <row r="1015" spans="1:15" x14ac:dyDescent="0.3">
      <c r="A1015">
        <v>36148</v>
      </c>
      <c r="B1015" t="s">
        <v>20</v>
      </c>
      <c r="C1015" t="s">
        <v>29</v>
      </c>
      <c r="D1015">
        <v>485</v>
      </c>
      <c r="E1015">
        <v>100</v>
      </c>
      <c r="F1015">
        <v>339.39</v>
      </c>
      <c r="G1015" t="s">
        <v>35</v>
      </c>
      <c r="H1015" s="1">
        <v>45406</v>
      </c>
      <c r="I1015" s="1">
        <v>45437</v>
      </c>
      <c r="J1015" t="s">
        <v>38</v>
      </c>
      <c r="K1015" t="b">
        <f>Table1[[#This Row],[CurrentStock]]&lt;Table1[[#This Row],[ReorderLevel]]</f>
        <v>0</v>
      </c>
      <c r="L1015" s="9">
        <f>Table1[[#This Row],[CurrentStock]]*Table1[[#This Row],[UnitPrice]]</f>
        <v>164604.15</v>
      </c>
      <c r="M1015" t="str">
        <f>IF(Table1[[#This Row],[ReorderLevel]]-Table1[[#This Row],[CurrentStock]]&gt;0,Table1[[#This Row],[ReorderLevel]]-Table1[[#This Row],[CurrentStock]],"")</f>
        <v/>
      </c>
      <c r="N1015" t="str">
        <f>IF(Table1[[#This Row],[CurrentStock]]&gt;Table1[[#This Row],[ReorderLevel]]*3,"Over Stock","Okay")</f>
        <v>Over Stock</v>
      </c>
      <c r="O1015" t="str">
        <f>IF(Table1[[#This Row],[CurrentStock]]&lt;Table1[[#This Row],[ReorderLevel]],"Reorder","Okay")</f>
        <v>Okay</v>
      </c>
    </row>
    <row r="1016" spans="1:15" x14ac:dyDescent="0.3">
      <c r="A1016">
        <v>30601</v>
      </c>
      <c r="B1016" t="s">
        <v>11</v>
      </c>
      <c r="C1016" t="s">
        <v>27</v>
      </c>
      <c r="D1016">
        <v>335</v>
      </c>
      <c r="E1016">
        <v>80</v>
      </c>
      <c r="F1016">
        <v>88.38</v>
      </c>
      <c r="G1016" t="s">
        <v>35</v>
      </c>
      <c r="H1016" s="1">
        <v>45519</v>
      </c>
      <c r="I1016" s="1">
        <v>45542</v>
      </c>
      <c r="J1016" t="s">
        <v>37</v>
      </c>
      <c r="K1016" t="b">
        <f>Table1[[#This Row],[CurrentStock]]&lt;Table1[[#This Row],[ReorderLevel]]</f>
        <v>0</v>
      </c>
      <c r="L1016" s="9">
        <f>Table1[[#This Row],[CurrentStock]]*Table1[[#This Row],[UnitPrice]]</f>
        <v>29607.3</v>
      </c>
      <c r="M1016" t="str">
        <f>IF(Table1[[#This Row],[ReorderLevel]]-Table1[[#This Row],[CurrentStock]]&gt;0,Table1[[#This Row],[ReorderLevel]]-Table1[[#This Row],[CurrentStock]],"")</f>
        <v/>
      </c>
      <c r="N1016" t="str">
        <f>IF(Table1[[#This Row],[CurrentStock]]&gt;Table1[[#This Row],[ReorderLevel]]*3,"Over Stock","Okay")</f>
        <v>Over Stock</v>
      </c>
      <c r="O1016" t="str">
        <f>IF(Table1[[#This Row],[CurrentStock]]&lt;Table1[[#This Row],[ReorderLevel]],"Reorder","Okay")</f>
        <v>Okay</v>
      </c>
    </row>
    <row r="1017" spans="1:15" x14ac:dyDescent="0.3">
      <c r="A1017">
        <v>79035</v>
      </c>
      <c r="B1017" t="s">
        <v>21</v>
      </c>
      <c r="C1017" t="s">
        <v>31</v>
      </c>
      <c r="D1017">
        <v>374</v>
      </c>
      <c r="E1017">
        <v>30</v>
      </c>
      <c r="F1017">
        <v>120.93</v>
      </c>
      <c r="G1017" t="s">
        <v>34</v>
      </c>
      <c r="H1017" s="1">
        <v>45447</v>
      </c>
      <c r="I1017" s="1">
        <v>45452</v>
      </c>
      <c r="J1017" t="s">
        <v>38</v>
      </c>
      <c r="K1017" t="b">
        <f>Table1[[#This Row],[CurrentStock]]&lt;Table1[[#This Row],[ReorderLevel]]</f>
        <v>0</v>
      </c>
      <c r="L1017" s="9">
        <f>Table1[[#This Row],[CurrentStock]]*Table1[[#This Row],[UnitPrice]]</f>
        <v>45227.82</v>
      </c>
      <c r="M1017" t="str">
        <f>IF(Table1[[#This Row],[ReorderLevel]]-Table1[[#This Row],[CurrentStock]]&gt;0,Table1[[#This Row],[ReorderLevel]]-Table1[[#This Row],[CurrentStock]],"")</f>
        <v/>
      </c>
      <c r="N1017" t="str">
        <f>IF(Table1[[#This Row],[CurrentStock]]&gt;Table1[[#This Row],[ReorderLevel]]*3,"Over Stock","Okay")</f>
        <v>Over Stock</v>
      </c>
      <c r="O1017" t="str">
        <f>IF(Table1[[#This Row],[CurrentStock]]&lt;Table1[[#This Row],[ReorderLevel]],"Reorder","Okay")</f>
        <v>Okay</v>
      </c>
    </row>
    <row r="1018" spans="1:15" x14ac:dyDescent="0.3">
      <c r="A1018">
        <v>88287</v>
      </c>
      <c r="B1018" t="s">
        <v>23</v>
      </c>
      <c r="C1018" t="s">
        <v>30</v>
      </c>
      <c r="D1018">
        <v>400</v>
      </c>
      <c r="E1018">
        <v>100</v>
      </c>
      <c r="F1018">
        <v>81.3</v>
      </c>
      <c r="G1018" t="s">
        <v>32</v>
      </c>
      <c r="H1018" s="1">
        <v>45428</v>
      </c>
      <c r="I1018" s="1">
        <v>45445</v>
      </c>
      <c r="J1018" t="s">
        <v>39</v>
      </c>
      <c r="K1018" t="b">
        <f>Table1[[#This Row],[CurrentStock]]&lt;Table1[[#This Row],[ReorderLevel]]</f>
        <v>0</v>
      </c>
      <c r="L1018" s="9">
        <f>Table1[[#This Row],[CurrentStock]]*Table1[[#This Row],[UnitPrice]]</f>
        <v>32520</v>
      </c>
      <c r="M1018" t="str">
        <f>IF(Table1[[#This Row],[ReorderLevel]]-Table1[[#This Row],[CurrentStock]]&gt;0,Table1[[#This Row],[ReorderLevel]]-Table1[[#This Row],[CurrentStock]],"")</f>
        <v/>
      </c>
      <c r="N1018" t="str">
        <f>IF(Table1[[#This Row],[CurrentStock]]&gt;Table1[[#This Row],[ReorderLevel]]*3,"Over Stock","Okay")</f>
        <v>Over Stock</v>
      </c>
      <c r="O1018" t="str">
        <f>IF(Table1[[#This Row],[CurrentStock]]&lt;Table1[[#This Row],[ReorderLevel]],"Reorder","Okay")</f>
        <v>Okay</v>
      </c>
    </row>
    <row r="1019" spans="1:15" x14ac:dyDescent="0.3">
      <c r="A1019">
        <v>30125</v>
      </c>
      <c r="B1019" t="s">
        <v>25</v>
      </c>
      <c r="C1019" t="s">
        <v>31</v>
      </c>
      <c r="D1019">
        <v>125</v>
      </c>
      <c r="E1019">
        <v>30</v>
      </c>
      <c r="F1019">
        <v>152.68</v>
      </c>
      <c r="G1019" t="s">
        <v>34</v>
      </c>
      <c r="H1019" s="1">
        <v>45628</v>
      </c>
      <c r="I1019" s="1">
        <v>45656</v>
      </c>
      <c r="J1019" t="s">
        <v>37</v>
      </c>
      <c r="K1019" t="b">
        <f>Table1[[#This Row],[CurrentStock]]&lt;Table1[[#This Row],[ReorderLevel]]</f>
        <v>0</v>
      </c>
      <c r="L1019" s="9">
        <f>Table1[[#This Row],[CurrentStock]]*Table1[[#This Row],[UnitPrice]]</f>
        <v>19085</v>
      </c>
      <c r="M1019" t="str">
        <f>IF(Table1[[#This Row],[ReorderLevel]]-Table1[[#This Row],[CurrentStock]]&gt;0,Table1[[#This Row],[ReorderLevel]]-Table1[[#This Row],[CurrentStock]],"")</f>
        <v/>
      </c>
      <c r="N1019" t="str">
        <f>IF(Table1[[#This Row],[CurrentStock]]&gt;Table1[[#This Row],[ReorderLevel]]*3,"Over Stock","Okay")</f>
        <v>Over Stock</v>
      </c>
      <c r="O1019" t="str">
        <f>IF(Table1[[#This Row],[CurrentStock]]&lt;Table1[[#This Row],[ReorderLevel]],"Reorder","Okay")</f>
        <v>Okay</v>
      </c>
    </row>
    <row r="1020" spans="1:15" x14ac:dyDescent="0.3">
      <c r="A1020">
        <v>48737</v>
      </c>
      <c r="B1020" t="s">
        <v>13</v>
      </c>
      <c r="C1020" t="s">
        <v>29</v>
      </c>
      <c r="D1020">
        <v>392</v>
      </c>
      <c r="E1020">
        <v>40</v>
      </c>
      <c r="F1020">
        <v>218.34</v>
      </c>
      <c r="G1020" t="s">
        <v>36</v>
      </c>
      <c r="H1020" s="1">
        <v>45395</v>
      </c>
      <c r="I1020" s="1">
        <v>45421</v>
      </c>
      <c r="J1020" t="s">
        <v>38</v>
      </c>
      <c r="K1020" t="b">
        <f>Table1[[#This Row],[CurrentStock]]&lt;Table1[[#This Row],[ReorderLevel]]</f>
        <v>0</v>
      </c>
      <c r="L1020" s="9">
        <f>Table1[[#This Row],[CurrentStock]]*Table1[[#This Row],[UnitPrice]]</f>
        <v>85589.28</v>
      </c>
      <c r="M1020" t="str">
        <f>IF(Table1[[#This Row],[ReorderLevel]]-Table1[[#This Row],[CurrentStock]]&gt;0,Table1[[#This Row],[ReorderLevel]]-Table1[[#This Row],[CurrentStock]],"")</f>
        <v/>
      </c>
      <c r="N1020" t="str">
        <f>IF(Table1[[#This Row],[CurrentStock]]&gt;Table1[[#This Row],[ReorderLevel]]*3,"Over Stock","Okay")</f>
        <v>Over Stock</v>
      </c>
      <c r="O1020" t="str">
        <f>IF(Table1[[#This Row],[CurrentStock]]&lt;Table1[[#This Row],[ReorderLevel]],"Reorder","Okay")</f>
        <v>Okay</v>
      </c>
    </row>
    <row r="1021" spans="1:15" x14ac:dyDescent="0.3">
      <c r="A1021">
        <v>27824</v>
      </c>
      <c r="B1021" t="s">
        <v>21</v>
      </c>
      <c r="C1021" t="s">
        <v>31</v>
      </c>
      <c r="D1021">
        <v>241</v>
      </c>
      <c r="E1021">
        <v>40</v>
      </c>
      <c r="F1021">
        <v>145.03</v>
      </c>
      <c r="G1021" t="s">
        <v>36</v>
      </c>
      <c r="H1021" s="1">
        <v>45371</v>
      </c>
      <c r="I1021" s="1">
        <v>45386</v>
      </c>
      <c r="J1021" t="s">
        <v>39</v>
      </c>
      <c r="K1021" t="b">
        <f>Table1[[#This Row],[CurrentStock]]&lt;Table1[[#This Row],[ReorderLevel]]</f>
        <v>0</v>
      </c>
      <c r="L1021" s="9">
        <f>Table1[[#This Row],[CurrentStock]]*Table1[[#This Row],[UnitPrice]]</f>
        <v>34952.230000000003</v>
      </c>
      <c r="M1021" t="str">
        <f>IF(Table1[[#This Row],[ReorderLevel]]-Table1[[#This Row],[CurrentStock]]&gt;0,Table1[[#This Row],[ReorderLevel]]-Table1[[#This Row],[CurrentStock]],"")</f>
        <v/>
      </c>
      <c r="N1021" t="str">
        <f>IF(Table1[[#This Row],[CurrentStock]]&gt;Table1[[#This Row],[ReorderLevel]]*3,"Over Stock","Okay")</f>
        <v>Over Stock</v>
      </c>
      <c r="O1021" t="str">
        <f>IF(Table1[[#This Row],[CurrentStock]]&lt;Table1[[#This Row],[ReorderLevel]],"Reorder","Okay")</f>
        <v>Okay</v>
      </c>
    </row>
    <row r="1022" spans="1:15" x14ac:dyDescent="0.3">
      <c r="A1022">
        <v>89409</v>
      </c>
      <c r="B1022" t="s">
        <v>10</v>
      </c>
      <c r="C1022" t="s">
        <v>27</v>
      </c>
      <c r="D1022">
        <v>106</v>
      </c>
      <c r="E1022">
        <v>40</v>
      </c>
      <c r="F1022">
        <v>68.650000000000006</v>
      </c>
      <c r="G1022" t="s">
        <v>35</v>
      </c>
      <c r="H1022" s="1">
        <v>45425</v>
      </c>
      <c r="I1022" s="1">
        <v>45438</v>
      </c>
      <c r="J1022" t="s">
        <v>38</v>
      </c>
      <c r="K1022" t="b">
        <f>Table1[[#This Row],[CurrentStock]]&lt;Table1[[#This Row],[ReorderLevel]]</f>
        <v>0</v>
      </c>
      <c r="L1022" s="9">
        <f>Table1[[#This Row],[CurrentStock]]*Table1[[#This Row],[UnitPrice]]</f>
        <v>7276.9000000000005</v>
      </c>
      <c r="M1022" t="str">
        <f>IF(Table1[[#This Row],[ReorderLevel]]-Table1[[#This Row],[CurrentStock]]&gt;0,Table1[[#This Row],[ReorderLevel]]-Table1[[#This Row],[CurrentStock]],"")</f>
        <v/>
      </c>
      <c r="N1022" t="str">
        <f>IF(Table1[[#This Row],[CurrentStock]]&gt;Table1[[#This Row],[ReorderLevel]]*3,"Over Stock","Okay")</f>
        <v>Okay</v>
      </c>
      <c r="O1022" t="str">
        <f>IF(Table1[[#This Row],[CurrentStock]]&lt;Table1[[#This Row],[ReorderLevel]],"Reorder","Okay")</f>
        <v>Okay</v>
      </c>
    </row>
    <row r="1023" spans="1:15" x14ac:dyDescent="0.3">
      <c r="A1023">
        <v>14311</v>
      </c>
      <c r="B1023" t="s">
        <v>22</v>
      </c>
      <c r="C1023" t="s">
        <v>27</v>
      </c>
      <c r="D1023">
        <v>53</v>
      </c>
      <c r="E1023">
        <v>100</v>
      </c>
      <c r="F1023">
        <v>254.69</v>
      </c>
      <c r="G1023" t="s">
        <v>35</v>
      </c>
      <c r="H1023" s="1">
        <v>45526</v>
      </c>
      <c r="I1023" s="1">
        <v>45533</v>
      </c>
      <c r="J1023" t="s">
        <v>37</v>
      </c>
      <c r="K1023" t="b">
        <f>Table1[[#This Row],[CurrentStock]]&lt;Table1[[#This Row],[ReorderLevel]]</f>
        <v>1</v>
      </c>
      <c r="L1023" s="9">
        <f>Table1[[#This Row],[CurrentStock]]*Table1[[#This Row],[UnitPrice]]</f>
        <v>13498.57</v>
      </c>
      <c r="M1023">
        <f>IF(Table1[[#This Row],[ReorderLevel]]-Table1[[#This Row],[CurrentStock]]&gt;0,Table1[[#This Row],[ReorderLevel]]-Table1[[#This Row],[CurrentStock]],"")</f>
        <v>47</v>
      </c>
      <c r="N1023" t="str">
        <f>IF(Table1[[#This Row],[CurrentStock]]&gt;Table1[[#This Row],[ReorderLevel]]*3,"Over Stock","Okay")</f>
        <v>Okay</v>
      </c>
      <c r="O1023" t="str">
        <f>IF(Table1[[#This Row],[CurrentStock]]&lt;Table1[[#This Row],[ReorderLevel]],"Reorder","Okay")</f>
        <v>Reorder</v>
      </c>
    </row>
    <row r="1024" spans="1:15" x14ac:dyDescent="0.3">
      <c r="A1024">
        <v>19386</v>
      </c>
      <c r="B1024" t="s">
        <v>25</v>
      </c>
      <c r="C1024" t="s">
        <v>31</v>
      </c>
      <c r="D1024">
        <v>44</v>
      </c>
      <c r="E1024">
        <v>50</v>
      </c>
      <c r="F1024">
        <v>260.49</v>
      </c>
      <c r="G1024" t="s">
        <v>34</v>
      </c>
      <c r="H1024" s="1">
        <v>45312</v>
      </c>
      <c r="I1024" s="1">
        <v>45334</v>
      </c>
      <c r="J1024" t="s">
        <v>38</v>
      </c>
      <c r="K1024" t="b">
        <f>Table1[[#This Row],[CurrentStock]]&lt;Table1[[#This Row],[ReorderLevel]]</f>
        <v>1</v>
      </c>
      <c r="L1024" s="9">
        <f>Table1[[#This Row],[CurrentStock]]*Table1[[#This Row],[UnitPrice]]</f>
        <v>11461.560000000001</v>
      </c>
      <c r="M1024">
        <f>IF(Table1[[#This Row],[ReorderLevel]]-Table1[[#This Row],[CurrentStock]]&gt;0,Table1[[#This Row],[ReorderLevel]]-Table1[[#This Row],[CurrentStock]],"")</f>
        <v>6</v>
      </c>
      <c r="N1024" t="str">
        <f>IF(Table1[[#This Row],[CurrentStock]]&gt;Table1[[#This Row],[ReorderLevel]]*3,"Over Stock","Okay")</f>
        <v>Okay</v>
      </c>
      <c r="O1024" t="str">
        <f>IF(Table1[[#This Row],[CurrentStock]]&lt;Table1[[#This Row],[ReorderLevel]],"Reorder","Okay")</f>
        <v>Reorder</v>
      </c>
    </row>
    <row r="1025" spans="1:15" x14ac:dyDescent="0.3">
      <c r="A1025">
        <v>24260</v>
      </c>
      <c r="B1025" t="s">
        <v>26</v>
      </c>
      <c r="C1025" t="s">
        <v>30</v>
      </c>
      <c r="D1025">
        <v>299</v>
      </c>
      <c r="E1025">
        <v>30</v>
      </c>
      <c r="F1025">
        <v>310.05</v>
      </c>
      <c r="G1025" t="s">
        <v>34</v>
      </c>
      <c r="H1025" s="1">
        <v>45616</v>
      </c>
      <c r="I1025" s="1">
        <v>45624</v>
      </c>
      <c r="J1025" t="s">
        <v>38</v>
      </c>
      <c r="K1025" t="b">
        <f>Table1[[#This Row],[CurrentStock]]&lt;Table1[[#This Row],[ReorderLevel]]</f>
        <v>0</v>
      </c>
      <c r="L1025" s="9">
        <f>Table1[[#This Row],[CurrentStock]]*Table1[[#This Row],[UnitPrice]]</f>
        <v>92704.95</v>
      </c>
      <c r="M1025" t="str">
        <f>IF(Table1[[#This Row],[ReorderLevel]]-Table1[[#This Row],[CurrentStock]]&gt;0,Table1[[#This Row],[ReorderLevel]]-Table1[[#This Row],[CurrentStock]],"")</f>
        <v/>
      </c>
      <c r="N1025" t="str">
        <f>IF(Table1[[#This Row],[CurrentStock]]&gt;Table1[[#This Row],[ReorderLevel]]*3,"Over Stock","Okay")</f>
        <v>Over Stock</v>
      </c>
      <c r="O1025" t="str">
        <f>IF(Table1[[#This Row],[CurrentStock]]&lt;Table1[[#This Row],[ReorderLevel]],"Reorder","Okay")</f>
        <v>Okay</v>
      </c>
    </row>
    <row r="1026" spans="1:15" x14ac:dyDescent="0.3">
      <c r="A1026">
        <v>12176</v>
      </c>
      <c r="B1026" t="s">
        <v>17</v>
      </c>
      <c r="C1026" t="s">
        <v>30</v>
      </c>
      <c r="D1026">
        <v>78</v>
      </c>
      <c r="E1026">
        <v>20</v>
      </c>
      <c r="F1026">
        <v>368.44</v>
      </c>
      <c r="G1026" t="s">
        <v>32</v>
      </c>
      <c r="H1026" s="1">
        <v>45365</v>
      </c>
      <c r="I1026" s="1">
        <v>45392</v>
      </c>
      <c r="J1026" t="s">
        <v>37</v>
      </c>
      <c r="K1026" t="b">
        <f>Table1[[#This Row],[CurrentStock]]&lt;Table1[[#This Row],[ReorderLevel]]</f>
        <v>0</v>
      </c>
      <c r="L1026" s="9">
        <f>Table1[[#This Row],[CurrentStock]]*Table1[[#This Row],[UnitPrice]]</f>
        <v>28738.32</v>
      </c>
      <c r="M1026" t="str">
        <f>IF(Table1[[#This Row],[ReorderLevel]]-Table1[[#This Row],[CurrentStock]]&gt;0,Table1[[#This Row],[ReorderLevel]]-Table1[[#This Row],[CurrentStock]],"")</f>
        <v/>
      </c>
      <c r="N1026" t="str">
        <f>IF(Table1[[#This Row],[CurrentStock]]&gt;Table1[[#This Row],[ReorderLevel]]*3,"Over Stock","Okay")</f>
        <v>Over Stock</v>
      </c>
      <c r="O1026" t="str">
        <f>IF(Table1[[#This Row],[CurrentStock]]&lt;Table1[[#This Row],[ReorderLevel]],"Reorder","Okay")</f>
        <v>Okay</v>
      </c>
    </row>
    <row r="1027" spans="1:15" x14ac:dyDescent="0.3">
      <c r="A1027">
        <v>59752</v>
      </c>
      <c r="B1027" t="s">
        <v>25</v>
      </c>
      <c r="C1027" t="s">
        <v>31</v>
      </c>
      <c r="D1027">
        <v>58</v>
      </c>
      <c r="E1027">
        <v>50</v>
      </c>
      <c r="F1027">
        <v>422.26</v>
      </c>
      <c r="G1027" t="s">
        <v>35</v>
      </c>
      <c r="H1027" s="1">
        <v>45358</v>
      </c>
      <c r="I1027" s="1">
        <v>45381</v>
      </c>
      <c r="J1027" t="s">
        <v>37</v>
      </c>
      <c r="K1027" t="b">
        <f>Table1[[#This Row],[CurrentStock]]&lt;Table1[[#This Row],[ReorderLevel]]</f>
        <v>0</v>
      </c>
      <c r="L1027" s="9">
        <f>Table1[[#This Row],[CurrentStock]]*Table1[[#This Row],[UnitPrice]]</f>
        <v>24491.079999999998</v>
      </c>
      <c r="M1027" t="str">
        <f>IF(Table1[[#This Row],[ReorderLevel]]-Table1[[#This Row],[CurrentStock]]&gt;0,Table1[[#This Row],[ReorderLevel]]-Table1[[#This Row],[CurrentStock]],"")</f>
        <v/>
      </c>
      <c r="N1027" t="str">
        <f>IF(Table1[[#This Row],[CurrentStock]]&gt;Table1[[#This Row],[ReorderLevel]]*3,"Over Stock","Okay")</f>
        <v>Okay</v>
      </c>
      <c r="O1027" t="str">
        <f>IF(Table1[[#This Row],[CurrentStock]]&lt;Table1[[#This Row],[ReorderLevel]],"Reorder","Okay")</f>
        <v>Okay</v>
      </c>
    </row>
    <row r="1028" spans="1:15" x14ac:dyDescent="0.3">
      <c r="A1028">
        <v>14482</v>
      </c>
      <c r="B1028" t="s">
        <v>23</v>
      </c>
      <c r="C1028" t="s">
        <v>30</v>
      </c>
      <c r="D1028">
        <v>345</v>
      </c>
      <c r="E1028">
        <v>50</v>
      </c>
      <c r="F1028">
        <v>228.1</v>
      </c>
      <c r="G1028" t="s">
        <v>36</v>
      </c>
      <c r="H1028" s="1">
        <v>45510</v>
      </c>
      <c r="I1028" s="1">
        <v>45547</v>
      </c>
      <c r="J1028" t="s">
        <v>37</v>
      </c>
      <c r="K1028" t="b">
        <f>Table1[[#This Row],[CurrentStock]]&lt;Table1[[#This Row],[ReorderLevel]]</f>
        <v>0</v>
      </c>
      <c r="L1028" s="9">
        <f>Table1[[#This Row],[CurrentStock]]*Table1[[#This Row],[UnitPrice]]</f>
        <v>78694.5</v>
      </c>
      <c r="M1028" t="str">
        <f>IF(Table1[[#This Row],[ReorderLevel]]-Table1[[#This Row],[CurrentStock]]&gt;0,Table1[[#This Row],[ReorderLevel]]-Table1[[#This Row],[CurrentStock]],"")</f>
        <v/>
      </c>
      <c r="N1028" t="str">
        <f>IF(Table1[[#This Row],[CurrentStock]]&gt;Table1[[#This Row],[ReorderLevel]]*3,"Over Stock","Okay")</f>
        <v>Over Stock</v>
      </c>
      <c r="O1028" t="str">
        <f>IF(Table1[[#This Row],[CurrentStock]]&lt;Table1[[#This Row],[ReorderLevel]],"Reorder","Okay")</f>
        <v>Okay</v>
      </c>
    </row>
    <row r="1029" spans="1:15" x14ac:dyDescent="0.3">
      <c r="A1029">
        <v>32821</v>
      </c>
      <c r="B1029" t="s">
        <v>10</v>
      </c>
      <c r="C1029" t="s">
        <v>27</v>
      </c>
      <c r="D1029">
        <v>228</v>
      </c>
      <c r="E1029">
        <v>40</v>
      </c>
      <c r="F1029">
        <v>101.58</v>
      </c>
      <c r="G1029" t="s">
        <v>32</v>
      </c>
      <c r="H1029" s="1">
        <v>45573</v>
      </c>
      <c r="I1029" s="1">
        <v>45612</v>
      </c>
      <c r="J1029" t="s">
        <v>37</v>
      </c>
      <c r="K1029" t="b">
        <f>Table1[[#This Row],[CurrentStock]]&lt;Table1[[#This Row],[ReorderLevel]]</f>
        <v>0</v>
      </c>
      <c r="L1029" s="9">
        <f>Table1[[#This Row],[CurrentStock]]*Table1[[#This Row],[UnitPrice]]</f>
        <v>23160.239999999998</v>
      </c>
      <c r="M1029" t="str">
        <f>IF(Table1[[#This Row],[ReorderLevel]]-Table1[[#This Row],[CurrentStock]]&gt;0,Table1[[#This Row],[ReorderLevel]]-Table1[[#This Row],[CurrentStock]],"")</f>
        <v/>
      </c>
      <c r="N1029" t="str">
        <f>IF(Table1[[#This Row],[CurrentStock]]&gt;Table1[[#This Row],[ReorderLevel]]*3,"Over Stock","Okay")</f>
        <v>Over Stock</v>
      </c>
      <c r="O1029" t="str">
        <f>IF(Table1[[#This Row],[CurrentStock]]&lt;Table1[[#This Row],[ReorderLevel]],"Reorder","Okay")</f>
        <v>Okay</v>
      </c>
    </row>
    <row r="1030" spans="1:15" x14ac:dyDescent="0.3">
      <c r="A1030">
        <v>95677</v>
      </c>
      <c r="B1030" t="s">
        <v>16</v>
      </c>
      <c r="C1030" t="s">
        <v>30</v>
      </c>
      <c r="D1030">
        <v>246</v>
      </c>
      <c r="E1030">
        <v>50</v>
      </c>
      <c r="F1030">
        <v>491.95</v>
      </c>
      <c r="G1030" t="s">
        <v>35</v>
      </c>
      <c r="H1030" s="1">
        <v>45535</v>
      </c>
      <c r="I1030" s="1">
        <v>45558</v>
      </c>
      <c r="J1030" t="s">
        <v>39</v>
      </c>
      <c r="K1030" t="b">
        <f>Table1[[#This Row],[CurrentStock]]&lt;Table1[[#This Row],[ReorderLevel]]</f>
        <v>0</v>
      </c>
      <c r="L1030" s="9">
        <f>Table1[[#This Row],[CurrentStock]]*Table1[[#This Row],[UnitPrice]]</f>
        <v>121019.7</v>
      </c>
      <c r="M1030" t="str">
        <f>IF(Table1[[#This Row],[ReorderLevel]]-Table1[[#This Row],[CurrentStock]]&gt;0,Table1[[#This Row],[ReorderLevel]]-Table1[[#This Row],[CurrentStock]],"")</f>
        <v/>
      </c>
      <c r="N1030" t="str">
        <f>IF(Table1[[#This Row],[CurrentStock]]&gt;Table1[[#This Row],[ReorderLevel]]*3,"Over Stock","Okay")</f>
        <v>Over Stock</v>
      </c>
      <c r="O1030" t="str">
        <f>IF(Table1[[#This Row],[CurrentStock]]&lt;Table1[[#This Row],[ReorderLevel]],"Reorder","Okay")</f>
        <v>Okay</v>
      </c>
    </row>
    <row r="1031" spans="1:15" x14ac:dyDescent="0.3">
      <c r="A1031">
        <v>39669</v>
      </c>
      <c r="B1031" t="s">
        <v>18</v>
      </c>
      <c r="C1031" t="s">
        <v>28</v>
      </c>
      <c r="D1031">
        <v>378</v>
      </c>
      <c r="E1031">
        <v>100</v>
      </c>
      <c r="F1031">
        <v>451.22</v>
      </c>
      <c r="G1031" t="s">
        <v>35</v>
      </c>
      <c r="H1031" s="1">
        <v>45644</v>
      </c>
      <c r="I1031" s="1">
        <v>45661</v>
      </c>
      <c r="J1031" t="s">
        <v>38</v>
      </c>
      <c r="K1031" t="b">
        <f>Table1[[#This Row],[CurrentStock]]&lt;Table1[[#This Row],[ReorderLevel]]</f>
        <v>0</v>
      </c>
      <c r="L1031" s="9">
        <f>Table1[[#This Row],[CurrentStock]]*Table1[[#This Row],[UnitPrice]]</f>
        <v>170561.16</v>
      </c>
      <c r="M1031" t="str">
        <f>IF(Table1[[#This Row],[ReorderLevel]]-Table1[[#This Row],[CurrentStock]]&gt;0,Table1[[#This Row],[ReorderLevel]]-Table1[[#This Row],[CurrentStock]],"")</f>
        <v/>
      </c>
      <c r="N1031" t="str">
        <f>IF(Table1[[#This Row],[CurrentStock]]&gt;Table1[[#This Row],[ReorderLevel]]*3,"Over Stock","Okay")</f>
        <v>Over Stock</v>
      </c>
      <c r="O1031" t="str">
        <f>IF(Table1[[#This Row],[CurrentStock]]&lt;Table1[[#This Row],[ReorderLevel]],"Reorder","Okay")</f>
        <v>Okay</v>
      </c>
    </row>
    <row r="1032" spans="1:15" x14ac:dyDescent="0.3">
      <c r="A1032">
        <v>46943</v>
      </c>
      <c r="B1032" t="s">
        <v>15</v>
      </c>
      <c r="C1032" t="s">
        <v>29</v>
      </c>
      <c r="D1032">
        <v>422</v>
      </c>
      <c r="E1032">
        <v>20</v>
      </c>
      <c r="F1032">
        <v>149.25</v>
      </c>
      <c r="G1032" t="s">
        <v>35</v>
      </c>
      <c r="H1032" s="1">
        <v>45616</v>
      </c>
      <c r="I1032" s="1">
        <v>45626</v>
      </c>
      <c r="J1032" t="s">
        <v>39</v>
      </c>
      <c r="K1032" t="b">
        <f>Table1[[#This Row],[CurrentStock]]&lt;Table1[[#This Row],[ReorderLevel]]</f>
        <v>0</v>
      </c>
      <c r="L1032" s="9">
        <f>Table1[[#This Row],[CurrentStock]]*Table1[[#This Row],[UnitPrice]]</f>
        <v>62983.5</v>
      </c>
      <c r="M1032" t="str">
        <f>IF(Table1[[#This Row],[ReorderLevel]]-Table1[[#This Row],[CurrentStock]]&gt;0,Table1[[#This Row],[ReorderLevel]]-Table1[[#This Row],[CurrentStock]],"")</f>
        <v/>
      </c>
      <c r="N1032" t="str">
        <f>IF(Table1[[#This Row],[CurrentStock]]&gt;Table1[[#This Row],[ReorderLevel]]*3,"Over Stock","Okay")</f>
        <v>Over Stock</v>
      </c>
      <c r="O1032" t="str">
        <f>IF(Table1[[#This Row],[CurrentStock]]&lt;Table1[[#This Row],[ReorderLevel]],"Reorder","Okay")</f>
        <v>Okay</v>
      </c>
    </row>
    <row r="1033" spans="1:15" x14ac:dyDescent="0.3">
      <c r="A1033">
        <v>63836</v>
      </c>
      <c r="B1033" t="s">
        <v>18</v>
      </c>
      <c r="C1033" t="s">
        <v>28</v>
      </c>
      <c r="D1033">
        <v>51</v>
      </c>
      <c r="E1033">
        <v>30</v>
      </c>
      <c r="F1033">
        <v>74.38</v>
      </c>
      <c r="G1033" t="s">
        <v>32</v>
      </c>
      <c r="H1033" s="1">
        <v>45332</v>
      </c>
      <c r="I1033" s="1">
        <v>45367</v>
      </c>
      <c r="J1033" t="s">
        <v>38</v>
      </c>
      <c r="K1033" t="b">
        <f>Table1[[#This Row],[CurrentStock]]&lt;Table1[[#This Row],[ReorderLevel]]</f>
        <v>0</v>
      </c>
      <c r="L1033" s="9">
        <f>Table1[[#This Row],[CurrentStock]]*Table1[[#This Row],[UnitPrice]]</f>
        <v>3793.3799999999997</v>
      </c>
      <c r="M1033" t="str">
        <f>IF(Table1[[#This Row],[ReorderLevel]]-Table1[[#This Row],[CurrentStock]]&gt;0,Table1[[#This Row],[ReorderLevel]]-Table1[[#This Row],[CurrentStock]],"")</f>
        <v/>
      </c>
      <c r="N1033" t="str">
        <f>IF(Table1[[#This Row],[CurrentStock]]&gt;Table1[[#This Row],[ReorderLevel]]*3,"Over Stock","Okay")</f>
        <v>Okay</v>
      </c>
      <c r="O1033" t="str">
        <f>IF(Table1[[#This Row],[CurrentStock]]&lt;Table1[[#This Row],[ReorderLevel]],"Reorder","Okay")</f>
        <v>Okay</v>
      </c>
    </row>
    <row r="1034" spans="1:15" x14ac:dyDescent="0.3">
      <c r="A1034">
        <v>53744</v>
      </c>
      <c r="B1034" t="s">
        <v>21</v>
      </c>
      <c r="C1034" t="s">
        <v>31</v>
      </c>
      <c r="D1034">
        <v>432</v>
      </c>
      <c r="E1034">
        <v>50</v>
      </c>
      <c r="F1034">
        <v>45.12</v>
      </c>
      <c r="G1034" t="s">
        <v>33</v>
      </c>
      <c r="H1034" s="1">
        <v>45400</v>
      </c>
      <c r="I1034" s="1">
        <v>45436</v>
      </c>
      <c r="J1034" t="s">
        <v>37</v>
      </c>
      <c r="K1034" t="b">
        <f>Table1[[#This Row],[CurrentStock]]&lt;Table1[[#This Row],[ReorderLevel]]</f>
        <v>0</v>
      </c>
      <c r="L1034" s="9">
        <f>Table1[[#This Row],[CurrentStock]]*Table1[[#This Row],[UnitPrice]]</f>
        <v>19491.84</v>
      </c>
      <c r="M1034" t="str">
        <f>IF(Table1[[#This Row],[ReorderLevel]]-Table1[[#This Row],[CurrentStock]]&gt;0,Table1[[#This Row],[ReorderLevel]]-Table1[[#This Row],[CurrentStock]],"")</f>
        <v/>
      </c>
      <c r="N1034" t="str">
        <f>IF(Table1[[#This Row],[CurrentStock]]&gt;Table1[[#This Row],[ReorderLevel]]*3,"Over Stock","Okay")</f>
        <v>Over Stock</v>
      </c>
      <c r="O1034" t="str">
        <f>IF(Table1[[#This Row],[CurrentStock]]&lt;Table1[[#This Row],[ReorderLevel]],"Reorder","Okay")</f>
        <v>Okay</v>
      </c>
    </row>
    <row r="1035" spans="1:15" x14ac:dyDescent="0.3">
      <c r="A1035">
        <v>16806</v>
      </c>
      <c r="B1035" t="s">
        <v>17</v>
      </c>
      <c r="C1035" t="s">
        <v>30</v>
      </c>
      <c r="D1035">
        <v>66</v>
      </c>
      <c r="E1035">
        <v>80</v>
      </c>
      <c r="F1035">
        <v>404.7</v>
      </c>
      <c r="G1035" t="s">
        <v>34</v>
      </c>
      <c r="H1035" s="1">
        <v>45482</v>
      </c>
      <c r="I1035" s="1">
        <v>45508</v>
      </c>
      <c r="J1035" t="s">
        <v>39</v>
      </c>
      <c r="K1035" t="b">
        <f>Table1[[#This Row],[CurrentStock]]&lt;Table1[[#This Row],[ReorderLevel]]</f>
        <v>1</v>
      </c>
      <c r="L1035" s="9">
        <f>Table1[[#This Row],[CurrentStock]]*Table1[[#This Row],[UnitPrice]]</f>
        <v>26710.2</v>
      </c>
      <c r="M1035">
        <f>IF(Table1[[#This Row],[ReorderLevel]]-Table1[[#This Row],[CurrentStock]]&gt;0,Table1[[#This Row],[ReorderLevel]]-Table1[[#This Row],[CurrentStock]],"")</f>
        <v>14</v>
      </c>
      <c r="N1035" t="str">
        <f>IF(Table1[[#This Row],[CurrentStock]]&gt;Table1[[#This Row],[ReorderLevel]]*3,"Over Stock","Okay")</f>
        <v>Okay</v>
      </c>
      <c r="O1035" t="str">
        <f>IF(Table1[[#This Row],[CurrentStock]]&lt;Table1[[#This Row],[ReorderLevel]],"Reorder","Okay")</f>
        <v>Reorder</v>
      </c>
    </row>
    <row r="1036" spans="1:15" x14ac:dyDescent="0.3">
      <c r="A1036">
        <v>68830</v>
      </c>
      <c r="B1036" t="s">
        <v>16</v>
      </c>
      <c r="C1036" t="s">
        <v>30</v>
      </c>
      <c r="D1036">
        <v>96</v>
      </c>
      <c r="E1036">
        <v>80</v>
      </c>
      <c r="F1036">
        <v>434.2</v>
      </c>
      <c r="G1036" t="s">
        <v>34</v>
      </c>
      <c r="H1036" s="1">
        <v>45416</v>
      </c>
      <c r="I1036" s="1">
        <v>45428</v>
      </c>
      <c r="J1036" t="s">
        <v>39</v>
      </c>
      <c r="K1036" t="b">
        <f>Table1[[#This Row],[CurrentStock]]&lt;Table1[[#This Row],[ReorderLevel]]</f>
        <v>0</v>
      </c>
      <c r="L1036" s="9">
        <f>Table1[[#This Row],[CurrentStock]]*Table1[[#This Row],[UnitPrice]]</f>
        <v>41683.199999999997</v>
      </c>
      <c r="M1036" t="str">
        <f>IF(Table1[[#This Row],[ReorderLevel]]-Table1[[#This Row],[CurrentStock]]&gt;0,Table1[[#This Row],[ReorderLevel]]-Table1[[#This Row],[CurrentStock]],"")</f>
        <v/>
      </c>
      <c r="N1036" t="str">
        <f>IF(Table1[[#This Row],[CurrentStock]]&gt;Table1[[#This Row],[ReorderLevel]]*3,"Over Stock","Okay")</f>
        <v>Okay</v>
      </c>
      <c r="O1036" t="str">
        <f>IF(Table1[[#This Row],[CurrentStock]]&lt;Table1[[#This Row],[ReorderLevel]],"Reorder","Okay")</f>
        <v>Okay</v>
      </c>
    </row>
    <row r="1037" spans="1:15" x14ac:dyDescent="0.3">
      <c r="A1037">
        <v>21136</v>
      </c>
      <c r="B1037" t="s">
        <v>26</v>
      </c>
      <c r="C1037" t="s">
        <v>30</v>
      </c>
      <c r="D1037">
        <v>120</v>
      </c>
      <c r="E1037">
        <v>80</v>
      </c>
      <c r="F1037">
        <v>397.23</v>
      </c>
      <c r="G1037" t="s">
        <v>34</v>
      </c>
      <c r="H1037" s="1">
        <v>45413</v>
      </c>
      <c r="I1037" s="1">
        <v>45443</v>
      </c>
      <c r="J1037" t="s">
        <v>38</v>
      </c>
      <c r="K1037" t="b">
        <f>Table1[[#This Row],[CurrentStock]]&lt;Table1[[#This Row],[ReorderLevel]]</f>
        <v>0</v>
      </c>
      <c r="L1037" s="9">
        <f>Table1[[#This Row],[CurrentStock]]*Table1[[#This Row],[UnitPrice]]</f>
        <v>47667.600000000006</v>
      </c>
      <c r="M1037" t="str">
        <f>IF(Table1[[#This Row],[ReorderLevel]]-Table1[[#This Row],[CurrentStock]]&gt;0,Table1[[#This Row],[ReorderLevel]]-Table1[[#This Row],[CurrentStock]],"")</f>
        <v/>
      </c>
      <c r="N1037" t="str">
        <f>IF(Table1[[#This Row],[CurrentStock]]&gt;Table1[[#This Row],[ReorderLevel]]*3,"Over Stock","Okay")</f>
        <v>Okay</v>
      </c>
      <c r="O1037" t="str">
        <f>IF(Table1[[#This Row],[CurrentStock]]&lt;Table1[[#This Row],[ReorderLevel]],"Reorder","Okay")</f>
        <v>Okay</v>
      </c>
    </row>
    <row r="1038" spans="1:15" x14ac:dyDescent="0.3">
      <c r="A1038">
        <v>15206</v>
      </c>
      <c r="B1038" t="s">
        <v>24</v>
      </c>
      <c r="C1038" t="s">
        <v>31</v>
      </c>
      <c r="D1038">
        <v>288</v>
      </c>
      <c r="E1038">
        <v>50</v>
      </c>
      <c r="F1038">
        <v>116.06</v>
      </c>
      <c r="G1038" t="s">
        <v>33</v>
      </c>
      <c r="H1038" s="1">
        <v>45464</v>
      </c>
      <c r="I1038" s="1">
        <v>45494</v>
      </c>
      <c r="J1038" t="s">
        <v>39</v>
      </c>
      <c r="K1038" t="b">
        <f>Table1[[#This Row],[CurrentStock]]&lt;Table1[[#This Row],[ReorderLevel]]</f>
        <v>0</v>
      </c>
      <c r="L1038" s="9">
        <f>Table1[[#This Row],[CurrentStock]]*Table1[[#This Row],[UnitPrice]]</f>
        <v>33425.279999999999</v>
      </c>
      <c r="M1038" t="str">
        <f>IF(Table1[[#This Row],[ReorderLevel]]-Table1[[#This Row],[CurrentStock]]&gt;0,Table1[[#This Row],[ReorderLevel]]-Table1[[#This Row],[CurrentStock]],"")</f>
        <v/>
      </c>
      <c r="N1038" t="str">
        <f>IF(Table1[[#This Row],[CurrentStock]]&gt;Table1[[#This Row],[ReorderLevel]]*3,"Over Stock","Okay")</f>
        <v>Over Stock</v>
      </c>
      <c r="O1038" t="str">
        <f>IF(Table1[[#This Row],[CurrentStock]]&lt;Table1[[#This Row],[ReorderLevel]],"Reorder","Okay")</f>
        <v>Okay</v>
      </c>
    </row>
    <row r="1039" spans="1:15" x14ac:dyDescent="0.3">
      <c r="A1039">
        <v>56728</v>
      </c>
      <c r="B1039" t="s">
        <v>14</v>
      </c>
      <c r="C1039" t="s">
        <v>27</v>
      </c>
      <c r="D1039">
        <v>11</v>
      </c>
      <c r="E1039">
        <v>20</v>
      </c>
      <c r="F1039">
        <v>394.55</v>
      </c>
      <c r="G1039" t="s">
        <v>33</v>
      </c>
      <c r="H1039" s="1">
        <v>45422</v>
      </c>
      <c r="I1039" s="1">
        <v>45452</v>
      </c>
      <c r="J1039" t="s">
        <v>38</v>
      </c>
      <c r="K1039" t="b">
        <f>Table1[[#This Row],[CurrentStock]]&lt;Table1[[#This Row],[ReorderLevel]]</f>
        <v>1</v>
      </c>
      <c r="L1039" s="9">
        <f>Table1[[#This Row],[CurrentStock]]*Table1[[#This Row],[UnitPrice]]</f>
        <v>4340.05</v>
      </c>
      <c r="M1039">
        <f>IF(Table1[[#This Row],[ReorderLevel]]-Table1[[#This Row],[CurrentStock]]&gt;0,Table1[[#This Row],[ReorderLevel]]-Table1[[#This Row],[CurrentStock]],"")</f>
        <v>9</v>
      </c>
      <c r="N1039" t="str">
        <f>IF(Table1[[#This Row],[CurrentStock]]&gt;Table1[[#This Row],[ReorderLevel]]*3,"Over Stock","Okay")</f>
        <v>Okay</v>
      </c>
      <c r="O1039" t="str">
        <f>IF(Table1[[#This Row],[CurrentStock]]&lt;Table1[[#This Row],[ReorderLevel]],"Reorder","Okay")</f>
        <v>Reorder</v>
      </c>
    </row>
    <row r="1040" spans="1:15" x14ac:dyDescent="0.3">
      <c r="A1040">
        <v>87256</v>
      </c>
      <c r="B1040" t="s">
        <v>21</v>
      </c>
      <c r="C1040" t="s">
        <v>31</v>
      </c>
      <c r="D1040">
        <v>380</v>
      </c>
      <c r="E1040">
        <v>40</v>
      </c>
      <c r="F1040">
        <v>363.08</v>
      </c>
      <c r="G1040" t="s">
        <v>36</v>
      </c>
      <c r="H1040" s="1">
        <v>45533</v>
      </c>
      <c r="I1040" s="1">
        <v>45561</v>
      </c>
      <c r="J1040" t="s">
        <v>39</v>
      </c>
      <c r="K1040" t="b">
        <f>Table1[[#This Row],[CurrentStock]]&lt;Table1[[#This Row],[ReorderLevel]]</f>
        <v>0</v>
      </c>
      <c r="L1040" s="9">
        <f>Table1[[#This Row],[CurrentStock]]*Table1[[#This Row],[UnitPrice]]</f>
        <v>137970.4</v>
      </c>
      <c r="M1040" t="str">
        <f>IF(Table1[[#This Row],[ReorderLevel]]-Table1[[#This Row],[CurrentStock]]&gt;0,Table1[[#This Row],[ReorderLevel]]-Table1[[#This Row],[CurrentStock]],"")</f>
        <v/>
      </c>
      <c r="N1040" t="str">
        <f>IF(Table1[[#This Row],[CurrentStock]]&gt;Table1[[#This Row],[ReorderLevel]]*3,"Over Stock","Okay")</f>
        <v>Over Stock</v>
      </c>
      <c r="O1040" t="str">
        <f>IF(Table1[[#This Row],[CurrentStock]]&lt;Table1[[#This Row],[ReorderLevel]],"Reorder","Okay")</f>
        <v>Okay</v>
      </c>
    </row>
    <row r="1041" spans="1:15" x14ac:dyDescent="0.3">
      <c r="A1041">
        <v>86772</v>
      </c>
      <c r="B1041" t="s">
        <v>16</v>
      </c>
      <c r="C1041" t="s">
        <v>30</v>
      </c>
      <c r="D1041">
        <v>88</v>
      </c>
      <c r="E1041">
        <v>150</v>
      </c>
      <c r="F1041">
        <v>78.569999999999993</v>
      </c>
      <c r="G1041" t="s">
        <v>35</v>
      </c>
      <c r="H1041" s="1">
        <v>45376</v>
      </c>
      <c r="I1041" s="1">
        <v>45400</v>
      </c>
      <c r="J1041" t="s">
        <v>37</v>
      </c>
      <c r="K1041" t="b">
        <f>Table1[[#This Row],[CurrentStock]]&lt;Table1[[#This Row],[ReorderLevel]]</f>
        <v>1</v>
      </c>
      <c r="L1041" s="9">
        <f>Table1[[#This Row],[CurrentStock]]*Table1[[#This Row],[UnitPrice]]</f>
        <v>6914.16</v>
      </c>
      <c r="M1041">
        <f>IF(Table1[[#This Row],[ReorderLevel]]-Table1[[#This Row],[CurrentStock]]&gt;0,Table1[[#This Row],[ReorderLevel]]-Table1[[#This Row],[CurrentStock]],"")</f>
        <v>62</v>
      </c>
      <c r="N1041" t="str">
        <f>IF(Table1[[#This Row],[CurrentStock]]&gt;Table1[[#This Row],[ReorderLevel]]*3,"Over Stock","Okay")</f>
        <v>Okay</v>
      </c>
      <c r="O1041" t="str">
        <f>IF(Table1[[#This Row],[CurrentStock]]&lt;Table1[[#This Row],[ReorderLevel]],"Reorder","Okay")</f>
        <v>Reorder</v>
      </c>
    </row>
    <row r="1042" spans="1:15" x14ac:dyDescent="0.3">
      <c r="A1042">
        <v>78112</v>
      </c>
      <c r="B1042" t="s">
        <v>18</v>
      </c>
      <c r="C1042" t="s">
        <v>28</v>
      </c>
      <c r="D1042">
        <v>257</v>
      </c>
      <c r="E1042">
        <v>40</v>
      </c>
      <c r="F1042">
        <v>297.5</v>
      </c>
      <c r="G1042" t="s">
        <v>34</v>
      </c>
      <c r="H1042" s="1">
        <v>45524</v>
      </c>
      <c r="I1042" s="1">
        <v>45557</v>
      </c>
      <c r="J1042" t="s">
        <v>37</v>
      </c>
      <c r="K1042" t="b">
        <f>Table1[[#This Row],[CurrentStock]]&lt;Table1[[#This Row],[ReorderLevel]]</f>
        <v>0</v>
      </c>
      <c r="L1042" s="9">
        <f>Table1[[#This Row],[CurrentStock]]*Table1[[#This Row],[UnitPrice]]</f>
        <v>76457.5</v>
      </c>
      <c r="M1042" t="str">
        <f>IF(Table1[[#This Row],[ReorderLevel]]-Table1[[#This Row],[CurrentStock]]&gt;0,Table1[[#This Row],[ReorderLevel]]-Table1[[#This Row],[CurrentStock]],"")</f>
        <v/>
      </c>
      <c r="N1042" t="str">
        <f>IF(Table1[[#This Row],[CurrentStock]]&gt;Table1[[#This Row],[ReorderLevel]]*3,"Over Stock","Okay")</f>
        <v>Over Stock</v>
      </c>
      <c r="O1042" t="str">
        <f>IF(Table1[[#This Row],[CurrentStock]]&lt;Table1[[#This Row],[ReorderLevel]],"Reorder","Okay")</f>
        <v>Okay</v>
      </c>
    </row>
    <row r="1043" spans="1:15" x14ac:dyDescent="0.3">
      <c r="A1043">
        <v>14535</v>
      </c>
      <c r="B1043" t="s">
        <v>14</v>
      </c>
      <c r="C1043" t="s">
        <v>27</v>
      </c>
      <c r="D1043">
        <v>83</v>
      </c>
      <c r="E1043">
        <v>40</v>
      </c>
      <c r="F1043">
        <v>57.11</v>
      </c>
      <c r="G1043" t="s">
        <v>34</v>
      </c>
      <c r="H1043" s="1">
        <v>45629</v>
      </c>
      <c r="I1043" s="1">
        <v>45659</v>
      </c>
      <c r="J1043" t="s">
        <v>37</v>
      </c>
      <c r="K1043" t="b">
        <f>Table1[[#This Row],[CurrentStock]]&lt;Table1[[#This Row],[ReorderLevel]]</f>
        <v>0</v>
      </c>
      <c r="L1043" s="9">
        <f>Table1[[#This Row],[CurrentStock]]*Table1[[#This Row],[UnitPrice]]</f>
        <v>4740.13</v>
      </c>
      <c r="M1043" t="str">
        <f>IF(Table1[[#This Row],[ReorderLevel]]-Table1[[#This Row],[CurrentStock]]&gt;0,Table1[[#This Row],[ReorderLevel]]-Table1[[#This Row],[CurrentStock]],"")</f>
        <v/>
      </c>
      <c r="N1043" t="str">
        <f>IF(Table1[[#This Row],[CurrentStock]]&gt;Table1[[#This Row],[ReorderLevel]]*3,"Over Stock","Okay")</f>
        <v>Okay</v>
      </c>
      <c r="O1043" t="str">
        <f>IF(Table1[[#This Row],[CurrentStock]]&lt;Table1[[#This Row],[ReorderLevel]],"Reorder","Okay")</f>
        <v>Okay</v>
      </c>
    </row>
    <row r="1044" spans="1:15" x14ac:dyDescent="0.3">
      <c r="A1044">
        <v>93583</v>
      </c>
      <c r="B1044" t="s">
        <v>26</v>
      </c>
      <c r="C1044" t="s">
        <v>30</v>
      </c>
      <c r="D1044">
        <v>120</v>
      </c>
      <c r="E1044">
        <v>20</v>
      </c>
      <c r="F1044">
        <v>273.57</v>
      </c>
      <c r="G1044" t="s">
        <v>33</v>
      </c>
      <c r="H1044" s="1">
        <v>45295</v>
      </c>
      <c r="I1044" s="1">
        <v>45321</v>
      </c>
      <c r="J1044" t="s">
        <v>39</v>
      </c>
      <c r="K1044" t="b">
        <f>Table1[[#This Row],[CurrentStock]]&lt;Table1[[#This Row],[ReorderLevel]]</f>
        <v>0</v>
      </c>
      <c r="L1044" s="9">
        <f>Table1[[#This Row],[CurrentStock]]*Table1[[#This Row],[UnitPrice]]</f>
        <v>32828.400000000001</v>
      </c>
      <c r="M1044" t="str">
        <f>IF(Table1[[#This Row],[ReorderLevel]]-Table1[[#This Row],[CurrentStock]]&gt;0,Table1[[#This Row],[ReorderLevel]]-Table1[[#This Row],[CurrentStock]],"")</f>
        <v/>
      </c>
      <c r="N1044" t="str">
        <f>IF(Table1[[#This Row],[CurrentStock]]&gt;Table1[[#This Row],[ReorderLevel]]*3,"Over Stock","Okay")</f>
        <v>Over Stock</v>
      </c>
      <c r="O1044" t="str">
        <f>IF(Table1[[#This Row],[CurrentStock]]&lt;Table1[[#This Row],[ReorderLevel]],"Reorder","Okay")</f>
        <v>Okay</v>
      </c>
    </row>
    <row r="1045" spans="1:15" x14ac:dyDescent="0.3">
      <c r="A1045">
        <v>53351</v>
      </c>
      <c r="B1045" t="s">
        <v>20</v>
      </c>
      <c r="C1045" t="s">
        <v>29</v>
      </c>
      <c r="D1045">
        <v>479</v>
      </c>
      <c r="E1045">
        <v>150</v>
      </c>
      <c r="F1045">
        <v>361.71</v>
      </c>
      <c r="G1045" t="s">
        <v>35</v>
      </c>
      <c r="H1045" s="1">
        <v>45559</v>
      </c>
      <c r="I1045" s="1">
        <v>45574</v>
      </c>
      <c r="J1045" t="s">
        <v>39</v>
      </c>
      <c r="K1045" t="b">
        <f>Table1[[#This Row],[CurrentStock]]&lt;Table1[[#This Row],[ReorderLevel]]</f>
        <v>0</v>
      </c>
      <c r="L1045" s="9">
        <f>Table1[[#This Row],[CurrentStock]]*Table1[[#This Row],[UnitPrice]]</f>
        <v>173259.09</v>
      </c>
      <c r="M1045" t="str">
        <f>IF(Table1[[#This Row],[ReorderLevel]]-Table1[[#This Row],[CurrentStock]]&gt;0,Table1[[#This Row],[ReorderLevel]]-Table1[[#This Row],[CurrentStock]],"")</f>
        <v/>
      </c>
      <c r="N1045" t="str">
        <f>IF(Table1[[#This Row],[CurrentStock]]&gt;Table1[[#This Row],[ReorderLevel]]*3,"Over Stock","Okay")</f>
        <v>Over Stock</v>
      </c>
      <c r="O1045" t="str">
        <f>IF(Table1[[#This Row],[CurrentStock]]&lt;Table1[[#This Row],[ReorderLevel]],"Reorder","Okay")</f>
        <v>Okay</v>
      </c>
    </row>
    <row r="1046" spans="1:15" x14ac:dyDescent="0.3">
      <c r="A1046">
        <v>37657</v>
      </c>
      <c r="B1046" t="s">
        <v>14</v>
      </c>
      <c r="C1046" t="s">
        <v>27</v>
      </c>
      <c r="D1046">
        <v>481</v>
      </c>
      <c r="E1046">
        <v>40</v>
      </c>
      <c r="F1046">
        <v>475.94</v>
      </c>
      <c r="G1046" t="s">
        <v>34</v>
      </c>
      <c r="H1046" s="1">
        <v>45475</v>
      </c>
      <c r="I1046" s="1">
        <v>45493</v>
      </c>
      <c r="J1046" t="s">
        <v>38</v>
      </c>
      <c r="K1046" t="b">
        <f>Table1[[#This Row],[CurrentStock]]&lt;Table1[[#This Row],[ReorderLevel]]</f>
        <v>0</v>
      </c>
      <c r="L1046" s="9">
        <f>Table1[[#This Row],[CurrentStock]]*Table1[[#This Row],[UnitPrice]]</f>
        <v>228927.13999999998</v>
      </c>
      <c r="M1046" t="str">
        <f>IF(Table1[[#This Row],[ReorderLevel]]-Table1[[#This Row],[CurrentStock]]&gt;0,Table1[[#This Row],[ReorderLevel]]-Table1[[#This Row],[CurrentStock]],"")</f>
        <v/>
      </c>
      <c r="N1046" t="str">
        <f>IF(Table1[[#This Row],[CurrentStock]]&gt;Table1[[#This Row],[ReorderLevel]]*3,"Over Stock","Okay")</f>
        <v>Over Stock</v>
      </c>
      <c r="O1046" t="str">
        <f>IF(Table1[[#This Row],[CurrentStock]]&lt;Table1[[#This Row],[ReorderLevel]],"Reorder","Okay")</f>
        <v>Okay</v>
      </c>
    </row>
    <row r="1047" spans="1:15" x14ac:dyDescent="0.3">
      <c r="A1047">
        <v>48165</v>
      </c>
      <c r="B1047" t="s">
        <v>10</v>
      </c>
      <c r="C1047" t="s">
        <v>27</v>
      </c>
      <c r="D1047">
        <v>426</v>
      </c>
      <c r="E1047">
        <v>40</v>
      </c>
      <c r="F1047">
        <v>354.22</v>
      </c>
      <c r="G1047" t="s">
        <v>35</v>
      </c>
      <c r="H1047" s="1">
        <v>45566</v>
      </c>
      <c r="I1047" s="1">
        <v>45591</v>
      </c>
      <c r="J1047" t="s">
        <v>37</v>
      </c>
      <c r="K1047" t="b">
        <f>Table1[[#This Row],[CurrentStock]]&lt;Table1[[#This Row],[ReorderLevel]]</f>
        <v>0</v>
      </c>
      <c r="L1047" s="9">
        <f>Table1[[#This Row],[CurrentStock]]*Table1[[#This Row],[UnitPrice]]</f>
        <v>150897.72</v>
      </c>
      <c r="M1047" t="str">
        <f>IF(Table1[[#This Row],[ReorderLevel]]-Table1[[#This Row],[CurrentStock]]&gt;0,Table1[[#This Row],[ReorderLevel]]-Table1[[#This Row],[CurrentStock]],"")</f>
        <v/>
      </c>
      <c r="N1047" t="str">
        <f>IF(Table1[[#This Row],[CurrentStock]]&gt;Table1[[#This Row],[ReorderLevel]]*3,"Over Stock","Okay")</f>
        <v>Over Stock</v>
      </c>
      <c r="O1047" t="str">
        <f>IF(Table1[[#This Row],[CurrentStock]]&lt;Table1[[#This Row],[ReorderLevel]],"Reorder","Okay")</f>
        <v>Okay</v>
      </c>
    </row>
    <row r="1048" spans="1:15" x14ac:dyDescent="0.3">
      <c r="A1048">
        <v>56716</v>
      </c>
      <c r="B1048" t="s">
        <v>19</v>
      </c>
      <c r="C1048" t="s">
        <v>28</v>
      </c>
      <c r="D1048">
        <v>272</v>
      </c>
      <c r="E1048">
        <v>50</v>
      </c>
      <c r="F1048">
        <v>339.19</v>
      </c>
      <c r="G1048" t="s">
        <v>32</v>
      </c>
      <c r="H1048" s="1">
        <v>45299</v>
      </c>
      <c r="I1048" s="1">
        <v>45319</v>
      </c>
      <c r="J1048" t="s">
        <v>37</v>
      </c>
      <c r="K1048" t="b">
        <f>Table1[[#This Row],[CurrentStock]]&lt;Table1[[#This Row],[ReorderLevel]]</f>
        <v>0</v>
      </c>
      <c r="L1048" s="9">
        <f>Table1[[#This Row],[CurrentStock]]*Table1[[#This Row],[UnitPrice]]</f>
        <v>92259.68</v>
      </c>
      <c r="M1048" t="str">
        <f>IF(Table1[[#This Row],[ReorderLevel]]-Table1[[#This Row],[CurrentStock]]&gt;0,Table1[[#This Row],[ReorderLevel]]-Table1[[#This Row],[CurrentStock]],"")</f>
        <v/>
      </c>
      <c r="N1048" t="str">
        <f>IF(Table1[[#This Row],[CurrentStock]]&gt;Table1[[#This Row],[ReorderLevel]]*3,"Over Stock","Okay")</f>
        <v>Over Stock</v>
      </c>
      <c r="O1048" t="str">
        <f>IF(Table1[[#This Row],[CurrentStock]]&lt;Table1[[#This Row],[ReorderLevel]],"Reorder","Okay")</f>
        <v>Okay</v>
      </c>
    </row>
    <row r="1049" spans="1:15" x14ac:dyDescent="0.3">
      <c r="A1049">
        <v>25185</v>
      </c>
      <c r="B1049" t="s">
        <v>12</v>
      </c>
      <c r="C1049" t="s">
        <v>28</v>
      </c>
      <c r="D1049">
        <v>296</v>
      </c>
      <c r="E1049">
        <v>150</v>
      </c>
      <c r="F1049">
        <v>28.68</v>
      </c>
      <c r="G1049" t="s">
        <v>35</v>
      </c>
      <c r="H1049" s="1">
        <v>45371</v>
      </c>
      <c r="I1049" s="1">
        <v>45393</v>
      </c>
      <c r="J1049" t="s">
        <v>38</v>
      </c>
      <c r="K1049" t="b">
        <f>Table1[[#This Row],[CurrentStock]]&lt;Table1[[#This Row],[ReorderLevel]]</f>
        <v>0</v>
      </c>
      <c r="L1049" s="9">
        <f>Table1[[#This Row],[CurrentStock]]*Table1[[#This Row],[UnitPrice]]</f>
        <v>8489.2800000000007</v>
      </c>
      <c r="M1049" t="str">
        <f>IF(Table1[[#This Row],[ReorderLevel]]-Table1[[#This Row],[CurrentStock]]&gt;0,Table1[[#This Row],[ReorderLevel]]-Table1[[#This Row],[CurrentStock]],"")</f>
        <v/>
      </c>
      <c r="N1049" t="str">
        <f>IF(Table1[[#This Row],[CurrentStock]]&gt;Table1[[#This Row],[ReorderLevel]]*3,"Over Stock","Okay")</f>
        <v>Okay</v>
      </c>
      <c r="O1049" t="str">
        <f>IF(Table1[[#This Row],[CurrentStock]]&lt;Table1[[#This Row],[ReorderLevel]],"Reorder","Okay")</f>
        <v>Okay</v>
      </c>
    </row>
    <row r="1050" spans="1:15" x14ac:dyDescent="0.3">
      <c r="A1050">
        <v>78945</v>
      </c>
      <c r="B1050" t="s">
        <v>17</v>
      </c>
      <c r="C1050" t="s">
        <v>30</v>
      </c>
      <c r="D1050">
        <v>386</v>
      </c>
      <c r="E1050">
        <v>30</v>
      </c>
      <c r="F1050">
        <v>498.72</v>
      </c>
      <c r="G1050" t="s">
        <v>33</v>
      </c>
      <c r="H1050" s="1">
        <v>45616</v>
      </c>
      <c r="I1050" s="1">
        <v>45639</v>
      </c>
      <c r="J1050" t="s">
        <v>37</v>
      </c>
      <c r="K1050" t="b">
        <f>Table1[[#This Row],[CurrentStock]]&lt;Table1[[#This Row],[ReorderLevel]]</f>
        <v>0</v>
      </c>
      <c r="L1050" s="9">
        <f>Table1[[#This Row],[CurrentStock]]*Table1[[#This Row],[UnitPrice]]</f>
        <v>192505.92</v>
      </c>
      <c r="M1050" t="str">
        <f>IF(Table1[[#This Row],[ReorderLevel]]-Table1[[#This Row],[CurrentStock]]&gt;0,Table1[[#This Row],[ReorderLevel]]-Table1[[#This Row],[CurrentStock]],"")</f>
        <v/>
      </c>
      <c r="N1050" t="str">
        <f>IF(Table1[[#This Row],[CurrentStock]]&gt;Table1[[#This Row],[ReorderLevel]]*3,"Over Stock","Okay")</f>
        <v>Over Stock</v>
      </c>
      <c r="O1050" t="str">
        <f>IF(Table1[[#This Row],[CurrentStock]]&lt;Table1[[#This Row],[ReorderLevel]],"Reorder","Okay")</f>
        <v>Okay</v>
      </c>
    </row>
    <row r="1051" spans="1:15" x14ac:dyDescent="0.3">
      <c r="A1051">
        <v>22109</v>
      </c>
      <c r="B1051" t="s">
        <v>19</v>
      </c>
      <c r="C1051" t="s">
        <v>28</v>
      </c>
      <c r="D1051">
        <v>145</v>
      </c>
      <c r="E1051">
        <v>80</v>
      </c>
      <c r="F1051">
        <v>336.78</v>
      </c>
      <c r="G1051" t="s">
        <v>32</v>
      </c>
      <c r="H1051" s="1">
        <v>45563</v>
      </c>
      <c r="I1051" s="1">
        <v>45583</v>
      </c>
      <c r="J1051" t="s">
        <v>37</v>
      </c>
      <c r="K1051" t="b">
        <f>Table1[[#This Row],[CurrentStock]]&lt;Table1[[#This Row],[ReorderLevel]]</f>
        <v>0</v>
      </c>
      <c r="L1051" s="9">
        <f>Table1[[#This Row],[CurrentStock]]*Table1[[#This Row],[UnitPrice]]</f>
        <v>48833.1</v>
      </c>
      <c r="M1051" t="str">
        <f>IF(Table1[[#This Row],[ReorderLevel]]-Table1[[#This Row],[CurrentStock]]&gt;0,Table1[[#This Row],[ReorderLevel]]-Table1[[#This Row],[CurrentStock]],"")</f>
        <v/>
      </c>
      <c r="N1051" t="str">
        <f>IF(Table1[[#This Row],[CurrentStock]]&gt;Table1[[#This Row],[ReorderLevel]]*3,"Over Stock","Okay")</f>
        <v>Okay</v>
      </c>
      <c r="O1051" t="str">
        <f>IF(Table1[[#This Row],[CurrentStock]]&lt;Table1[[#This Row],[ReorderLevel]],"Reorder","Okay")</f>
        <v>Okay</v>
      </c>
    </row>
    <row r="1052" spans="1:15" x14ac:dyDescent="0.3">
      <c r="A1052">
        <v>27040</v>
      </c>
      <c r="B1052" t="s">
        <v>12</v>
      </c>
      <c r="C1052" t="s">
        <v>28</v>
      </c>
      <c r="D1052">
        <v>149</v>
      </c>
      <c r="E1052">
        <v>40</v>
      </c>
      <c r="F1052">
        <v>24.34</v>
      </c>
      <c r="G1052" t="s">
        <v>36</v>
      </c>
      <c r="H1052" s="1">
        <v>45320</v>
      </c>
      <c r="I1052" s="1">
        <v>45340</v>
      </c>
      <c r="J1052" t="s">
        <v>38</v>
      </c>
      <c r="K1052" t="b">
        <f>Table1[[#This Row],[CurrentStock]]&lt;Table1[[#This Row],[ReorderLevel]]</f>
        <v>0</v>
      </c>
      <c r="L1052" s="9">
        <f>Table1[[#This Row],[CurrentStock]]*Table1[[#This Row],[UnitPrice]]</f>
        <v>3626.66</v>
      </c>
      <c r="M1052" t="str">
        <f>IF(Table1[[#This Row],[ReorderLevel]]-Table1[[#This Row],[CurrentStock]]&gt;0,Table1[[#This Row],[ReorderLevel]]-Table1[[#This Row],[CurrentStock]],"")</f>
        <v/>
      </c>
      <c r="N1052" t="str">
        <f>IF(Table1[[#This Row],[CurrentStock]]&gt;Table1[[#This Row],[ReorderLevel]]*3,"Over Stock","Okay")</f>
        <v>Over Stock</v>
      </c>
      <c r="O1052" t="str">
        <f>IF(Table1[[#This Row],[CurrentStock]]&lt;Table1[[#This Row],[ReorderLevel]],"Reorder","Okay")</f>
        <v>Okay</v>
      </c>
    </row>
    <row r="1053" spans="1:15" x14ac:dyDescent="0.3">
      <c r="A1053">
        <v>39048</v>
      </c>
      <c r="B1053" t="s">
        <v>18</v>
      </c>
      <c r="C1053" t="s">
        <v>28</v>
      </c>
      <c r="D1053">
        <v>327</v>
      </c>
      <c r="E1053">
        <v>80</v>
      </c>
      <c r="F1053">
        <v>50.67</v>
      </c>
      <c r="G1053" t="s">
        <v>33</v>
      </c>
      <c r="H1053" s="1">
        <v>45550</v>
      </c>
      <c r="I1053" s="1">
        <v>45589</v>
      </c>
      <c r="J1053" t="s">
        <v>37</v>
      </c>
      <c r="K1053" t="b">
        <f>Table1[[#This Row],[CurrentStock]]&lt;Table1[[#This Row],[ReorderLevel]]</f>
        <v>0</v>
      </c>
      <c r="L1053" s="9">
        <f>Table1[[#This Row],[CurrentStock]]*Table1[[#This Row],[UnitPrice]]</f>
        <v>16569.09</v>
      </c>
      <c r="M1053" t="str">
        <f>IF(Table1[[#This Row],[ReorderLevel]]-Table1[[#This Row],[CurrentStock]]&gt;0,Table1[[#This Row],[ReorderLevel]]-Table1[[#This Row],[CurrentStock]],"")</f>
        <v/>
      </c>
      <c r="N1053" t="str">
        <f>IF(Table1[[#This Row],[CurrentStock]]&gt;Table1[[#This Row],[ReorderLevel]]*3,"Over Stock","Okay")</f>
        <v>Over Stock</v>
      </c>
      <c r="O1053" t="str">
        <f>IF(Table1[[#This Row],[CurrentStock]]&lt;Table1[[#This Row],[ReorderLevel]],"Reorder","Okay")</f>
        <v>Okay</v>
      </c>
    </row>
    <row r="1054" spans="1:15" x14ac:dyDescent="0.3">
      <c r="A1054">
        <v>37703</v>
      </c>
      <c r="B1054" t="s">
        <v>12</v>
      </c>
      <c r="C1054" t="s">
        <v>28</v>
      </c>
      <c r="D1054">
        <v>433</v>
      </c>
      <c r="E1054">
        <v>80</v>
      </c>
      <c r="F1054">
        <v>376.58</v>
      </c>
      <c r="G1054" t="s">
        <v>33</v>
      </c>
      <c r="H1054" s="1">
        <v>45391</v>
      </c>
      <c r="I1054" s="1">
        <v>45412</v>
      </c>
      <c r="J1054" t="s">
        <v>39</v>
      </c>
      <c r="K1054" t="b">
        <f>Table1[[#This Row],[CurrentStock]]&lt;Table1[[#This Row],[ReorderLevel]]</f>
        <v>0</v>
      </c>
      <c r="L1054" s="9">
        <f>Table1[[#This Row],[CurrentStock]]*Table1[[#This Row],[UnitPrice]]</f>
        <v>163059.13999999998</v>
      </c>
      <c r="M1054" t="str">
        <f>IF(Table1[[#This Row],[ReorderLevel]]-Table1[[#This Row],[CurrentStock]]&gt;0,Table1[[#This Row],[ReorderLevel]]-Table1[[#This Row],[CurrentStock]],"")</f>
        <v/>
      </c>
      <c r="N1054" t="str">
        <f>IF(Table1[[#This Row],[CurrentStock]]&gt;Table1[[#This Row],[ReorderLevel]]*3,"Over Stock","Okay")</f>
        <v>Over Stock</v>
      </c>
      <c r="O1054" t="str">
        <f>IF(Table1[[#This Row],[CurrentStock]]&lt;Table1[[#This Row],[ReorderLevel]],"Reorder","Okay")</f>
        <v>Okay</v>
      </c>
    </row>
    <row r="1055" spans="1:15" x14ac:dyDescent="0.3">
      <c r="A1055">
        <v>93509</v>
      </c>
      <c r="B1055" t="s">
        <v>20</v>
      </c>
      <c r="C1055" t="s">
        <v>29</v>
      </c>
      <c r="D1055">
        <v>141</v>
      </c>
      <c r="E1055">
        <v>40</v>
      </c>
      <c r="F1055">
        <v>26.7</v>
      </c>
      <c r="G1055" t="s">
        <v>33</v>
      </c>
      <c r="H1055" s="1">
        <v>45385</v>
      </c>
      <c r="I1055" s="1">
        <v>45412</v>
      </c>
      <c r="J1055" t="s">
        <v>37</v>
      </c>
      <c r="K1055" t="b">
        <f>Table1[[#This Row],[CurrentStock]]&lt;Table1[[#This Row],[ReorderLevel]]</f>
        <v>0</v>
      </c>
      <c r="L1055" s="9">
        <f>Table1[[#This Row],[CurrentStock]]*Table1[[#This Row],[UnitPrice]]</f>
        <v>3764.7</v>
      </c>
      <c r="M1055" t="str">
        <f>IF(Table1[[#This Row],[ReorderLevel]]-Table1[[#This Row],[CurrentStock]]&gt;0,Table1[[#This Row],[ReorderLevel]]-Table1[[#This Row],[CurrentStock]],"")</f>
        <v/>
      </c>
      <c r="N1055" t="str">
        <f>IF(Table1[[#This Row],[CurrentStock]]&gt;Table1[[#This Row],[ReorderLevel]]*3,"Over Stock","Okay")</f>
        <v>Over Stock</v>
      </c>
      <c r="O1055" t="str">
        <f>IF(Table1[[#This Row],[CurrentStock]]&lt;Table1[[#This Row],[ReorderLevel]],"Reorder","Okay")</f>
        <v>Okay</v>
      </c>
    </row>
    <row r="1056" spans="1:15" x14ac:dyDescent="0.3">
      <c r="A1056">
        <v>71142</v>
      </c>
      <c r="B1056" t="s">
        <v>17</v>
      </c>
      <c r="C1056" t="s">
        <v>30</v>
      </c>
      <c r="D1056">
        <v>40</v>
      </c>
      <c r="E1056">
        <v>30</v>
      </c>
      <c r="F1056">
        <v>181.11</v>
      </c>
      <c r="G1056" t="s">
        <v>34</v>
      </c>
      <c r="H1056" s="1">
        <v>45520</v>
      </c>
      <c r="I1056" s="1">
        <v>45546</v>
      </c>
      <c r="J1056" t="s">
        <v>37</v>
      </c>
      <c r="K1056" t="b">
        <f>Table1[[#This Row],[CurrentStock]]&lt;Table1[[#This Row],[ReorderLevel]]</f>
        <v>0</v>
      </c>
      <c r="L1056" s="9">
        <f>Table1[[#This Row],[CurrentStock]]*Table1[[#This Row],[UnitPrice]]</f>
        <v>7244.4000000000005</v>
      </c>
      <c r="M1056" t="str">
        <f>IF(Table1[[#This Row],[ReorderLevel]]-Table1[[#This Row],[CurrentStock]]&gt;0,Table1[[#This Row],[ReorderLevel]]-Table1[[#This Row],[CurrentStock]],"")</f>
        <v/>
      </c>
      <c r="N1056" t="str">
        <f>IF(Table1[[#This Row],[CurrentStock]]&gt;Table1[[#This Row],[ReorderLevel]]*3,"Over Stock","Okay")</f>
        <v>Okay</v>
      </c>
      <c r="O1056" t="str">
        <f>IF(Table1[[#This Row],[CurrentStock]]&lt;Table1[[#This Row],[ReorderLevel]],"Reorder","Okay")</f>
        <v>Okay</v>
      </c>
    </row>
    <row r="1057" spans="1:15" x14ac:dyDescent="0.3">
      <c r="A1057">
        <v>93591</v>
      </c>
      <c r="B1057" t="s">
        <v>12</v>
      </c>
      <c r="C1057" t="s">
        <v>28</v>
      </c>
      <c r="D1057">
        <v>479</v>
      </c>
      <c r="E1057">
        <v>30</v>
      </c>
      <c r="F1057">
        <v>77.989999999999995</v>
      </c>
      <c r="G1057" t="s">
        <v>32</v>
      </c>
      <c r="H1057" s="1">
        <v>45633</v>
      </c>
      <c r="I1057" s="1">
        <v>45650</v>
      </c>
      <c r="J1057" t="s">
        <v>37</v>
      </c>
      <c r="K1057" t="b">
        <f>Table1[[#This Row],[CurrentStock]]&lt;Table1[[#This Row],[ReorderLevel]]</f>
        <v>0</v>
      </c>
      <c r="L1057" s="9">
        <f>Table1[[#This Row],[CurrentStock]]*Table1[[#This Row],[UnitPrice]]</f>
        <v>37357.21</v>
      </c>
      <c r="M1057" t="str">
        <f>IF(Table1[[#This Row],[ReorderLevel]]-Table1[[#This Row],[CurrentStock]]&gt;0,Table1[[#This Row],[ReorderLevel]]-Table1[[#This Row],[CurrentStock]],"")</f>
        <v/>
      </c>
      <c r="N1057" t="str">
        <f>IF(Table1[[#This Row],[CurrentStock]]&gt;Table1[[#This Row],[ReorderLevel]]*3,"Over Stock","Okay")</f>
        <v>Over Stock</v>
      </c>
      <c r="O1057" t="str">
        <f>IF(Table1[[#This Row],[CurrentStock]]&lt;Table1[[#This Row],[ReorderLevel]],"Reorder","Okay")</f>
        <v>Okay</v>
      </c>
    </row>
    <row r="1058" spans="1:15" x14ac:dyDescent="0.3">
      <c r="A1058">
        <v>29159</v>
      </c>
      <c r="B1058" t="s">
        <v>18</v>
      </c>
      <c r="C1058" t="s">
        <v>28</v>
      </c>
      <c r="D1058">
        <v>460</v>
      </c>
      <c r="E1058">
        <v>150</v>
      </c>
      <c r="F1058">
        <v>241.11</v>
      </c>
      <c r="G1058" t="s">
        <v>36</v>
      </c>
      <c r="H1058" s="1">
        <v>45545</v>
      </c>
      <c r="I1058" s="1">
        <v>45556</v>
      </c>
      <c r="J1058" t="s">
        <v>37</v>
      </c>
      <c r="K1058" t="b">
        <f>Table1[[#This Row],[CurrentStock]]&lt;Table1[[#This Row],[ReorderLevel]]</f>
        <v>0</v>
      </c>
      <c r="L1058" s="9">
        <f>Table1[[#This Row],[CurrentStock]]*Table1[[#This Row],[UnitPrice]]</f>
        <v>110910.6</v>
      </c>
      <c r="M1058" t="str">
        <f>IF(Table1[[#This Row],[ReorderLevel]]-Table1[[#This Row],[CurrentStock]]&gt;0,Table1[[#This Row],[ReorderLevel]]-Table1[[#This Row],[CurrentStock]],"")</f>
        <v/>
      </c>
      <c r="N1058" t="str">
        <f>IF(Table1[[#This Row],[CurrentStock]]&gt;Table1[[#This Row],[ReorderLevel]]*3,"Over Stock","Okay")</f>
        <v>Over Stock</v>
      </c>
      <c r="O1058" t="str">
        <f>IF(Table1[[#This Row],[CurrentStock]]&lt;Table1[[#This Row],[ReorderLevel]],"Reorder","Okay")</f>
        <v>Okay</v>
      </c>
    </row>
    <row r="1059" spans="1:15" x14ac:dyDescent="0.3">
      <c r="A1059">
        <v>20532</v>
      </c>
      <c r="B1059" t="s">
        <v>12</v>
      </c>
      <c r="C1059" t="s">
        <v>28</v>
      </c>
      <c r="D1059">
        <v>72</v>
      </c>
      <c r="E1059">
        <v>100</v>
      </c>
      <c r="F1059">
        <v>142.33000000000001</v>
      </c>
      <c r="G1059" t="s">
        <v>36</v>
      </c>
      <c r="H1059" s="1">
        <v>45499</v>
      </c>
      <c r="I1059" s="1">
        <v>45524</v>
      </c>
      <c r="J1059" t="s">
        <v>37</v>
      </c>
      <c r="K1059" t="b">
        <f>Table1[[#This Row],[CurrentStock]]&lt;Table1[[#This Row],[ReorderLevel]]</f>
        <v>1</v>
      </c>
      <c r="L1059" s="9">
        <f>Table1[[#This Row],[CurrentStock]]*Table1[[#This Row],[UnitPrice]]</f>
        <v>10247.76</v>
      </c>
      <c r="M1059">
        <f>IF(Table1[[#This Row],[ReorderLevel]]-Table1[[#This Row],[CurrentStock]]&gt;0,Table1[[#This Row],[ReorderLevel]]-Table1[[#This Row],[CurrentStock]],"")</f>
        <v>28</v>
      </c>
      <c r="N1059" t="str">
        <f>IF(Table1[[#This Row],[CurrentStock]]&gt;Table1[[#This Row],[ReorderLevel]]*3,"Over Stock","Okay")</f>
        <v>Okay</v>
      </c>
      <c r="O1059" t="str">
        <f>IF(Table1[[#This Row],[CurrentStock]]&lt;Table1[[#This Row],[ReorderLevel]],"Reorder","Okay")</f>
        <v>Reorder</v>
      </c>
    </row>
    <row r="1060" spans="1:15" x14ac:dyDescent="0.3">
      <c r="A1060">
        <v>84142</v>
      </c>
      <c r="B1060" t="s">
        <v>16</v>
      </c>
      <c r="C1060" t="s">
        <v>30</v>
      </c>
      <c r="D1060">
        <v>109</v>
      </c>
      <c r="E1060">
        <v>40</v>
      </c>
      <c r="F1060">
        <v>493.23</v>
      </c>
      <c r="G1060" t="s">
        <v>35</v>
      </c>
      <c r="H1060" s="1">
        <v>45445</v>
      </c>
      <c r="I1060" s="1">
        <v>45459</v>
      </c>
      <c r="J1060" t="s">
        <v>37</v>
      </c>
      <c r="K1060" t="b">
        <f>Table1[[#This Row],[CurrentStock]]&lt;Table1[[#This Row],[ReorderLevel]]</f>
        <v>0</v>
      </c>
      <c r="L1060" s="9">
        <f>Table1[[#This Row],[CurrentStock]]*Table1[[#This Row],[UnitPrice]]</f>
        <v>53762.07</v>
      </c>
      <c r="M1060" t="str">
        <f>IF(Table1[[#This Row],[ReorderLevel]]-Table1[[#This Row],[CurrentStock]]&gt;0,Table1[[#This Row],[ReorderLevel]]-Table1[[#This Row],[CurrentStock]],"")</f>
        <v/>
      </c>
      <c r="N1060" t="str">
        <f>IF(Table1[[#This Row],[CurrentStock]]&gt;Table1[[#This Row],[ReorderLevel]]*3,"Over Stock","Okay")</f>
        <v>Okay</v>
      </c>
      <c r="O1060" t="str">
        <f>IF(Table1[[#This Row],[CurrentStock]]&lt;Table1[[#This Row],[ReorderLevel]],"Reorder","Okay")</f>
        <v>Okay</v>
      </c>
    </row>
    <row r="1061" spans="1:15" x14ac:dyDescent="0.3">
      <c r="A1061">
        <v>61939</v>
      </c>
      <c r="B1061" t="s">
        <v>26</v>
      </c>
      <c r="C1061" t="s">
        <v>30</v>
      </c>
      <c r="D1061">
        <v>256</v>
      </c>
      <c r="E1061">
        <v>150</v>
      </c>
      <c r="F1061">
        <v>465.11</v>
      </c>
      <c r="G1061" t="s">
        <v>32</v>
      </c>
      <c r="H1061" s="1">
        <v>45358</v>
      </c>
      <c r="I1061" s="1">
        <v>45369</v>
      </c>
      <c r="J1061" t="s">
        <v>38</v>
      </c>
      <c r="K1061" t="b">
        <f>Table1[[#This Row],[CurrentStock]]&lt;Table1[[#This Row],[ReorderLevel]]</f>
        <v>0</v>
      </c>
      <c r="L1061" s="9">
        <f>Table1[[#This Row],[CurrentStock]]*Table1[[#This Row],[UnitPrice]]</f>
        <v>119068.16</v>
      </c>
      <c r="M1061" t="str">
        <f>IF(Table1[[#This Row],[ReorderLevel]]-Table1[[#This Row],[CurrentStock]]&gt;0,Table1[[#This Row],[ReorderLevel]]-Table1[[#This Row],[CurrentStock]],"")</f>
        <v/>
      </c>
      <c r="N1061" t="str">
        <f>IF(Table1[[#This Row],[CurrentStock]]&gt;Table1[[#This Row],[ReorderLevel]]*3,"Over Stock","Okay")</f>
        <v>Okay</v>
      </c>
      <c r="O1061" t="str">
        <f>IF(Table1[[#This Row],[CurrentStock]]&lt;Table1[[#This Row],[ReorderLevel]],"Reorder","Okay")</f>
        <v>Okay</v>
      </c>
    </row>
    <row r="1062" spans="1:15" x14ac:dyDescent="0.3">
      <c r="A1062">
        <v>19628</v>
      </c>
      <c r="B1062" t="s">
        <v>20</v>
      </c>
      <c r="C1062" t="s">
        <v>29</v>
      </c>
      <c r="D1062">
        <v>29</v>
      </c>
      <c r="E1062">
        <v>150</v>
      </c>
      <c r="F1062">
        <v>139.78</v>
      </c>
      <c r="G1062" t="s">
        <v>33</v>
      </c>
      <c r="H1062" s="1">
        <v>45607</v>
      </c>
      <c r="I1062" s="1">
        <v>45612</v>
      </c>
      <c r="J1062" t="s">
        <v>37</v>
      </c>
      <c r="K1062" t="b">
        <f>Table1[[#This Row],[CurrentStock]]&lt;Table1[[#This Row],[ReorderLevel]]</f>
        <v>1</v>
      </c>
      <c r="L1062" s="9">
        <f>Table1[[#This Row],[CurrentStock]]*Table1[[#This Row],[UnitPrice]]</f>
        <v>4053.62</v>
      </c>
      <c r="M1062">
        <f>IF(Table1[[#This Row],[ReorderLevel]]-Table1[[#This Row],[CurrentStock]]&gt;0,Table1[[#This Row],[ReorderLevel]]-Table1[[#This Row],[CurrentStock]],"")</f>
        <v>121</v>
      </c>
      <c r="N1062" t="str">
        <f>IF(Table1[[#This Row],[CurrentStock]]&gt;Table1[[#This Row],[ReorderLevel]]*3,"Over Stock","Okay")</f>
        <v>Okay</v>
      </c>
      <c r="O1062" t="str">
        <f>IF(Table1[[#This Row],[CurrentStock]]&lt;Table1[[#This Row],[ReorderLevel]],"Reorder","Okay")</f>
        <v>Reorder</v>
      </c>
    </row>
    <row r="1063" spans="1:15" x14ac:dyDescent="0.3">
      <c r="A1063">
        <v>51679</v>
      </c>
      <c r="B1063" t="s">
        <v>13</v>
      </c>
      <c r="C1063" t="s">
        <v>29</v>
      </c>
      <c r="D1063">
        <v>291</v>
      </c>
      <c r="E1063">
        <v>40</v>
      </c>
      <c r="F1063">
        <v>468.32</v>
      </c>
      <c r="G1063" t="s">
        <v>34</v>
      </c>
      <c r="H1063" s="1">
        <v>45526</v>
      </c>
      <c r="I1063" s="1">
        <v>45556</v>
      </c>
      <c r="J1063" t="s">
        <v>37</v>
      </c>
      <c r="K1063" t="b">
        <f>Table1[[#This Row],[CurrentStock]]&lt;Table1[[#This Row],[ReorderLevel]]</f>
        <v>0</v>
      </c>
      <c r="L1063" s="9">
        <f>Table1[[#This Row],[CurrentStock]]*Table1[[#This Row],[UnitPrice]]</f>
        <v>136281.12</v>
      </c>
      <c r="M1063" t="str">
        <f>IF(Table1[[#This Row],[ReorderLevel]]-Table1[[#This Row],[CurrentStock]]&gt;0,Table1[[#This Row],[ReorderLevel]]-Table1[[#This Row],[CurrentStock]],"")</f>
        <v/>
      </c>
      <c r="N1063" t="str">
        <f>IF(Table1[[#This Row],[CurrentStock]]&gt;Table1[[#This Row],[ReorderLevel]]*3,"Over Stock","Okay")</f>
        <v>Over Stock</v>
      </c>
      <c r="O1063" t="str">
        <f>IF(Table1[[#This Row],[CurrentStock]]&lt;Table1[[#This Row],[ReorderLevel]],"Reorder","Okay")</f>
        <v>Okay</v>
      </c>
    </row>
    <row r="1064" spans="1:15" x14ac:dyDescent="0.3">
      <c r="A1064">
        <v>27165</v>
      </c>
      <c r="B1064" t="s">
        <v>10</v>
      </c>
      <c r="C1064" t="s">
        <v>27</v>
      </c>
      <c r="D1064">
        <v>160</v>
      </c>
      <c r="E1064">
        <v>80</v>
      </c>
      <c r="F1064">
        <v>376.64</v>
      </c>
      <c r="G1064" t="s">
        <v>34</v>
      </c>
      <c r="H1064" s="1">
        <v>45382</v>
      </c>
      <c r="I1064" s="1">
        <v>45409</v>
      </c>
      <c r="J1064" t="s">
        <v>38</v>
      </c>
      <c r="K1064" t="b">
        <f>Table1[[#This Row],[CurrentStock]]&lt;Table1[[#This Row],[ReorderLevel]]</f>
        <v>0</v>
      </c>
      <c r="L1064" s="9">
        <f>Table1[[#This Row],[CurrentStock]]*Table1[[#This Row],[UnitPrice]]</f>
        <v>60262.399999999994</v>
      </c>
      <c r="M1064" t="str">
        <f>IF(Table1[[#This Row],[ReorderLevel]]-Table1[[#This Row],[CurrentStock]]&gt;0,Table1[[#This Row],[ReorderLevel]]-Table1[[#This Row],[CurrentStock]],"")</f>
        <v/>
      </c>
      <c r="N1064" t="str">
        <f>IF(Table1[[#This Row],[CurrentStock]]&gt;Table1[[#This Row],[ReorderLevel]]*3,"Over Stock","Okay")</f>
        <v>Okay</v>
      </c>
      <c r="O1064" t="str">
        <f>IF(Table1[[#This Row],[CurrentStock]]&lt;Table1[[#This Row],[ReorderLevel]],"Reorder","Okay")</f>
        <v>Okay</v>
      </c>
    </row>
    <row r="1065" spans="1:15" x14ac:dyDescent="0.3">
      <c r="A1065">
        <v>29464</v>
      </c>
      <c r="B1065" t="s">
        <v>22</v>
      </c>
      <c r="C1065" t="s">
        <v>27</v>
      </c>
      <c r="D1065">
        <v>174</v>
      </c>
      <c r="E1065">
        <v>100</v>
      </c>
      <c r="F1065">
        <v>382.21</v>
      </c>
      <c r="G1065" t="s">
        <v>36</v>
      </c>
      <c r="H1065" s="1">
        <v>45502</v>
      </c>
      <c r="I1065" s="1">
        <v>45537</v>
      </c>
      <c r="J1065" t="s">
        <v>37</v>
      </c>
      <c r="K1065" t="b">
        <f>Table1[[#This Row],[CurrentStock]]&lt;Table1[[#This Row],[ReorderLevel]]</f>
        <v>0</v>
      </c>
      <c r="L1065" s="9">
        <f>Table1[[#This Row],[CurrentStock]]*Table1[[#This Row],[UnitPrice]]</f>
        <v>66504.539999999994</v>
      </c>
      <c r="M1065" t="str">
        <f>IF(Table1[[#This Row],[ReorderLevel]]-Table1[[#This Row],[CurrentStock]]&gt;0,Table1[[#This Row],[ReorderLevel]]-Table1[[#This Row],[CurrentStock]],"")</f>
        <v/>
      </c>
      <c r="N1065" t="str">
        <f>IF(Table1[[#This Row],[CurrentStock]]&gt;Table1[[#This Row],[ReorderLevel]]*3,"Over Stock","Okay")</f>
        <v>Okay</v>
      </c>
      <c r="O1065" t="str">
        <f>IF(Table1[[#This Row],[CurrentStock]]&lt;Table1[[#This Row],[ReorderLevel]],"Reorder","Okay")</f>
        <v>Okay</v>
      </c>
    </row>
    <row r="1066" spans="1:15" x14ac:dyDescent="0.3">
      <c r="A1066">
        <v>92970</v>
      </c>
      <c r="B1066" t="s">
        <v>14</v>
      </c>
      <c r="C1066" t="s">
        <v>27</v>
      </c>
      <c r="D1066">
        <v>309</v>
      </c>
      <c r="E1066">
        <v>30</v>
      </c>
      <c r="F1066">
        <v>40.83</v>
      </c>
      <c r="G1066" t="s">
        <v>33</v>
      </c>
      <c r="H1066" s="1">
        <v>45456</v>
      </c>
      <c r="I1066" s="1">
        <v>45483</v>
      </c>
      <c r="J1066" t="s">
        <v>39</v>
      </c>
      <c r="K1066" t="b">
        <f>Table1[[#This Row],[CurrentStock]]&lt;Table1[[#This Row],[ReorderLevel]]</f>
        <v>0</v>
      </c>
      <c r="L1066" s="9">
        <f>Table1[[#This Row],[CurrentStock]]*Table1[[#This Row],[UnitPrice]]</f>
        <v>12616.47</v>
      </c>
      <c r="M1066" t="str">
        <f>IF(Table1[[#This Row],[ReorderLevel]]-Table1[[#This Row],[CurrentStock]]&gt;0,Table1[[#This Row],[ReorderLevel]]-Table1[[#This Row],[CurrentStock]],"")</f>
        <v/>
      </c>
      <c r="N1066" t="str">
        <f>IF(Table1[[#This Row],[CurrentStock]]&gt;Table1[[#This Row],[ReorderLevel]]*3,"Over Stock","Okay")</f>
        <v>Over Stock</v>
      </c>
      <c r="O1066" t="str">
        <f>IF(Table1[[#This Row],[CurrentStock]]&lt;Table1[[#This Row],[ReorderLevel]],"Reorder","Okay")</f>
        <v>Okay</v>
      </c>
    </row>
    <row r="1067" spans="1:15" x14ac:dyDescent="0.3">
      <c r="A1067">
        <v>46135</v>
      </c>
      <c r="B1067" t="s">
        <v>26</v>
      </c>
      <c r="C1067" t="s">
        <v>30</v>
      </c>
      <c r="D1067">
        <v>332</v>
      </c>
      <c r="E1067">
        <v>40</v>
      </c>
      <c r="F1067">
        <v>279.26</v>
      </c>
      <c r="G1067" t="s">
        <v>36</v>
      </c>
      <c r="H1067" s="1">
        <v>45310</v>
      </c>
      <c r="I1067" s="1">
        <v>45315</v>
      </c>
      <c r="J1067" t="s">
        <v>39</v>
      </c>
      <c r="K1067" t="b">
        <f>Table1[[#This Row],[CurrentStock]]&lt;Table1[[#This Row],[ReorderLevel]]</f>
        <v>0</v>
      </c>
      <c r="L1067" s="9">
        <f>Table1[[#This Row],[CurrentStock]]*Table1[[#This Row],[UnitPrice]]</f>
        <v>92714.319999999992</v>
      </c>
      <c r="M1067" t="str">
        <f>IF(Table1[[#This Row],[ReorderLevel]]-Table1[[#This Row],[CurrentStock]]&gt;0,Table1[[#This Row],[ReorderLevel]]-Table1[[#This Row],[CurrentStock]],"")</f>
        <v/>
      </c>
      <c r="N1067" t="str">
        <f>IF(Table1[[#This Row],[CurrentStock]]&gt;Table1[[#This Row],[ReorderLevel]]*3,"Over Stock","Okay")</f>
        <v>Over Stock</v>
      </c>
      <c r="O1067" t="str">
        <f>IF(Table1[[#This Row],[CurrentStock]]&lt;Table1[[#This Row],[ReorderLevel]],"Reorder","Okay")</f>
        <v>Okay</v>
      </c>
    </row>
    <row r="1068" spans="1:15" x14ac:dyDescent="0.3">
      <c r="A1068">
        <v>65107</v>
      </c>
      <c r="B1068" t="s">
        <v>20</v>
      </c>
      <c r="C1068" t="s">
        <v>29</v>
      </c>
      <c r="D1068">
        <v>182</v>
      </c>
      <c r="E1068">
        <v>40</v>
      </c>
      <c r="F1068">
        <v>273.48</v>
      </c>
      <c r="G1068" t="s">
        <v>32</v>
      </c>
      <c r="H1068" s="1">
        <v>45555</v>
      </c>
      <c r="I1068" s="1">
        <v>45581</v>
      </c>
      <c r="J1068" t="s">
        <v>37</v>
      </c>
      <c r="K1068" t="b">
        <f>Table1[[#This Row],[CurrentStock]]&lt;Table1[[#This Row],[ReorderLevel]]</f>
        <v>0</v>
      </c>
      <c r="L1068" s="9">
        <f>Table1[[#This Row],[CurrentStock]]*Table1[[#This Row],[UnitPrice]]</f>
        <v>49773.36</v>
      </c>
      <c r="M1068" t="str">
        <f>IF(Table1[[#This Row],[ReorderLevel]]-Table1[[#This Row],[CurrentStock]]&gt;0,Table1[[#This Row],[ReorderLevel]]-Table1[[#This Row],[CurrentStock]],"")</f>
        <v/>
      </c>
      <c r="N1068" t="str">
        <f>IF(Table1[[#This Row],[CurrentStock]]&gt;Table1[[#This Row],[ReorderLevel]]*3,"Over Stock","Okay")</f>
        <v>Over Stock</v>
      </c>
      <c r="O1068" t="str">
        <f>IF(Table1[[#This Row],[CurrentStock]]&lt;Table1[[#This Row],[ReorderLevel]],"Reorder","Okay")</f>
        <v>Okay</v>
      </c>
    </row>
    <row r="1069" spans="1:15" x14ac:dyDescent="0.3">
      <c r="A1069">
        <v>96555</v>
      </c>
      <c r="B1069" t="s">
        <v>21</v>
      </c>
      <c r="C1069" t="s">
        <v>31</v>
      </c>
      <c r="D1069">
        <v>335</v>
      </c>
      <c r="E1069">
        <v>150</v>
      </c>
      <c r="F1069">
        <v>318.76</v>
      </c>
      <c r="G1069" t="s">
        <v>34</v>
      </c>
      <c r="H1069" s="1">
        <v>45381</v>
      </c>
      <c r="I1069" s="1">
        <v>45404</v>
      </c>
      <c r="J1069" t="s">
        <v>37</v>
      </c>
      <c r="K1069" t="b">
        <f>Table1[[#This Row],[CurrentStock]]&lt;Table1[[#This Row],[ReorderLevel]]</f>
        <v>0</v>
      </c>
      <c r="L1069" s="9">
        <f>Table1[[#This Row],[CurrentStock]]*Table1[[#This Row],[UnitPrice]]</f>
        <v>106784.59999999999</v>
      </c>
      <c r="M1069" t="str">
        <f>IF(Table1[[#This Row],[ReorderLevel]]-Table1[[#This Row],[CurrentStock]]&gt;0,Table1[[#This Row],[ReorderLevel]]-Table1[[#This Row],[CurrentStock]],"")</f>
        <v/>
      </c>
      <c r="N1069" t="str">
        <f>IF(Table1[[#This Row],[CurrentStock]]&gt;Table1[[#This Row],[ReorderLevel]]*3,"Over Stock","Okay")</f>
        <v>Okay</v>
      </c>
      <c r="O1069" t="str">
        <f>IF(Table1[[#This Row],[CurrentStock]]&lt;Table1[[#This Row],[ReorderLevel]],"Reorder","Okay")</f>
        <v>Okay</v>
      </c>
    </row>
    <row r="1070" spans="1:15" x14ac:dyDescent="0.3">
      <c r="A1070">
        <v>19001</v>
      </c>
      <c r="B1070" t="s">
        <v>25</v>
      </c>
      <c r="C1070" t="s">
        <v>31</v>
      </c>
      <c r="D1070">
        <v>119</v>
      </c>
      <c r="E1070">
        <v>40</v>
      </c>
      <c r="F1070">
        <v>234.38</v>
      </c>
      <c r="G1070" t="s">
        <v>35</v>
      </c>
      <c r="H1070" s="1">
        <v>45572</v>
      </c>
      <c r="I1070" s="1">
        <v>45578</v>
      </c>
      <c r="J1070" t="s">
        <v>37</v>
      </c>
      <c r="K1070" t="b">
        <f>Table1[[#This Row],[CurrentStock]]&lt;Table1[[#This Row],[ReorderLevel]]</f>
        <v>0</v>
      </c>
      <c r="L1070" s="9">
        <f>Table1[[#This Row],[CurrentStock]]*Table1[[#This Row],[UnitPrice]]</f>
        <v>27891.22</v>
      </c>
      <c r="M1070" t="str">
        <f>IF(Table1[[#This Row],[ReorderLevel]]-Table1[[#This Row],[CurrentStock]]&gt;0,Table1[[#This Row],[ReorderLevel]]-Table1[[#This Row],[CurrentStock]],"")</f>
        <v/>
      </c>
      <c r="N1070" t="str">
        <f>IF(Table1[[#This Row],[CurrentStock]]&gt;Table1[[#This Row],[ReorderLevel]]*3,"Over Stock","Okay")</f>
        <v>Okay</v>
      </c>
      <c r="O1070" t="str">
        <f>IF(Table1[[#This Row],[CurrentStock]]&lt;Table1[[#This Row],[ReorderLevel]],"Reorder","Okay")</f>
        <v>Okay</v>
      </c>
    </row>
    <row r="1071" spans="1:15" x14ac:dyDescent="0.3">
      <c r="A1071">
        <v>36797</v>
      </c>
      <c r="B1071" t="s">
        <v>10</v>
      </c>
      <c r="C1071" t="s">
        <v>27</v>
      </c>
      <c r="D1071">
        <v>163</v>
      </c>
      <c r="E1071">
        <v>20</v>
      </c>
      <c r="F1071">
        <v>445.21</v>
      </c>
      <c r="G1071" t="s">
        <v>35</v>
      </c>
      <c r="H1071" s="1">
        <v>45585</v>
      </c>
      <c r="I1071" s="1">
        <v>45622</v>
      </c>
      <c r="J1071" t="s">
        <v>37</v>
      </c>
      <c r="K1071" t="b">
        <f>Table1[[#This Row],[CurrentStock]]&lt;Table1[[#This Row],[ReorderLevel]]</f>
        <v>0</v>
      </c>
      <c r="L1071" s="9">
        <f>Table1[[#This Row],[CurrentStock]]*Table1[[#This Row],[UnitPrice]]</f>
        <v>72569.23</v>
      </c>
      <c r="M1071" t="str">
        <f>IF(Table1[[#This Row],[ReorderLevel]]-Table1[[#This Row],[CurrentStock]]&gt;0,Table1[[#This Row],[ReorderLevel]]-Table1[[#This Row],[CurrentStock]],"")</f>
        <v/>
      </c>
      <c r="N1071" t="str">
        <f>IF(Table1[[#This Row],[CurrentStock]]&gt;Table1[[#This Row],[ReorderLevel]]*3,"Over Stock","Okay")</f>
        <v>Over Stock</v>
      </c>
      <c r="O1071" t="str">
        <f>IF(Table1[[#This Row],[CurrentStock]]&lt;Table1[[#This Row],[ReorderLevel]],"Reorder","Okay")</f>
        <v>Okay</v>
      </c>
    </row>
    <row r="1072" spans="1:15" x14ac:dyDescent="0.3">
      <c r="A1072">
        <v>26571</v>
      </c>
      <c r="B1072" t="s">
        <v>21</v>
      </c>
      <c r="C1072" t="s">
        <v>31</v>
      </c>
      <c r="D1072">
        <v>337</v>
      </c>
      <c r="E1072">
        <v>50</v>
      </c>
      <c r="F1072">
        <v>12.19</v>
      </c>
      <c r="G1072" t="s">
        <v>36</v>
      </c>
      <c r="H1072" s="1">
        <v>45467</v>
      </c>
      <c r="I1072" s="1">
        <v>45479</v>
      </c>
      <c r="J1072" t="s">
        <v>37</v>
      </c>
      <c r="K1072" t="b">
        <f>Table1[[#This Row],[CurrentStock]]&lt;Table1[[#This Row],[ReorderLevel]]</f>
        <v>0</v>
      </c>
      <c r="L1072" s="9">
        <f>Table1[[#This Row],[CurrentStock]]*Table1[[#This Row],[UnitPrice]]</f>
        <v>4108.03</v>
      </c>
      <c r="M1072" t="str">
        <f>IF(Table1[[#This Row],[ReorderLevel]]-Table1[[#This Row],[CurrentStock]]&gt;0,Table1[[#This Row],[ReorderLevel]]-Table1[[#This Row],[CurrentStock]],"")</f>
        <v/>
      </c>
      <c r="N1072" t="str">
        <f>IF(Table1[[#This Row],[CurrentStock]]&gt;Table1[[#This Row],[ReorderLevel]]*3,"Over Stock","Okay")</f>
        <v>Over Stock</v>
      </c>
      <c r="O1072" t="str">
        <f>IF(Table1[[#This Row],[CurrentStock]]&lt;Table1[[#This Row],[ReorderLevel]],"Reorder","Okay")</f>
        <v>Okay</v>
      </c>
    </row>
    <row r="1073" spans="1:15" x14ac:dyDescent="0.3">
      <c r="A1073">
        <v>66125</v>
      </c>
      <c r="B1073" t="s">
        <v>12</v>
      </c>
      <c r="C1073" t="s">
        <v>28</v>
      </c>
      <c r="D1073">
        <v>287</v>
      </c>
      <c r="E1073">
        <v>100</v>
      </c>
      <c r="F1073">
        <v>192.12</v>
      </c>
      <c r="G1073" t="s">
        <v>36</v>
      </c>
      <c r="H1073" s="1">
        <v>45560</v>
      </c>
      <c r="I1073" s="1">
        <v>45587</v>
      </c>
      <c r="J1073" t="s">
        <v>39</v>
      </c>
      <c r="K1073" t="b">
        <f>Table1[[#This Row],[CurrentStock]]&lt;Table1[[#This Row],[ReorderLevel]]</f>
        <v>0</v>
      </c>
      <c r="L1073" s="9">
        <f>Table1[[#This Row],[CurrentStock]]*Table1[[#This Row],[UnitPrice]]</f>
        <v>55138.44</v>
      </c>
      <c r="M1073" t="str">
        <f>IF(Table1[[#This Row],[ReorderLevel]]-Table1[[#This Row],[CurrentStock]]&gt;0,Table1[[#This Row],[ReorderLevel]]-Table1[[#This Row],[CurrentStock]],"")</f>
        <v/>
      </c>
      <c r="N1073" t="str">
        <f>IF(Table1[[#This Row],[CurrentStock]]&gt;Table1[[#This Row],[ReorderLevel]]*3,"Over Stock","Okay")</f>
        <v>Okay</v>
      </c>
      <c r="O1073" t="str">
        <f>IF(Table1[[#This Row],[CurrentStock]]&lt;Table1[[#This Row],[ReorderLevel]],"Reorder","Okay")</f>
        <v>Okay</v>
      </c>
    </row>
    <row r="1074" spans="1:15" x14ac:dyDescent="0.3">
      <c r="A1074">
        <v>31604</v>
      </c>
      <c r="B1074" t="s">
        <v>18</v>
      </c>
      <c r="C1074" t="s">
        <v>28</v>
      </c>
      <c r="D1074">
        <v>47</v>
      </c>
      <c r="E1074">
        <v>80</v>
      </c>
      <c r="F1074">
        <v>170.44</v>
      </c>
      <c r="G1074" t="s">
        <v>32</v>
      </c>
      <c r="H1074" s="1">
        <v>45493</v>
      </c>
      <c r="I1074" s="1">
        <v>45516</v>
      </c>
      <c r="J1074" t="s">
        <v>37</v>
      </c>
      <c r="K1074" t="b">
        <f>Table1[[#This Row],[CurrentStock]]&lt;Table1[[#This Row],[ReorderLevel]]</f>
        <v>1</v>
      </c>
      <c r="L1074" s="9">
        <f>Table1[[#This Row],[CurrentStock]]*Table1[[#This Row],[UnitPrice]]</f>
        <v>8010.68</v>
      </c>
      <c r="M1074">
        <f>IF(Table1[[#This Row],[ReorderLevel]]-Table1[[#This Row],[CurrentStock]]&gt;0,Table1[[#This Row],[ReorderLevel]]-Table1[[#This Row],[CurrentStock]],"")</f>
        <v>33</v>
      </c>
      <c r="N1074" t="str">
        <f>IF(Table1[[#This Row],[CurrentStock]]&gt;Table1[[#This Row],[ReorderLevel]]*3,"Over Stock","Okay")</f>
        <v>Okay</v>
      </c>
      <c r="O1074" t="str">
        <f>IF(Table1[[#This Row],[CurrentStock]]&lt;Table1[[#This Row],[ReorderLevel]],"Reorder","Okay")</f>
        <v>Reorder</v>
      </c>
    </row>
    <row r="1075" spans="1:15" x14ac:dyDescent="0.3">
      <c r="A1075">
        <v>93629</v>
      </c>
      <c r="B1075" t="s">
        <v>23</v>
      </c>
      <c r="C1075" t="s">
        <v>30</v>
      </c>
      <c r="D1075">
        <v>65</v>
      </c>
      <c r="E1075">
        <v>100</v>
      </c>
      <c r="F1075">
        <v>20.260000000000002</v>
      </c>
      <c r="G1075" t="s">
        <v>32</v>
      </c>
      <c r="H1075" s="1">
        <v>45572</v>
      </c>
      <c r="I1075" s="1">
        <v>45583</v>
      </c>
      <c r="J1075" t="s">
        <v>39</v>
      </c>
      <c r="K1075" t="b">
        <f>Table1[[#This Row],[CurrentStock]]&lt;Table1[[#This Row],[ReorderLevel]]</f>
        <v>1</v>
      </c>
      <c r="L1075" s="9">
        <f>Table1[[#This Row],[CurrentStock]]*Table1[[#This Row],[UnitPrice]]</f>
        <v>1316.9</v>
      </c>
      <c r="M1075">
        <f>IF(Table1[[#This Row],[ReorderLevel]]-Table1[[#This Row],[CurrentStock]]&gt;0,Table1[[#This Row],[ReorderLevel]]-Table1[[#This Row],[CurrentStock]],"")</f>
        <v>35</v>
      </c>
      <c r="N1075" t="str">
        <f>IF(Table1[[#This Row],[CurrentStock]]&gt;Table1[[#This Row],[ReorderLevel]]*3,"Over Stock","Okay")</f>
        <v>Okay</v>
      </c>
      <c r="O1075" t="str">
        <f>IF(Table1[[#This Row],[CurrentStock]]&lt;Table1[[#This Row],[ReorderLevel]],"Reorder","Okay")</f>
        <v>Reorder</v>
      </c>
    </row>
    <row r="1076" spans="1:15" x14ac:dyDescent="0.3">
      <c r="A1076">
        <v>29689</v>
      </c>
      <c r="B1076" t="s">
        <v>26</v>
      </c>
      <c r="C1076" t="s">
        <v>30</v>
      </c>
      <c r="D1076">
        <v>20</v>
      </c>
      <c r="E1076">
        <v>20</v>
      </c>
      <c r="F1076">
        <v>199.02</v>
      </c>
      <c r="G1076" t="s">
        <v>32</v>
      </c>
      <c r="H1076" s="1">
        <v>45324</v>
      </c>
      <c r="I1076" s="1">
        <v>45332</v>
      </c>
      <c r="J1076" t="s">
        <v>38</v>
      </c>
      <c r="K1076" t="b">
        <f>Table1[[#This Row],[CurrentStock]]&lt;Table1[[#This Row],[ReorderLevel]]</f>
        <v>0</v>
      </c>
      <c r="L1076" s="9">
        <f>Table1[[#This Row],[CurrentStock]]*Table1[[#This Row],[UnitPrice]]</f>
        <v>3980.4</v>
      </c>
      <c r="M1076" t="str">
        <f>IF(Table1[[#This Row],[ReorderLevel]]-Table1[[#This Row],[CurrentStock]]&gt;0,Table1[[#This Row],[ReorderLevel]]-Table1[[#This Row],[CurrentStock]],"")</f>
        <v/>
      </c>
      <c r="N1076" t="str">
        <f>IF(Table1[[#This Row],[CurrentStock]]&gt;Table1[[#This Row],[ReorderLevel]]*3,"Over Stock","Okay")</f>
        <v>Okay</v>
      </c>
      <c r="O1076" t="str">
        <f>IF(Table1[[#This Row],[CurrentStock]]&lt;Table1[[#This Row],[ReorderLevel]],"Reorder","Okay")</f>
        <v>Okay</v>
      </c>
    </row>
    <row r="1077" spans="1:15" x14ac:dyDescent="0.3">
      <c r="A1077">
        <v>75277</v>
      </c>
      <c r="B1077" t="s">
        <v>10</v>
      </c>
      <c r="C1077" t="s">
        <v>27</v>
      </c>
      <c r="D1077">
        <v>226</v>
      </c>
      <c r="E1077">
        <v>50</v>
      </c>
      <c r="F1077">
        <v>468.74</v>
      </c>
      <c r="G1077" t="s">
        <v>35</v>
      </c>
      <c r="H1077" s="1">
        <v>45604</v>
      </c>
      <c r="I1077" s="1">
        <v>45631</v>
      </c>
      <c r="J1077" t="s">
        <v>38</v>
      </c>
      <c r="K1077" t="b">
        <f>Table1[[#This Row],[CurrentStock]]&lt;Table1[[#This Row],[ReorderLevel]]</f>
        <v>0</v>
      </c>
      <c r="L1077" s="9">
        <f>Table1[[#This Row],[CurrentStock]]*Table1[[#This Row],[UnitPrice]]</f>
        <v>105935.24</v>
      </c>
      <c r="M1077" t="str">
        <f>IF(Table1[[#This Row],[ReorderLevel]]-Table1[[#This Row],[CurrentStock]]&gt;0,Table1[[#This Row],[ReorderLevel]]-Table1[[#This Row],[CurrentStock]],"")</f>
        <v/>
      </c>
      <c r="N1077" t="str">
        <f>IF(Table1[[#This Row],[CurrentStock]]&gt;Table1[[#This Row],[ReorderLevel]]*3,"Over Stock","Okay")</f>
        <v>Over Stock</v>
      </c>
      <c r="O1077" t="str">
        <f>IF(Table1[[#This Row],[CurrentStock]]&lt;Table1[[#This Row],[ReorderLevel]],"Reorder","Okay")</f>
        <v>Okay</v>
      </c>
    </row>
    <row r="1078" spans="1:15" x14ac:dyDescent="0.3">
      <c r="A1078">
        <v>44651</v>
      </c>
      <c r="B1078" t="s">
        <v>26</v>
      </c>
      <c r="C1078" t="s">
        <v>30</v>
      </c>
      <c r="D1078">
        <v>233</v>
      </c>
      <c r="E1078">
        <v>80</v>
      </c>
      <c r="F1078">
        <v>162.58000000000001</v>
      </c>
      <c r="G1078" t="s">
        <v>34</v>
      </c>
      <c r="H1078" s="1">
        <v>45616</v>
      </c>
      <c r="I1078" s="1">
        <v>45651</v>
      </c>
      <c r="J1078" t="s">
        <v>39</v>
      </c>
      <c r="K1078" t="b">
        <f>Table1[[#This Row],[CurrentStock]]&lt;Table1[[#This Row],[ReorderLevel]]</f>
        <v>0</v>
      </c>
      <c r="L1078" s="9">
        <f>Table1[[#This Row],[CurrentStock]]*Table1[[#This Row],[UnitPrice]]</f>
        <v>37881.14</v>
      </c>
      <c r="M1078" t="str">
        <f>IF(Table1[[#This Row],[ReorderLevel]]-Table1[[#This Row],[CurrentStock]]&gt;0,Table1[[#This Row],[ReorderLevel]]-Table1[[#This Row],[CurrentStock]],"")</f>
        <v/>
      </c>
      <c r="N1078" t="str">
        <f>IF(Table1[[#This Row],[CurrentStock]]&gt;Table1[[#This Row],[ReorderLevel]]*3,"Over Stock","Okay")</f>
        <v>Okay</v>
      </c>
      <c r="O1078" t="str">
        <f>IF(Table1[[#This Row],[CurrentStock]]&lt;Table1[[#This Row],[ReorderLevel]],"Reorder","Okay")</f>
        <v>Okay</v>
      </c>
    </row>
    <row r="1079" spans="1:15" x14ac:dyDescent="0.3">
      <c r="A1079">
        <v>96240</v>
      </c>
      <c r="B1079" t="s">
        <v>25</v>
      </c>
      <c r="C1079" t="s">
        <v>31</v>
      </c>
      <c r="D1079">
        <v>354</v>
      </c>
      <c r="E1079">
        <v>30</v>
      </c>
      <c r="F1079">
        <v>115.43</v>
      </c>
      <c r="G1079" t="s">
        <v>35</v>
      </c>
      <c r="H1079" s="1">
        <v>45607</v>
      </c>
      <c r="I1079" s="1">
        <v>45629</v>
      </c>
      <c r="J1079" t="s">
        <v>38</v>
      </c>
      <c r="K1079" t="b">
        <f>Table1[[#This Row],[CurrentStock]]&lt;Table1[[#This Row],[ReorderLevel]]</f>
        <v>0</v>
      </c>
      <c r="L1079" s="9">
        <f>Table1[[#This Row],[CurrentStock]]*Table1[[#This Row],[UnitPrice]]</f>
        <v>40862.22</v>
      </c>
      <c r="M1079" t="str">
        <f>IF(Table1[[#This Row],[ReorderLevel]]-Table1[[#This Row],[CurrentStock]]&gt;0,Table1[[#This Row],[ReorderLevel]]-Table1[[#This Row],[CurrentStock]],"")</f>
        <v/>
      </c>
      <c r="N1079" t="str">
        <f>IF(Table1[[#This Row],[CurrentStock]]&gt;Table1[[#This Row],[ReorderLevel]]*3,"Over Stock","Okay")</f>
        <v>Over Stock</v>
      </c>
      <c r="O1079" t="str">
        <f>IF(Table1[[#This Row],[CurrentStock]]&lt;Table1[[#This Row],[ReorderLevel]],"Reorder","Okay")</f>
        <v>Okay</v>
      </c>
    </row>
    <row r="1080" spans="1:15" x14ac:dyDescent="0.3">
      <c r="A1080">
        <v>98593</v>
      </c>
      <c r="B1080" t="s">
        <v>16</v>
      </c>
      <c r="C1080" t="s">
        <v>30</v>
      </c>
      <c r="D1080">
        <v>379</v>
      </c>
      <c r="E1080">
        <v>30</v>
      </c>
      <c r="F1080">
        <v>470.57</v>
      </c>
      <c r="G1080" t="s">
        <v>35</v>
      </c>
      <c r="H1080" s="1">
        <v>45526</v>
      </c>
      <c r="I1080" s="1">
        <v>45562</v>
      </c>
      <c r="J1080" t="s">
        <v>39</v>
      </c>
      <c r="K1080" t="b">
        <f>Table1[[#This Row],[CurrentStock]]&lt;Table1[[#This Row],[ReorderLevel]]</f>
        <v>0</v>
      </c>
      <c r="L1080" s="9">
        <f>Table1[[#This Row],[CurrentStock]]*Table1[[#This Row],[UnitPrice]]</f>
        <v>178346.03</v>
      </c>
      <c r="M1080" t="str">
        <f>IF(Table1[[#This Row],[ReorderLevel]]-Table1[[#This Row],[CurrentStock]]&gt;0,Table1[[#This Row],[ReorderLevel]]-Table1[[#This Row],[CurrentStock]],"")</f>
        <v/>
      </c>
      <c r="N1080" t="str">
        <f>IF(Table1[[#This Row],[CurrentStock]]&gt;Table1[[#This Row],[ReorderLevel]]*3,"Over Stock","Okay")</f>
        <v>Over Stock</v>
      </c>
      <c r="O1080" t="str">
        <f>IF(Table1[[#This Row],[CurrentStock]]&lt;Table1[[#This Row],[ReorderLevel]],"Reorder","Okay")</f>
        <v>Okay</v>
      </c>
    </row>
    <row r="1081" spans="1:15" x14ac:dyDescent="0.3">
      <c r="A1081">
        <v>47180</v>
      </c>
      <c r="B1081" t="s">
        <v>21</v>
      </c>
      <c r="C1081" t="s">
        <v>31</v>
      </c>
      <c r="D1081">
        <v>244</v>
      </c>
      <c r="E1081">
        <v>40</v>
      </c>
      <c r="F1081">
        <v>429.08</v>
      </c>
      <c r="G1081" t="s">
        <v>34</v>
      </c>
      <c r="H1081" s="1">
        <v>45326</v>
      </c>
      <c r="I1081" s="1">
        <v>45341</v>
      </c>
      <c r="J1081" t="s">
        <v>37</v>
      </c>
      <c r="K1081" t="b">
        <f>Table1[[#This Row],[CurrentStock]]&lt;Table1[[#This Row],[ReorderLevel]]</f>
        <v>0</v>
      </c>
      <c r="L1081" s="9">
        <f>Table1[[#This Row],[CurrentStock]]*Table1[[#This Row],[UnitPrice]]</f>
        <v>104695.51999999999</v>
      </c>
      <c r="M1081" t="str">
        <f>IF(Table1[[#This Row],[ReorderLevel]]-Table1[[#This Row],[CurrentStock]]&gt;0,Table1[[#This Row],[ReorderLevel]]-Table1[[#This Row],[CurrentStock]],"")</f>
        <v/>
      </c>
      <c r="N1081" t="str">
        <f>IF(Table1[[#This Row],[CurrentStock]]&gt;Table1[[#This Row],[ReorderLevel]]*3,"Over Stock","Okay")</f>
        <v>Over Stock</v>
      </c>
      <c r="O1081" t="str">
        <f>IF(Table1[[#This Row],[CurrentStock]]&lt;Table1[[#This Row],[ReorderLevel]],"Reorder","Okay")</f>
        <v>Okay</v>
      </c>
    </row>
    <row r="1082" spans="1:15" x14ac:dyDescent="0.3">
      <c r="A1082">
        <v>56978</v>
      </c>
      <c r="B1082" t="s">
        <v>10</v>
      </c>
      <c r="C1082" t="s">
        <v>27</v>
      </c>
      <c r="D1082">
        <v>431</v>
      </c>
      <c r="E1082">
        <v>50</v>
      </c>
      <c r="F1082">
        <v>209.67</v>
      </c>
      <c r="G1082" t="s">
        <v>36</v>
      </c>
      <c r="H1082" s="1">
        <v>45457</v>
      </c>
      <c r="I1082" s="1">
        <v>45462</v>
      </c>
      <c r="J1082" t="s">
        <v>39</v>
      </c>
      <c r="K1082" t="b">
        <f>Table1[[#This Row],[CurrentStock]]&lt;Table1[[#This Row],[ReorderLevel]]</f>
        <v>0</v>
      </c>
      <c r="L1082" s="9">
        <f>Table1[[#This Row],[CurrentStock]]*Table1[[#This Row],[UnitPrice]]</f>
        <v>90367.76999999999</v>
      </c>
      <c r="M1082" t="str">
        <f>IF(Table1[[#This Row],[ReorderLevel]]-Table1[[#This Row],[CurrentStock]]&gt;0,Table1[[#This Row],[ReorderLevel]]-Table1[[#This Row],[CurrentStock]],"")</f>
        <v/>
      </c>
      <c r="N1082" t="str">
        <f>IF(Table1[[#This Row],[CurrentStock]]&gt;Table1[[#This Row],[ReorderLevel]]*3,"Over Stock","Okay")</f>
        <v>Over Stock</v>
      </c>
      <c r="O1082" t="str">
        <f>IF(Table1[[#This Row],[CurrentStock]]&lt;Table1[[#This Row],[ReorderLevel]],"Reorder","Okay")</f>
        <v>Okay</v>
      </c>
    </row>
    <row r="1083" spans="1:15" x14ac:dyDescent="0.3">
      <c r="A1083">
        <v>54706</v>
      </c>
      <c r="B1083" t="s">
        <v>12</v>
      </c>
      <c r="C1083" t="s">
        <v>28</v>
      </c>
      <c r="D1083">
        <v>205</v>
      </c>
      <c r="E1083">
        <v>20</v>
      </c>
      <c r="F1083">
        <v>286.32</v>
      </c>
      <c r="G1083" t="s">
        <v>32</v>
      </c>
      <c r="H1083" s="1">
        <v>45541</v>
      </c>
      <c r="I1083" s="1">
        <v>45558</v>
      </c>
      <c r="J1083" t="s">
        <v>39</v>
      </c>
      <c r="K1083" t="b">
        <f>Table1[[#This Row],[CurrentStock]]&lt;Table1[[#This Row],[ReorderLevel]]</f>
        <v>0</v>
      </c>
      <c r="L1083" s="9">
        <f>Table1[[#This Row],[CurrentStock]]*Table1[[#This Row],[UnitPrice]]</f>
        <v>58695.6</v>
      </c>
      <c r="M1083" t="str">
        <f>IF(Table1[[#This Row],[ReorderLevel]]-Table1[[#This Row],[CurrentStock]]&gt;0,Table1[[#This Row],[ReorderLevel]]-Table1[[#This Row],[CurrentStock]],"")</f>
        <v/>
      </c>
      <c r="N1083" t="str">
        <f>IF(Table1[[#This Row],[CurrentStock]]&gt;Table1[[#This Row],[ReorderLevel]]*3,"Over Stock","Okay")</f>
        <v>Over Stock</v>
      </c>
      <c r="O1083" t="str">
        <f>IF(Table1[[#This Row],[CurrentStock]]&lt;Table1[[#This Row],[ReorderLevel]],"Reorder","Okay")</f>
        <v>Okay</v>
      </c>
    </row>
    <row r="1084" spans="1:15" x14ac:dyDescent="0.3">
      <c r="A1084">
        <v>38460</v>
      </c>
      <c r="B1084" t="s">
        <v>17</v>
      </c>
      <c r="C1084" t="s">
        <v>30</v>
      </c>
      <c r="D1084">
        <v>255</v>
      </c>
      <c r="E1084">
        <v>40</v>
      </c>
      <c r="F1084">
        <v>433.88</v>
      </c>
      <c r="G1084" t="s">
        <v>34</v>
      </c>
      <c r="H1084" s="1">
        <v>45437</v>
      </c>
      <c r="I1084" s="1">
        <v>45448</v>
      </c>
      <c r="J1084" t="s">
        <v>37</v>
      </c>
      <c r="K1084" t="b">
        <f>Table1[[#This Row],[CurrentStock]]&lt;Table1[[#This Row],[ReorderLevel]]</f>
        <v>0</v>
      </c>
      <c r="L1084" s="9">
        <f>Table1[[#This Row],[CurrentStock]]*Table1[[#This Row],[UnitPrice]]</f>
        <v>110639.4</v>
      </c>
      <c r="M1084" t="str">
        <f>IF(Table1[[#This Row],[ReorderLevel]]-Table1[[#This Row],[CurrentStock]]&gt;0,Table1[[#This Row],[ReorderLevel]]-Table1[[#This Row],[CurrentStock]],"")</f>
        <v/>
      </c>
      <c r="N1084" t="str">
        <f>IF(Table1[[#This Row],[CurrentStock]]&gt;Table1[[#This Row],[ReorderLevel]]*3,"Over Stock","Okay")</f>
        <v>Over Stock</v>
      </c>
      <c r="O1084" t="str">
        <f>IF(Table1[[#This Row],[CurrentStock]]&lt;Table1[[#This Row],[ReorderLevel]],"Reorder","Okay")</f>
        <v>Okay</v>
      </c>
    </row>
    <row r="1085" spans="1:15" x14ac:dyDescent="0.3">
      <c r="A1085">
        <v>43001</v>
      </c>
      <c r="B1085" t="s">
        <v>24</v>
      </c>
      <c r="C1085" t="s">
        <v>31</v>
      </c>
      <c r="D1085">
        <v>390</v>
      </c>
      <c r="E1085">
        <v>150</v>
      </c>
      <c r="F1085">
        <v>419.09</v>
      </c>
      <c r="G1085" t="s">
        <v>36</v>
      </c>
      <c r="H1085" s="1">
        <v>45526</v>
      </c>
      <c r="I1085" s="1">
        <v>45532</v>
      </c>
      <c r="J1085" t="s">
        <v>37</v>
      </c>
      <c r="K1085" t="b">
        <f>Table1[[#This Row],[CurrentStock]]&lt;Table1[[#This Row],[ReorderLevel]]</f>
        <v>0</v>
      </c>
      <c r="L1085" s="9">
        <f>Table1[[#This Row],[CurrentStock]]*Table1[[#This Row],[UnitPrice]]</f>
        <v>163445.09999999998</v>
      </c>
      <c r="M1085" t="str">
        <f>IF(Table1[[#This Row],[ReorderLevel]]-Table1[[#This Row],[CurrentStock]]&gt;0,Table1[[#This Row],[ReorderLevel]]-Table1[[#This Row],[CurrentStock]],"")</f>
        <v/>
      </c>
      <c r="N1085" t="str">
        <f>IF(Table1[[#This Row],[CurrentStock]]&gt;Table1[[#This Row],[ReorderLevel]]*3,"Over Stock","Okay")</f>
        <v>Okay</v>
      </c>
      <c r="O1085" t="str">
        <f>IF(Table1[[#This Row],[CurrentStock]]&lt;Table1[[#This Row],[ReorderLevel]],"Reorder","Okay")</f>
        <v>Okay</v>
      </c>
    </row>
    <row r="1086" spans="1:15" x14ac:dyDescent="0.3">
      <c r="A1086">
        <v>76267</v>
      </c>
      <c r="B1086" t="s">
        <v>13</v>
      </c>
      <c r="C1086" t="s">
        <v>29</v>
      </c>
      <c r="D1086">
        <v>377</v>
      </c>
      <c r="E1086">
        <v>150</v>
      </c>
      <c r="F1086">
        <v>103.07</v>
      </c>
      <c r="G1086" t="s">
        <v>34</v>
      </c>
      <c r="H1086" s="1">
        <v>45475</v>
      </c>
      <c r="I1086" s="1">
        <v>45485</v>
      </c>
      <c r="J1086" t="s">
        <v>39</v>
      </c>
      <c r="K1086" t="b">
        <f>Table1[[#This Row],[CurrentStock]]&lt;Table1[[#This Row],[ReorderLevel]]</f>
        <v>0</v>
      </c>
      <c r="L1086" s="9">
        <f>Table1[[#This Row],[CurrentStock]]*Table1[[#This Row],[UnitPrice]]</f>
        <v>38857.39</v>
      </c>
      <c r="M1086" t="str">
        <f>IF(Table1[[#This Row],[ReorderLevel]]-Table1[[#This Row],[CurrentStock]]&gt;0,Table1[[#This Row],[ReorderLevel]]-Table1[[#This Row],[CurrentStock]],"")</f>
        <v/>
      </c>
      <c r="N1086" t="str">
        <f>IF(Table1[[#This Row],[CurrentStock]]&gt;Table1[[#This Row],[ReorderLevel]]*3,"Over Stock","Okay")</f>
        <v>Okay</v>
      </c>
      <c r="O1086" t="str">
        <f>IF(Table1[[#This Row],[CurrentStock]]&lt;Table1[[#This Row],[ReorderLevel]],"Reorder","Okay")</f>
        <v>Okay</v>
      </c>
    </row>
    <row r="1087" spans="1:15" x14ac:dyDescent="0.3">
      <c r="A1087">
        <v>61690</v>
      </c>
      <c r="B1087" t="s">
        <v>21</v>
      </c>
      <c r="C1087" t="s">
        <v>31</v>
      </c>
      <c r="D1087">
        <v>323</v>
      </c>
      <c r="E1087">
        <v>150</v>
      </c>
      <c r="F1087">
        <v>152.38999999999999</v>
      </c>
      <c r="G1087" t="s">
        <v>35</v>
      </c>
      <c r="H1087" s="1">
        <v>45405</v>
      </c>
      <c r="I1087" s="1">
        <v>45417</v>
      </c>
      <c r="J1087" t="s">
        <v>38</v>
      </c>
      <c r="K1087" t="b">
        <f>Table1[[#This Row],[CurrentStock]]&lt;Table1[[#This Row],[ReorderLevel]]</f>
        <v>0</v>
      </c>
      <c r="L1087" s="9">
        <f>Table1[[#This Row],[CurrentStock]]*Table1[[#This Row],[UnitPrice]]</f>
        <v>49221.969999999994</v>
      </c>
      <c r="M1087" t="str">
        <f>IF(Table1[[#This Row],[ReorderLevel]]-Table1[[#This Row],[CurrentStock]]&gt;0,Table1[[#This Row],[ReorderLevel]]-Table1[[#This Row],[CurrentStock]],"")</f>
        <v/>
      </c>
      <c r="N1087" t="str">
        <f>IF(Table1[[#This Row],[CurrentStock]]&gt;Table1[[#This Row],[ReorderLevel]]*3,"Over Stock","Okay")</f>
        <v>Okay</v>
      </c>
      <c r="O1087" t="str">
        <f>IF(Table1[[#This Row],[CurrentStock]]&lt;Table1[[#This Row],[ReorderLevel]],"Reorder","Okay")</f>
        <v>Okay</v>
      </c>
    </row>
    <row r="1088" spans="1:15" x14ac:dyDescent="0.3">
      <c r="A1088">
        <v>14261</v>
      </c>
      <c r="B1088" t="s">
        <v>12</v>
      </c>
      <c r="C1088" t="s">
        <v>28</v>
      </c>
      <c r="D1088">
        <v>462</v>
      </c>
      <c r="E1088">
        <v>100</v>
      </c>
      <c r="F1088">
        <v>12.65</v>
      </c>
      <c r="G1088" t="s">
        <v>33</v>
      </c>
      <c r="H1088" s="1">
        <v>45295</v>
      </c>
      <c r="I1088" s="1">
        <v>45305</v>
      </c>
      <c r="J1088" t="s">
        <v>38</v>
      </c>
      <c r="K1088" t="b">
        <f>Table1[[#This Row],[CurrentStock]]&lt;Table1[[#This Row],[ReorderLevel]]</f>
        <v>0</v>
      </c>
      <c r="L1088" s="9">
        <f>Table1[[#This Row],[CurrentStock]]*Table1[[#This Row],[UnitPrice]]</f>
        <v>5844.3</v>
      </c>
      <c r="M1088" t="str">
        <f>IF(Table1[[#This Row],[ReorderLevel]]-Table1[[#This Row],[CurrentStock]]&gt;0,Table1[[#This Row],[ReorderLevel]]-Table1[[#This Row],[CurrentStock]],"")</f>
        <v/>
      </c>
      <c r="N1088" t="str">
        <f>IF(Table1[[#This Row],[CurrentStock]]&gt;Table1[[#This Row],[ReorderLevel]]*3,"Over Stock","Okay")</f>
        <v>Over Stock</v>
      </c>
      <c r="O1088" t="str">
        <f>IF(Table1[[#This Row],[CurrentStock]]&lt;Table1[[#This Row],[ReorderLevel]],"Reorder","Okay")</f>
        <v>Okay</v>
      </c>
    </row>
    <row r="1089" spans="1:15" x14ac:dyDescent="0.3">
      <c r="A1089">
        <v>19422</v>
      </c>
      <c r="B1089" t="s">
        <v>24</v>
      </c>
      <c r="C1089" t="s">
        <v>31</v>
      </c>
      <c r="D1089">
        <v>215</v>
      </c>
      <c r="E1089">
        <v>50</v>
      </c>
      <c r="F1089">
        <v>284.27999999999997</v>
      </c>
      <c r="G1089" t="s">
        <v>32</v>
      </c>
      <c r="H1089" s="1">
        <v>45496</v>
      </c>
      <c r="I1089" s="1">
        <v>45535</v>
      </c>
      <c r="J1089" t="s">
        <v>39</v>
      </c>
      <c r="K1089" t="b">
        <f>Table1[[#This Row],[CurrentStock]]&lt;Table1[[#This Row],[ReorderLevel]]</f>
        <v>0</v>
      </c>
      <c r="L1089" s="9">
        <f>Table1[[#This Row],[CurrentStock]]*Table1[[#This Row],[UnitPrice]]</f>
        <v>61120.2</v>
      </c>
      <c r="M1089" t="str">
        <f>IF(Table1[[#This Row],[ReorderLevel]]-Table1[[#This Row],[CurrentStock]]&gt;0,Table1[[#This Row],[ReorderLevel]]-Table1[[#This Row],[CurrentStock]],"")</f>
        <v/>
      </c>
      <c r="N1089" t="str">
        <f>IF(Table1[[#This Row],[CurrentStock]]&gt;Table1[[#This Row],[ReorderLevel]]*3,"Over Stock","Okay")</f>
        <v>Over Stock</v>
      </c>
      <c r="O1089" t="str">
        <f>IF(Table1[[#This Row],[CurrentStock]]&lt;Table1[[#This Row],[ReorderLevel]],"Reorder","Okay")</f>
        <v>Okay</v>
      </c>
    </row>
    <row r="1090" spans="1:15" x14ac:dyDescent="0.3">
      <c r="A1090">
        <v>34435</v>
      </c>
      <c r="B1090" t="s">
        <v>17</v>
      </c>
      <c r="C1090" t="s">
        <v>30</v>
      </c>
      <c r="D1090">
        <v>317</v>
      </c>
      <c r="E1090">
        <v>20</v>
      </c>
      <c r="F1090">
        <v>254.27</v>
      </c>
      <c r="G1090" t="s">
        <v>36</v>
      </c>
      <c r="H1090" s="1">
        <v>45538</v>
      </c>
      <c r="I1090" s="1">
        <v>45577</v>
      </c>
      <c r="J1090" t="s">
        <v>39</v>
      </c>
      <c r="K1090" t="b">
        <f>Table1[[#This Row],[CurrentStock]]&lt;Table1[[#This Row],[ReorderLevel]]</f>
        <v>0</v>
      </c>
      <c r="L1090" s="9">
        <f>Table1[[#This Row],[CurrentStock]]*Table1[[#This Row],[UnitPrice]]</f>
        <v>80603.59</v>
      </c>
      <c r="M1090" t="str">
        <f>IF(Table1[[#This Row],[ReorderLevel]]-Table1[[#This Row],[CurrentStock]]&gt;0,Table1[[#This Row],[ReorderLevel]]-Table1[[#This Row],[CurrentStock]],"")</f>
        <v/>
      </c>
      <c r="N1090" t="str">
        <f>IF(Table1[[#This Row],[CurrentStock]]&gt;Table1[[#This Row],[ReorderLevel]]*3,"Over Stock","Okay")</f>
        <v>Over Stock</v>
      </c>
      <c r="O1090" t="str">
        <f>IF(Table1[[#This Row],[CurrentStock]]&lt;Table1[[#This Row],[ReorderLevel]],"Reorder","Okay")</f>
        <v>Okay</v>
      </c>
    </row>
    <row r="1091" spans="1:15" x14ac:dyDescent="0.3">
      <c r="A1091">
        <v>84034</v>
      </c>
      <c r="B1091" t="s">
        <v>13</v>
      </c>
      <c r="C1091" t="s">
        <v>29</v>
      </c>
      <c r="D1091">
        <v>380</v>
      </c>
      <c r="E1091">
        <v>100</v>
      </c>
      <c r="F1091">
        <v>247.77</v>
      </c>
      <c r="G1091" t="s">
        <v>32</v>
      </c>
      <c r="H1091" s="1">
        <v>45312</v>
      </c>
      <c r="I1091" s="1">
        <v>45351</v>
      </c>
      <c r="J1091" t="s">
        <v>38</v>
      </c>
      <c r="K1091" t="b">
        <f>Table1[[#This Row],[CurrentStock]]&lt;Table1[[#This Row],[ReorderLevel]]</f>
        <v>0</v>
      </c>
      <c r="L1091" s="9">
        <f>Table1[[#This Row],[CurrentStock]]*Table1[[#This Row],[UnitPrice]]</f>
        <v>94152.6</v>
      </c>
      <c r="M1091" t="str">
        <f>IF(Table1[[#This Row],[ReorderLevel]]-Table1[[#This Row],[CurrentStock]]&gt;0,Table1[[#This Row],[ReorderLevel]]-Table1[[#This Row],[CurrentStock]],"")</f>
        <v/>
      </c>
      <c r="N1091" t="str">
        <f>IF(Table1[[#This Row],[CurrentStock]]&gt;Table1[[#This Row],[ReorderLevel]]*3,"Over Stock","Okay")</f>
        <v>Over Stock</v>
      </c>
      <c r="O1091" t="str">
        <f>IF(Table1[[#This Row],[CurrentStock]]&lt;Table1[[#This Row],[ReorderLevel]],"Reorder","Okay")</f>
        <v>Okay</v>
      </c>
    </row>
    <row r="1092" spans="1:15" x14ac:dyDescent="0.3">
      <c r="A1092">
        <v>85160</v>
      </c>
      <c r="B1092" t="s">
        <v>16</v>
      </c>
      <c r="C1092" t="s">
        <v>30</v>
      </c>
      <c r="D1092">
        <v>427</v>
      </c>
      <c r="E1092">
        <v>20</v>
      </c>
      <c r="F1092">
        <v>496.09</v>
      </c>
      <c r="G1092" t="s">
        <v>34</v>
      </c>
      <c r="H1092" s="1">
        <v>45379</v>
      </c>
      <c r="I1092" s="1">
        <v>45399</v>
      </c>
      <c r="J1092" t="s">
        <v>38</v>
      </c>
      <c r="K1092" t="b">
        <f>Table1[[#This Row],[CurrentStock]]&lt;Table1[[#This Row],[ReorderLevel]]</f>
        <v>0</v>
      </c>
      <c r="L1092" s="9">
        <f>Table1[[#This Row],[CurrentStock]]*Table1[[#This Row],[UnitPrice]]</f>
        <v>211830.43</v>
      </c>
      <c r="M1092" t="str">
        <f>IF(Table1[[#This Row],[ReorderLevel]]-Table1[[#This Row],[CurrentStock]]&gt;0,Table1[[#This Row],[ReorderLevel]]-Table1[[#This Row],[CurrentStock]],"")</f>
        <v/>
      </c>
      <c r="N1092" t="str">
        <f>IF(Table1[[#This Row],[CurrentStock]]&gt;Table1[[#This Row],[ReorderLevel]]*3,"Over Stock","Okay")</f>
        <v>Over Stock</v>
      </c>
      <c r="O1092" t="str">
        <f>IF(Table1[[#This Row],[CurrentStock]]&lt;Table1[[#This Row],[ReorderLevel]],"Reorder","Okay")</f>
        <v>Okay</v>
      </c>
    </row>
    <row r="1093" spans="1:15" x14ac:dyDescent="0.3">
      <c r="A1093">
        <v>96576</v>
      </c>
      <c r="B1093" t="s">
        <v>15</v>
      </c>
      <c r="C1093" t="s">
        <v>29</v>
      </c>
      <c r="D1093">
        <v>138</v>
      </c>
      <c r="E1093">
        <v>40</v>
      </c>
      <c r="F1093">
        <v>218.95</v>
      </c>
      <c r="G1093" t="s">
        <v>35</v>
      </c>
      <c r="H1093" s="1">
        <v>45426</v>
      </c>
      <c r="I1093" s="1">
        <v>45431</v>
      </c>
      <c r="J1093" t="s">
        <v>37</v>
      </c>
      <c r="K1093" t="b">
        <f>Table1[[#This Row],[CurrentStock]]&lt;Table1[[#This Row],[ReorderLevel]]</f>
        <v>0</v>
      </c>
      <c r="L1093" s="9">
        <f>Table1[[#This Row],[CurrentStock]]*Table1[[#This Row],[UnitPrice]]</f>
        <v>30215.1</v>
      </c>
      <c r="M1093" t="str">
        <f>IF(Table1[[#This Row],[ReorderLevel]]-Table1[[#This Row],[CurrentStock]]&gt;0,Table1[[#This Row],[ReorderLevel]]-Table1[[#This Row],[CurrentStock]],"")</f>
        <v/>
      </c>
      <c r="N1093" t="str">
        <f>IF(Table1[[#This Row],[CurrentStock]]&gt;Table1[[#This Row],[ReorderLevel]]*3,"Over Stock","Okay")</f>
        <v>Over Stock</v>
      </c>
      <c r="O1093" t="str">
        <f>IF(Table1[[#This Row],[CurrentStock]]&lt;Table1[[#This Row],[ReorderLevel]],"Reorder","Okay")</f>
        <v>Okay</v>
      </c>
    </row>
    <row r="1094" spans="1:15" x14ac:dyDescent="0.3">
      <c r="A1094">
        <v>32923</v>
      </c>
      <c r="B1094" t="s">
        <v>25</v>
      </c>
      <c r="C1094" t="s">
        <v>31</v>
      </c>
      <c r="D1094">
        <v>428</v>
      </c>
      <c r="E1094">
        <v>40</v>
      </c>
      <c r="F1094">
        <v>323.57</v>
      </c>
      <c r="G1094" t="s">
        <v>34</v>
      </c>
      <c r="H1094" s="1">
        <v>45649</v>
      </c>
      <c r="I1094" s="1">
        <v>45686</v>
      </c>
      <c r="J1094" t="s">
        <v>38</v>
      </c>
      <c r="K1094" t="b">
        <f>Table1[[#This Row],[CurrentStock]]&lt;Table1[[#This Row],[ReorderLevel]]</f>
        <v>0</v>
      </c>
      <c r="L1094" s="9">
        <f>Table1[[#This Row],[CurrentStock]]*Table1[[#This Row],[UnitPrice]]</f>
        <v>138487.96</v>
      </c>
      <c r="M1094" t="str">
        <f>IF(Table1[[#This Row],[ReorderLevel]]-Table1[[#This Row],[CurrentStock]]&gt;0,Table1[[#This Row],[ReorderLevel]]-Table1[[#This Row],[CurrentStock]],"")</f>
        <v/>
      </c>
      <c r="N1094" t="str">
        <f>IF(Table1[[#This Row],[CurrentStock]]&gt;Table1[[#This Row],[ReorderLevel]]*3,"Over Stock","Okay")</f>
        <v>Over Stock</v>
      </c>
      <c r="O1094" t="str">
        <f>IF(Table1[[#This Row],[CurrentStock]]&lt;Table1[[#This Row],[ReorderLevel]],"Reorder","Okay")</f>
        <v>Okay</v>
      </c>
    </row>
    <row r="1095" spans="1:15" x14ac:dyDescent="0.3">
      <c r="A1095">
        <v>67811</v>
      </c>
      <c r="B1095" t="s">
        <v>20</v>
      </c>
      <c r="C1095" t="s">
        <v>29</v>
      </c>
      <c r="D1095">
        <v>35</v>
      </c>
      <c r="E1095">
        <v>40</v>
      </c>
      <c r="F1095">
        <v>427.41</v>
      </c>
      <c r="G1095" t="s">
        <v>34</v>
      </c>
      <c r="H1095" s="1">
        <v>45446</v>
      </c>
      <c r="I1095" s="1">
        <v>45483</v>
      </c>
      <c r="J1095" t="s">
        <v>37</v>
      </c>
      <c r="K1095" t="b">
        <f>Table1[[#This Row],[CurrentStock]]&lt;Table1[[#This Row],[ReorderLevel]]</f>
        <v>1</v>
      </c>
      <c r="L1095" s="9">
        <f>Table1[[#This Row],[CurrentStock]]*Table1[[#This Row],[UnitPrice]]</f>
        <v>14959.35</v>
      </c>
      <c r="M1095">
        <f>IF(Table1[[#This Row],[ReorderLevel]]-Table1[[#This Row],[CurrentStock]]&gt;0,Table1[[#This Row],[ReorderLevel]]-Table1[[#This Row],[CurrentStock]],"")</f>
        <v>5</v>
      </c>
      <c r="N1095" t="str">
        <f>IF(Table1[[#This Row],[CurrentStock]]&gt;Table1[[#This Row],[ReorderLevel]]*3,"Over Stock","Okay")</f>
        <v>Okay</v>
      </c>
      <c r="O1095" t="str">
        <f>IF(Table1[[#This Row],[CurrentStock]]&lt;Table1[[#This Row],[ReorderLevel]],"Reorder","Okay")</f>
        <v>Reorder</v>
      </c>
    </row>
    <row r="1096" spans="1:15" x14ac:dyDescent="0.3">
      <c r="A1096">
        <v>87518</v>
      </c>
      <c r="B1096" t="s">
        <v>17</v>
      </c>
      <c r="C1096" t="s">
        <v>30</v>
      </c>
      <c r="D1096">
        <v>375</v>
      </c>
      <c r="E1096">
        <v>150</v>
      </c>
      <c r="F1096">
        <v>134.94</v>
      </c>
      <c r="G1096" t="s">
        <v>33</v>
      </c>
      <c r="H1096" s="1">
        <v>45310</v>
      </c>
      <c r="I1096" s="1">
        <v>45327</v>
      </c>
      <c r="J1096" t="s">
        <v>39</v>
      </c>
      <c r="K1096" t="b">
        <f>Table1[[#This Row],[CurrentStock]]&lt;Table1[[#This Row],[ReorderLevel]]</f>
        <v>0</v>
      </c>
      <c r="L1096" s="9">
        <f>Table1[[#This Row],[CurrentStock]]*Table1[[#This Row],[UnitPrice]]</f>
        <v>50602.5</v>
      </c>
      <c r="M1096" t="str">
        <f>IF(Table1[[#This Row],[ReorderLevel]]-Table1[[#This Row],[CurrentStock]]&gt;0,Table1[[#This Row],[ReorderLevel]]-Table1[[#This Row],[CurrentStock]],"")</f>
        <v/>
      </c>
      <c r="N1096" t="str">
        <f>IF(Table1[[#This Row],[CurrentStock]]&gt;Table1[[#This Row],[ReorderLevel]]*3,"Over Stock","Okay")</f>
        <v>Okay</v>
      </c>
      <c r="O1096" t="str">
        <f>IF(Table1[[#This Row],[CurrentStock]]&lt;Table1[[#This Row],[ReorderLevel]],"Reorder","Okay")</f>
        <v>Okay</v>
      </c>
    </row>
    <row r="1097" spans="1:15" x14ac:dyDescent="0.3">
      <c r="A1097">
        <v>55227</v>
      </c>
      <c r="B1097" t="s">
        <v>18</v>
      </c>
      <c r="C1097" t="s">
        <v>28</v>
      </c>
      <c r="D1097">
        <v>432</v>
      </c>
      <c r="E1097">
        <v>20</v>
      </c>
      <c r="F1097">
        <v>193.8</v>
      </c>
      <c r="G1097" t="s">
        <v>33</v>
      </c>
      <c r="H1097" s="1">
        <v>45527</v>
      </c>
      <c r="I1097" s="1">
        <v>45561</v>
      </c>
      <c r="J1097" t="s">
        <v>38</v>
      </c>
      <c r="K1097" t="b">
        <f>Table1[[#This Row],[CurrentStock]]&lt;Table1[[#This Row],[ReorderLevel]]</f>
        <v>0</v>
      </c>
      <c r="L1097" s="9">
        <f>Table1[[#This Row],[CurrentStock]]*Table1[[#This Row],[UnitPrice]]</f>
        <v>83721.600000000006</v>
      </c>
      <c r="M1097" t="str">
        <f>IF(Table1[[#This Row],[ReorderLevel]]-Table1[[#This Row],[CurrentStock]]&gt;0,Table1[[#This Row],[ReorderLevel]]-Table1[[#This Row],[CurrentStock]],"")</f>
        <v/>
      </c>
      <c r="N1097" t="str">
        <f>IF(Table1[[#This Row],[CurrentStock]]&gt;Table1[[#This Row],[ReorderLevel]]*3,"Over Stock","Okay")</f>
        <v>Over Stock</v>
      </c>
      <c r="O1097" t="str">
        <f>IF(Table1[[#This Row],[CurrentStock]]&lt;Table1[[#This Row],[ReorderLevel]],"Reorder","Okay")</f>
        <v>Okay</v>
      </c>
    </row>
    <row r="1098" spans="1:15" x14ac:dyDescent="0.3">
      <c r="A1098">
        <v>26375</v>
      </c>
      <c r="B1098" t="s">
        <v>20</v>
      </c>
      <c r="C1098" t="s">
        <v>29</v>
      </c>
      <c r="D1098">
        <v>257</v>
      </c>
      <c r="E1098">
        <v>50</v>
      </c>
      <c r="F1098">
        <v>89.84</v>
      </c>
      <c r="G1098" t="s">
        <v>32</v>
      </c>
      <c r="H1098" s="1">
        <v>45445</v>
      </c>
      <c r="I1098" s="1">
        <v>45464</v>
      </c>
      <c r="J1098" t="s">
        <v>39</v>
      </c>
      <c r="K1098" t="b">
        <f>Table1[[#This Row],[CurrentStock]]&lt;Table1[[#This Row],[ReorderLevel]]</f>
        <v>0</v>
      </c>
      <c r="L1098" s="9">
        <f>Table1[[#This Row],[CurrentStock]]*Table1[[#This Row],[UnitPrice]]</f>
        <v>23088.880000000001</v>
      </c>
      <c r="M1098" t="str">
        <f>IF(Table1[[#This Row],[ReorderLevel]]-Table1[[#This Row],[CurrentStock]]&gt;0,Table1[[#This Row],[ReorderLevel]]-Table1[[#This Row],[CurrentStock]],"")</f>
        <v/>
      </c>
      <c r="N1098" t="str">
        <f>IF(Table1[[#This Row],[CurrentStock]]&gt;Table1[[#This Row],[ReorderLevel]]*3,"Over Stock","Okay")</f>
        <v>Over Stock</v>
      </c>
      <c r="O1098" t="str">
        <f>IF(Table1[[#This Row],[CurrentStock]]&lt;Table1[[#This Row],[ReorderLevel]],"Reorder","Okay")</f>
        <v>Okay</v>
      </c>
    </row>
    <row r="1099" spans="1:15" x14ac:dyDescent="0.3">
      <c r="A1099">
        <v>23795</v>
      </c>
      <c r="B1099" t="s">
        <v>25</v>
      </c>
      <c r="C1099" t="s">
        <v>31</v>
      </c>
      <c r="D1099">
        <v>347</v>
      </c>
      <c r="E1099">
        <v>150</v>
      </c>
      <c r="F1099">
        <v>79.400000000000006</v>
      </c>
      <c r="G1099" t="s">
        <v>36</v>
      </c>
      <c r="H1099" s="1">
        <v>45541</v>
      </c>
      <c r="I1099" s="1">
        <v>45552</v>
      </c>
      <c r="J1099" t="s">
        <v>38</v>
      </c>
      <c r="K1099" t="b">
        <f>Table1[[#This Row],[CurrentStock]]&lt;Table1[[#This Row],[ReorderLevel]]</f>
        <v>0</v>
      </c>
      <c r="L1099" s="9">
        <f>Table1[[#This Row],[CurrentStock]]*Table1[[#This Row],[UnitPrice]]</f>
        <v>27551.800000000003</v>
      </c>
      <c r="M1099" t="str">
        <f>IF(Table1[[#This Row],[ReorderLevel]]-Table1[[#This Row],[CurrentStock]]&gt;0,Table1[[#This Row],[ReorderLevel]]-Table1[[#This Row],[CurrentStock]],"")</f>
        <v/>
      </c>
      <c r="N1099" t="str">
        <f>IF(Table1[[#This Row],[CurrentStock]]&gt;Table1[[#This Row],[ReorderLevel]]*3,"Over Stock","Okay")</f>
        <v>Okay</v>
      </c>
      <c r="O1099" t="str">
        <f>IF(Table1[[#This Row],[CurrentStock]]&lt;Table1[[#This Row],[ReorderLevel]],"Reorder","Okay")</f>
        <v>Okay</v>
      </c>
    </row>
    <row r="1100" spans="1:15" x14ac:dyDescent="0.3">
      <c r="A1100">
        <v>82089</v>
      </c>
      <c r="B1100" t="s">
        <v>11</v>
      </c>
      <c r="C1100" t="s">
        <v>27</v>
      </c>
      <c r="D1100">
        <v>92</v>
      </c>
      <c r="E1100">
        <v>50</v>
      </c>
      <c r="F1100">
        <v>20.329999999999998</v>
      </c>
      <c r="G1100" t="s">
        <v>32</v>
      </c>
      <c r="H1100" s="1">
        <v>45449</v>
      </c>
      <c r="I1100" s="1">
        <v>45482</v>
      </c>
      <c r="J1100" t="s">
        <v>39</v>
      </c>
      <c r="K1100" t="b">
        <f>Table1[[#This Row],[CurrentStock]]&lt;Table1[[#This Row],[ReorderLevel]]</f>
        <v>0</v>
      </c>
      <c r="L1100" s="9">
        <f>Table1[[#This Row],[CurrentStock]]*Table1[[#This Row],[UnitPrice]]</f>
        <v>1870.36</v>
      </c>
      <c r="M1100" t="str">
        <f>IF(Table1[[#This Row],[ReorderLevel]]-Table1[[#This Row],[CurrentStock]]&gt;0,Table1[[#This Row],[ReorderLevel]]-Table1[[#This Row],[CurrentStock]],"")</f>
        <v/>
      </c>
      <c r="N1100" t="str">
        <f>IF(Table1[[#This Row],[CurrentStock]]&gt;Table1[[#This Row],[ReorderLevel]]*3,"Over Stock","Okay")</f>
        <v>Okay</v>
      </c>
      <c r="O1100" t="str">
        <f>IF(Table1[[#This Row],[CurrentStock]]&lt;Table1[[#This Row],[ReorderLevel]],"Reorder","Okay")</f>
        <v>Okay</v>
      </c>
    </row>
    <row r="1101" spans="1:15" x14ac:dyDescent="0.3">
      <c r="A1101">
        <v>17548</v>
      </c>
      <c r="B1101" t="s">
        <v>16</v>
      </c>
      <c r="C1101" t="s">
        <v>30</v>
      </c>
      <c r="D1101">
        <v>221</v>
      </c>
      <c r="E1101">
        <v>40</v>
      </c>
      <c r="F1101">
        <v>133.31</v>
      </c>
      <c r="G1101" t="s">
        <v>35</v>
      </c>
      <c r="H1101" s="1">
        <v>45550</v>
      </c>
      <c r="I1101" s="1">
        <v>45561</v>
      </c>
      <c r="J1101" t="s">
        <v>37</v>
      </c>
      <c r="K1101" t="b">
        <f>Table1[[#This Row],[CurrentStock]]&lt;Table1[[#This Row],[ReorderLevel]]</f>
        <v>0</v>
      </c>
      <c r="L1101" s="9">
        <f>Table1[[#This Row],[CurrentStock]]*Table1[[#This Row],[UnitPrice]]</f>
        <v>29461.510000000002</v>
      </c>
      <c r="M1101" t="str">
        <f>IF(Table1[[#This Row],[ReorderLevel]]-Table1[[#This Row],[CurrentStock]]&gt;0,Table1[[#This Row],[ReorderLevel]]-Table1[[#This Row],[CurrentStock]],"")</f>
        <v/>
      </c>
      <c r="N1101" t="str">
        <f>IF(Table1[[#This Row],[CurrentStock]]&gt;Table1[[#This Row],[ReorderLevel]]*3,"Over Stock","Okay")</f>
        <v>Over Stock</v>
      </c>
      <c r="O1101" t="str">
        <f>IF(Table1[[#This Row],[CurrentStock]]&lt;Table1[[#This Row],[ReorderLevel]],"Reorder","Okay")</f>
        <v>Okay</v>
      </c>
    </row>
    <row r="1102" spans="1:15" x14ac:dyDescent="0.3">
      <c r="A1102">
        <v>45036</v>
      </c>
      <c r="B1102" t="s">
        <v>18</v>
      </c>
      <c r="C1102" t="s">
        <v>28</v>
      </c>
      <c r="D1102">
        <v>296</v>
      </c>
      <c r="E1102">
        <v>30</v>
      </c>
      <c r="F1102">
        <v>138.91</v>
      </c>
      <c r="G1102" t="s">
        <v>32</v>
      </c>
      <c r="H1102" s="1">
        <v>45418</v>
      </c>
      <c r="I1102" s="1">
        <v>45427</v>
      </c>
      <c r="J1102" t="s">
        <v>38</v>
      </c>
      <c r="K1102" t="b">
        <f>Table1[[#This Row],[CurrentStock]]&lt;Table1[[#This Row],[ReorderLevel]]</f>
        <v>0</v>
      </c>
      <c r="L1102" s="9">
        <f>Table1[[#This Row],[CurrentStock]]*Table1[[#This Row],[UnitPrice]]</f>
        <v>41117.360000000001</v>
      </c>
      <c r="M1102" t="str">
        <f>IF(Table1[[#This Row],[ReorderLevel]]-Table1[[#This Row],[CurrentStock]]&gt;0,Table1[[#This Row],[ReorderLevel]]-Table1[[#This Row],[CurrentStock]],"")</f>
        <v/>
      </c>
      <c r="N1102" t="str">
        <f>IF(Table1[[#This Row],[CurrentStock]]&gt;Table1[[#This Row],[ReorderLevel]]*3,"Over Stock","Okay")</f>
        <v>Over Stock</v>
      </c>
      <c r="O1102" t="str">
        <f>IF(Table1[[#This Row],[CurrentStock]]&lt;Table1[[#This Row],[ReorderLevel]],"Reorder","Okay")</f>
        <v>Okay</v>
      </c>
    </row>
    <row r="1103" spans="1:15" x14ac:dyDescent="0.3">
      <c r="A1103">
        <v>93038</v>
      </c>
      <c r="B1103" t="s">
        <v>15</v>
      </c>
      <c r="C1103" t="s">
        <v>29</v>
      </c>
      <c r="D1103">
        <v>268</v>
      </c>
      <c r="E1103">
        <v>150</v>
      </c>
      <c r="F1103">
        <v>420.29</v>
      </c>
      <c r="G1103" t="s">
        <v>35</v>
      </c>
      <c r="H1103" s="1">
        <v>45352</v>
      </c>
      <c r="I1103" s="1">
        <v>45364</v>
      </c>
      <c r="J1103" t="s">
        <v>39</v>
      </c>
      <c r="K1103" t="b">
        <f>Table1[[#This Row],[CurrentStock]]&lt;Table1[[#This Row],[ReorderLevel]]</f>
        <v>0</v>
      </c>
      <c r="L1103" s="9">
        <f>Table1[[#This Row],[CurrentStock]]*Table1[[#This Row],[UnitPrice]]</f>
        <v>112637.72</v>
      </c>
      <c r="M1103" t="str">
        <f>IF(Table1[[#This Row],[ReorderLevel]]-Table1[[#This Row],[CurrentStock]]&gt;0,Table1[[#This Row],[ReorderLevel]]-Table1[[#This Row],[CurrentStock]],"")</f>
        <v/>
      </c>
      <c r="N1103" t="str">
        <f>IF(Table1[[#This Row],[CurrentStock]]&gt;Table1[[#This Row],[ReorderLevel]]*3,"Over Stock","Okay")</f>
        <v>Okay</v>
      </c>
      <c r="O1103" t="str">
        <f>IF(Table1[[#This Row],[CurrentStock]]&lt;Table1[[#This Row],[ReorderLevel]],"Reorder","Okay")</f>
        <v>Okay</v>
      </c>
    </row>
    <row r="1104" spans="1:15" x14ac:dyDescent="0.3">
      <c r="A1104">
        <v>79506</v>
      </c>
      <c r="B1104" t="s">
        <v>17</v>
      </c>
      <c r="C1104" t="s">
        <v>30</v>
      </c>
      <c r="D1104">
        <v>266</v>
      </c>
      <c r="E1104">
        <v>30</v>
      </c>
      <c r="F1104">
        <v>282.13</v>
      </c>
      <c r="G1104" t="s">
        <v>32</v>
      </c>
      <c r="H1104" s="1">
        <v>45485</v>
      </c>
      <c r="I1104" s="1">
        <v>45523</v>
      </c>
      <c r="J1104" t="s">
        <v>38</v>
      </c>
      <c r="K1104" t="b">
        <f>Table1[[#This Row],[CurrentStock]]&lt;Table1[[#This Row],[ReorderLevel]]</f>
        <v>0</v>
      </c>
      <c r="L1104" s="9">
        <f>Table1[[#This Row],[CurrentStock]]*Table1[[#This Row],[UnitPrice]]</f>
        <v>75046.58</v>
      </c>
      <c r="M1104" t="str">
        <f>IF(Table1[[#This Row],[ReorderLevel]]-Table1[[#This Row],[CurrentStock]]&gt;0,Table1[[#This Row],[ReorderLevel]]-Table1[[#This Row],[CurrentStock]],"")</f>
        <v/>
      </c>
      <c r="N1104" t="str">
        <f>IF(Table1[[#This Row],[CurrentStock]]&gt;Table1[[#This Row],[ReorderLevel]]*3,"Over Stock","Okay")</f>
        <v>Over Stock</v>
      </c>
      <c r="O1104" t="str">
        <f>IF(Table1[[#This Row],[CurrentStock]]&lt;Table1[[#This Row],[ReorderLevel]],"Reorder","Okay")</f>
        <v>Okay</v>
      </c>
    </row>
    <row r="1105" spans="1:15" x14ac:dyDescent="0.3">
      <c r="A1105">
        <v>98284</v>
      </c>
      <c r="B1105" t="s">
        <v>12</v>
      </c>
      <c r="C1105" t="s">
        <v>28</v>
      </c>
      <c r="D1105">
        <v>211</v>
      </c>
      <c r="E1105">
        <v>20</v>
      </c>
      <c r="F1105">
        <v>361.53</v>
      </c>
      <c r="G1105" t="s">
        <v>35</v>
      </c>
      <c r="H1105" s="1">
        <v>45653</v>
      </c>
      <c r="I1105" s="1">
        <v>45668</v>
      </c>
      <c r="J1105" t="s">
        <v>39</v>
      </c>
      <c r="K1105" t="b">
        <f>Table1[[#This Row],[CurrentStock]]&lt;Table1[[#This Row],[ReorderLevel]]</f>
        <v>0</v>
      </c>
      <c r="L1105" s="9">
        <f>Table1[[#This Row],[CurrentStock]]*Table1[[#This Row],[UnitPrice]]</f>
        <v>76282.829999999987</v>
      </c>
      <c r="M1105" t="str">
        <f>IF(Table1[[#This Row],[ReorderLevel]]-Table1[[#This Row],[CurrentStock]]&gt;0,Table1[[#This Row],[ReorderLevel]]-Table1[[#This Row],[CurrentStock]],"")</f>
        <v/>
      </c>
      <c r="N1105" t="str">
        <f>IF(Table1[[#This Row],[CurrentStock]]&gt;Table1[[#This Row],[ReorderLevel]]*3,"Over Stock","Okay")</f>
        <v>Over Stock</v>
      </c>
      <c r="O1105" t="str">
        <f>IF(Table1[[#This Row],[CurrentStock]]&lt;Table1[[#This Row],[ReorderLevel]],"Reorder","Okay")</f>
        <v>Okay</v>
      </c>
    </row>
    <row r="1106" spans="1:15" x14ac:dyDescent="0.3">
      <c r="A1106">
        <v>43690</v>
      </c>
      <c r="B1106" t="s">
        <v>19</v>
      </c>
      <c r="C1106" t="s">
        <v>28</v>
      </c>
      <c r="D1106">
        <v>439</v>
      </c>
      <c r="E1106">
        <v>50</v>
      </c>
      <c r="F1106">
        <v>379.49</v>
      </c>
      <c r="G1106" t="s">
        <v>33</v>
      </c>
      <c r="H1106" s="1">
        <v>45293</v>
      </c>
      <c r="I1106" s="1">
        <v>45321</v>
      </c>
      <c r="J1106" t="s">
        <v>37</v>
      </c>
      <c r="K1106" t="b">
        <f>Table1[[#This Row],[CurrentStock]]&lt;Table1[[#This Row],[ReorderLevel]]</f>
        <v>0</v>
      </c>
      <c r="L1106" s="9">
        <f>Table1[[#This Row],[CurrentStock]]*Table1[[#This Row],[UnitPrice]]</f>
        <v>166596.11000000002</v>
      </c>
      <c r="M1106" t="str">
        <f>IF(Table1[[#This Row],[ReorderLevel]]-Table1[[#This Row],[CurrentStock]]&gt;0,Table1[[#This Row],[ReorderLevel]]-Table1[[#This Row],[CurrentStock]],"")</f>
        <v/>
      </c>
      <c r="N1106" t="str">
        <f>IF(Table1[[#This Row],[CurrentStock]]&gt;Table1[[#This Row],[ReorderLevel]]*3,"Over Stock","Okay")</f>
        <v>Over Stock</v>
      </c>
      <c r="O1106" t="str">
        <f>IF(Table1[[#This Row],[CurrentStock]]&lt;Table1[[#This Row],[ReorderLevel]],"Reorder","Okay")</f>
        <v>Okay</v>
      </c>
    </row>
    <row r="1107" spans="1:15" x14ac:dyDescent="0.3">
      <c r="A1107">
        <v>42705</v>
      </c>
      <c r="B1107" t="s">
        <v>10</v>
      </c>
      <c r="C1107" t="s">
        <v>27</v>
      </c>
      <c r="D1107">
        <v>140</v>
      </c>
      <c r="E1107">
        <v>50</v>
      </c>
      <c r="F1107">
        <v>114.51</v>
      </c>
      <c r="G1107" t="s">
        <v>33</v>
      </c>
      <c r="H1107" s="1">
        <v>45419</v>
      </c>
      <c r="I1107" s="1">
        <v>45431</v>
      </c>
      <c r="J1107" t="s">
        <v>37</v>
      </c>
      <c r="K1107" t="b">
        <f>Table1[[#This Row],[CurrentStock]]&lt;Table1[[#This Row],[ReorderLevel]]</f>
        <v>0</v>
      </c>
      <c r="L1107" s="9">
        <f>Table1[[#This Row],[CurrentStock]]*Table1[[#This Row],[UnitPrice]]</f>
        <v>16031.400000000001</v>
      </c>
      <c r="M1107" t="str">
        <f>IF(Table1[[#This Row],[ReorderLevel]]-Table1[[#This Row],[CurrentStock]]&gt;0,Table1[[#This Row],[ReorderLevel]]-Table1[[#This Row],[CurrentStock]],"")</f>
        <v/>
      </c>
      <c r="N1107" t="str">
        <f>IF(Table1[[#This Row],[CurrentStock]]&gt;Table1[[#This Row],[ReorderLevel]]*3,"Over Stock","Okay")</f>
        <v>Okay</v>
      </c>
      <c r="O1107" t="str">
        <f>IF(Table1[[#This Row],[CurrentStock]]&lt;Table1[[#This Row],[ReorderLevel]],"Reorder","Okay")</f>
        <v>Okay</v>
      </c>
    </row>
    <row r="1108" spans="1:15" x14ac:dyDescent="0.3">
      <c r="A1108">
        <v>74356</v>
      </c>
      <c r="B1108" t="s">
        <v>21</v>
      </c>
      <c r="C1108" t="s">
        <v>31</v>
      </c>
      <c r="D1108">
        <v>278</v>
      </c>
      <c r="E1108">
        <v>40</v>
      </c>
      <c r="F1108">
        <v>171.55</v>
      </c>
      <c r="G1108" t="s">
        <v>34</v>
      </c>
      <c r="H1108" s="1">
        <v>45320</v>
      </c>
      <c r="I1108" s="1">
        <v>45358</v>
      </c>
      <c r="J1108" t="s">
        <v>37</v>
      </c>
      <c r="K1108" t="b">
        <f>Table1[[#This Row],[CurrentStock]]&lt;Table1[[#This Row],[ReorderLevel]]</f>
        <v>0</v>
      </c>
      <c r="L1108" s="9">
        <f>Table1[[#This Row],[CurrentStock]]*Table1[[#This Row],[UnitPrice]]</f>
        <v>47690.9</v>
      </c>
      <c r="M1108" t="str">
        <f>IF(Table1[[#This Row],[ReorderLevel]]-Table1[[#This Row],[CurrentStock]]&gt;0,Table1[[#This Row],[ReorderLevel]]-Table1[[#This Row],[CurrentStock]],"")</f>
        <v/>
      </c>
      <c r="N1108" t="str">
        <f>IF(Table1[[#This Row],[CurrentStock]]&gt;Table1[[#This Row],[ReorderLevel]]*3,"Over Stock","Okay")</f>
        <v>Over Stock</v>
      </c>
      <c r="O1108" t="str">
        <f>IF(Table1[[#This Row],[CurrentStock]]&lt;Table1[[#This Row],[ReorderLevel]],"Reorder","Okay")</f>
        <v>Okay</v>
      </c>
    </row>
    <row r="1109" spans="1:15" x14ac:dyDescent="0.3">
      <c r="A1109">
        <v>20482</v>
      </c>
      <c r="B1109" t="s">
        <v>17</v>
      </c>
      <c r="C1109" t="s">
        <v>30</v>
      </c>
      <c r="D1109">
        <v>70</v>
      </c>
      <c r="E1109">
        <v>100</v>
      </c>
      <c r="F1109">
        <v>34.44</v>
      </c>
      <c r="G1109" t="s">
        <v>33</v>
      </c>
      <c r="H1109" s="1">
        <v>45655</v>
      </c>
      <c r="I1109" s="1">
        <v>45677</v>
      </c>
      <c r="J1109" t="s">
        <v>37</v>
      </c>
      <c r="K1109" t="b">
        <f>Table1[[#This Row],[CurrentStock]]&lt;Table1[[#This Row],[ReorderLevel]]</f>
        <v>1</v>
      </c>
      <c r="L1109" s="9">
        <f>Table1[[#This Row],[CurrentStock]]*Table1[[#This Row],[UnitPrice]]</f>
        <v>2410.7999999999997</v>
      </c>
      <c r="M1109">
        <f>IF(Table1[[#This Row],[ReorderLevel]]-Table1[[#This Row],[CurrentStock]]&gt;0,Table1[[#This Row],[ReorderLevel]]-Table1[[#This Row],[CurrentStock]],"")</f>
        <v>30</v>
      </c>
      <c r="N1109" t="str">
        <f>IF(Table1[[#This Row],[CurrentStock]]&gt;Table1[[#This Row],[ReorderLevel]]*3,"Over Stock","Okay")</f>
        <v>Okay</v>
      </c>
      <c r="O1109" t="str">
        <f>IF(Table1[[#This Row],[CurrentStock]]&lt;Table1[[#This Row],[ReorderLevel]],"Reorder","Okay")</f>
        <v>Reorder</v>
      </c>
    </row>
    <row r="1110" spans="1:15" x14ac:dyDescent="0.3">
      <c r="A1110">
        <v>39550</v>
      </c>
      <c r="B1110" t="s">
        <v>26</v>
      </c>
      <c r="C1110" t="s">
        <v>30</v>
      </c>
      <c r="D1110">
        <v>446</v>
      </c>
      <c r="E1110">
        <v>80</v>
      </c>
      <c r="F1110">
        <v>53.99</v>
      </c>
      <c r="G1110" t="s">
        <v>33</v>
      </c>
      <c r="H1110" s="1">
        <v>45373</v>
      </c>
      <c r="I1110" s="1">
        <v>45401</v>
      </c>
      <c r="J1110" t="s">
        <v>38</v>
      </c>
      <c r="K1110" t="b">
        <f>Table1[[#This Row],[CurrentStock]]&lt;Table1[[#This Row],[ReorderLevel]]</f>
        <v>0</v>
      </c>
      <c r="L1110" s="9">
        <f>Table1[[#This Row],[CurrentStock]]*Table1[[#This Row],[UnitPrice]]</f>
        <v>24079.54</v>
      </c>
      <c r="M1110" t="str">
        <f>IF(Table1[[#This Row],[ReorderLevel]]-Table1[[#This Row],[CurrentStock]]&gt;0,Table1[[#This Row],[ReorderLevel]]-Table1[[#This Row],[CurrentStock]],"")</f>
        <v/>
      </c>
      <c r="N1110" t="str">
        <f>IF(Table1[[#This Row],[CurrentStock]]&gt;Table1[[#This Row],[ReorderLevel]]*3,"Over Stock","Okay")</f>
        <v>Over Stock</v>
      </c>
      <c r="O1110" t="str">
        <f>IF(Table1[[#This Row],[CurrentStock]]&lt;Table1[[#This Row],[ReorderLevel]],"Reorder","Okay")</f>
        <v>Okay</v>
      </c>
    </row>
    <row r="1111" spans="1:15" x14ac:dyDescent="0.3">
      <c r="A1111">
        <v>77342</v>
      </c>
      <c r="B1111" t="s">
        <v>22</v>
      </c>
      <c r="C1111" t="s">
        <v>27</v>
      </c>
      <c r="D1111">
        <v>144</v>
      </c>
      <c r="E1111">
        <v>20</v>
      </c>
      <c r="F1111">
        <v>137.80000000000001</v>
      </c>
      <c r="G1111" t="s">
        <v>32</v>
      </c>
      <c r="H1111" s="1">
        <v>45405</v>
      </c>
      <c r="I1111" s="1">
        <v>45435</v>
      </c>
      <c r="J1111" t="s">
        <v>37</v>
      </c>
      <c r="K1111" t="b">
        <f>Table1[[#This Row],[CurrentStock]]&lt;Table1[[#This Row],[ReorderLevel]]</f>
        <v>0</v>
      </c>
      <c r="L1111" s="9">
        <f>Table1[[#This Row],[CurrentStock]]*Table1[[#This Row],[UnitPrice]]</f>
        <v>19843.2</v>
      </c>
      <c r="M1111" t="str">
        <f>IF(Table1[[#This Row],[ReorderLevel]]-Table1[[#This Row],[CurrentStock]]&gt;0,Table1[[#This Row],[ReorderLevel]]-Table1[[#This Row],[CurrentStock]],"")</f>
        <v/>
      </c>
      <c r="N1111" t="str">
        <f>IF(Table1[[#This Row],[CurrentStock]]&gt;Table1[[#This Row],[ReorderLevel]]*3,"Over Stock","Okay")</f>
        <v>Over Stock</v>
      </c>
      <c r="O1111" t="str">
        <f>IF(Table1[[#This Row],[CurrentStock]]&lt;Table1[[#This Row],[ReorderLevel]],"Reorder","Okay")</f>
        <v>Okay</v>
      </c>
    </row>
    <row r="1112" spans="1:15" x14ac:dyDescent="0.3">
      <c r="A1112">
        <v>66344</v>
      </c>
      <c r="B1112" t="s">
        <v>16</v>
      </c>
      <c r="C1112" t="s">
        <v>30</v>
      </c>
      <c r="D1112">
        <v>94</v>
      </c>
      <c r="E1112">
        <v>40</v>
      </c>
      <c r="F1112">
        <v>238.45</v>
      </c>
      <c r="G1112" t="s">
        <v>35</v>
      </c>
      <c r="H1112" s="1">
        <v>45367</v>
      </c>
      <c r="I1112" s="1">
        <v>45390</v>
      </c>
      <c r="J1112" t="s">
        <v>38</v>
      </c>
      <c r="K1112" t="b">
        <f>Table1[[#This Row],[CurrentStock]]&lt;Table1[[#This Row],[ReorderLevel]]</f>
        <v>0</v>
      </c>
      <c r="L1112" s="9">
        <f>Table1[[#This Row],[CurrentStock]]*Table1[[#This Row],[UnitPrice]]</f>
        <v>22414.3</v>
      </c>
      <c r="M1112" t="str">
        <f>IF(Table1[[#This Row],[ReorderLevel]]-Table1[[#This Row],[CurrentStock]]&gt;0,Table1[[#This Row],[ReorderLevel]]-Table1[[#This Row],[CurrentStock]],"")</f>
        <v/>
      </c>
      <c r="N1112" t="str">
        <f>IF(Table1[[#This Row],[CurrentStock]]&gt;Table1[[#This Row],[ReorderLevel]]*3,"Over Stock","Okay")</f>
        <v>Okay</v>
      </c>
      <c r="O1112" t="str">
        <f>IF(Table1[[#This Row],[CurrentStock]]&lt;Table1[[#This Row],[ReorderLevel]],"Reorder","Okay")</f>
        <v>Okay</v>
      </c>
    </row>
    <row r="1113" spans="1:15" x14ac:dyDescent="0.3">
      <c r="A1113">
        <v>84947</v>
      </c>
      <c r="B1113" t="s">
        <v>22</v>
      </c>
      <c r="C1113" t="s">
        <v>27</v>
      </c>
      <c r="D1113">
        <v>332</v>
      </c>
      <c r="E1113">
        <v>50</v>
      </c>
      <c r="F1113">
        <v>201.83</v>
      </c>
      <c r="G1113" t="s">
        <v>36</v>
      </c>
      <c r="H1113" s="1">
        <v>45617</v>
      </c>
      <c r="I1113" s="1">
        <v>45629</v>
      </c>
      <c r="J1113" t="s">
        <v>37</v>
      </c>
      <c r="K1113" t="b">
        <f>Table1[[#This Row],[CurrentStock]]&lt;Table1[[#This Row],[ReorderLevel]]</f>
        <v>0</v>
      </c>
      <c r="L1113" s="9">
        <f>Table1[[#This Row],[CurrentStock]]*Table1[[#This Row],[UnitPrice]]</f>
        <v>67007.56</v>
      </c>
      <c r="M1113" t="str">
        <f>IF(Table1[[#This Row],[ReorderLevel]]-Table1[[#This Row],[CurrentStock]]&gt;0,Table1[[#This Row],[ReorderLevel]]-Table1[[#This Row],[CurrentStock]],"")</f>
        <v/>
      </c>
      <c r="N1113" t="str">
        <f>IF(Table1[[#This Row],[CurrentStock]]&gt;Table1[[#This Row],[ReorderLevel]]*3,"Over Stock","Okay")</f>
        <v>Over Stock</v>
      </c>
      <c r="O1113" t="str">
        <f>IF(Table1[[#This Row],[CurrentStock]]&lt;Table1[[#This Row],[ReorderLevel]],"Reorder","Okay")</f>
        <v>Okay</v>
      </c>
    </row>
    <row r="1114" spans="1:15" x14ac:dyDescent="0.3">
      <c r="A1114">
        <v>78580</v>
      </c>
      <c r="B1114" t="s">
        <v>22</v>
      </c>
      <c r="C1114" t="s">
        <v>27</v>
      </c>
      <c r="D1114">
        <v>278</v>
      </c>
      <c r="E1114">
        <v>50</v>
      </c>
      <c r="F1114">
        <v>132.27000000000001</v>
      </c>
      <c r="G1114" t="s">
        <v>35</v>
      </c>
      <c r="H1114" s="1">
        <v>45417</v>
      </c>
      <c r="I1114" s="1">
        <v>45442</v>
      </c>
      <c r="J1114" t="s">
        <v>39</v>
      </c>
      <c r="K1114" t="b">
        <f>Table1[[#This Row],[CurrentStock]]&lt;Table1[[#This Row],[ReorderLevel]]</f>
        <v>0</v>
      </c>
      <c r="L1114" s="9">
        <f>Table1[[#This Row],[CurrentStock]]*Table1[[#This Row],[UnitPrice]]</f>
        <v>36771.060000000005</v>
      </c>
      <c r="M1114" t="str">
        <f>IF(Table1[[#This Row],[ReorderLevel]]-Table1[[#This Row],[CurrentStock]]&gt;0,Table1[[#This Row],[ReorderLevel]]-Table1[[#This Row],[CurrentStock]],"")</f>
        <v/>
      </c>
      <c r="N1114" t="str">
        <f>IF(Table1[[#This Row],[CurrentStock]]&gt;Table1[[#This Row],[ReorderLevel]]*3,"Over Stock","Okay")</f>
        <v>Over Stock</v>
      </c>
      <c r="O1114" t="str">
        <f>IF(Table1[[#This Row],[CurrentStock]]&lt;Table1[[#This Row],[ReorderLevel]],"Reorder","Okay")</f>
        <v>Okay</v>
      </c>
    </row>
    <row r="1115" spans="1:15" x14ac:dyDescent="0.3">
      <c r="A1115">
        <v>78682</v>
      </c>
      <c r="B1115" t="s">
        <v>13</v>
      </c>
      <c r="C1115" t="s">
        <v>29</v>
      </c>
      <c r="D1115">
        <v>48</v>
      </c>
      <c r="E1115">
        <v>20</v>
      </c>
      <c r="F1115">
        <v>108.61</v>
      </c>
      <c r="G1115" t="s">
        <v>33</v>
      </c>
      <c r="H1115" s="1">
        <v>45634</v>
      </c>
      <c r="I1115" s="1">
        <v>45672</v>
      </c>
      <c r="J1115" t="s">
        <v>37</v>
      </c>
      <c r="K1115" t="b">
        <f>Table1[[#This Row],[CurrentStock]]&lt;Table1[[#This Row],[ReorderLevel]]</f>
        <v>0</v>
      </c>
      <c r="L1115" s="9">
        <f>Table1[[#This Row],[CurrentStock]]*Table1[[#This Row],[UnitPrice]]</f>
        <v>5213.28</v>
      </c>
      <c r="M1115" t="str">
        <f>IF(Table1[[#This Row],[ReorderLevel]]-Table1[[#This Row],[CurrentStock]]&gt;0,Table1[[#This Row],[ReorderLevel]]-Table1[[#This Row],[CurrentStock]],"")</f>
        <v/>
      </c>
      <c r="N1115" t="str">
        <f>IF(Table1[[#This Row],[CurrentStock]]&gt;Table1[[#This Row],[ReorderLevel]]*3,"Over Stock","Okay")</f>
        <v>Okay</v>
      </c>
      <c r="O1115" t="str">
        <f>IF(Table1[[#This Row],[CurrentStock]]&lt;Table1[[#This Row],[ReorderLevel]],"Reorder","Okay")</f>
        <v>Okay</v>
      </c>
    </row>
    <row r="1116" spans="1:15" x14ac:dyDescent="0.3">
      <c r="A1116">
        <v>46731</v>
      </c>
      <c r="B1116" t="s">
        <v>21</v>
      </c>
      <c r="C1116" t="s">
        <v>31</v>
      </c>
      <c r="D1116">
        <v>124</v>
      </c>
      <c r="E1116">
        <v>150</v>
      </c>
      <c r="F1116">
        <v>417.47</v>
      </c>
      <c r="G1116" t="s">
        <v>33</v>
      </c>
      <c r="H1116" s="1">
        <v>45477</v>
      </c>
      <c r="I1116" s="1">
        <v>45515</v>
      </c>
      <c r="J1116" t="s">
        <v>38</v>
      </c>
      <c r="K1116" t="b">
        <f>Table1[[#This Row],[CurrentStock]]&lt;Table1[[#This Row],[ReorderLevel]]</f>
        <v>1</v>
      </c>
      <c r="L1116" s="9">
        <f>Table1[[#This Row],[CurrentStock]]*Table1[[#This Row],[UnitPrice]]</f>
        <v>51766.280000000006</v>
      </c>
      <c r="M1116">
        <f>IF(Table1[[#This Row],[ReorderLevel]]-Table1[[#This Row],[CurrentStock]]&gt;0,Table1[[#This Row],[ReorderLevel]]-Table1[[#This Row],[CurrentStock]],"")</f>
        <v>26</v>
      </c>
      <c r="N1116" t="str">
        <f>IF(Table1[[#This Row],[CurrentStock]]&gt;Table1[[#This Row],[ReorderLevel]]*3,"Over Stock","Okay")</f>
        <v>Okay</v>
      </c>
      <c r="O1116" t="str">
        <f>IF(Table1[[#This Row],[CurrentStock]]&lt;Table1[[#This Row],[ReorderLevel]],"Reorder","Okay")</f>
        <v>Reorder</v>
      </c>
    </row>
    <row r="1117" spans="1:15" x14ac:dyDescent="0.3">
      <c r="A1117">
        <v>38451</v>
      </c>
      <c r="B1117" t="s">
        <v>24</v>
      </c>
      <c r="C1117" t="s">
        <v>31</v>
      </c>
      <c r="D1117">
        <v>184</v>
      </c>
      <c r="E1117">
        <v>150</v>
      </c>
      <c r="F1117">
        <v>183.93</v>
      </c>
      <c r="G1117" t="s">
        <v>32</v>
      </c>
      <c r="H1117" s="1">
        <v>45556</v>
      </c>
      <c r="I1117" s="1">
        <v>45569</v>
      </c>
      <c r="J1117" t="s">
        <v>37</v>
      </c>
      <c r="K1117" t="b">
        <f>Table1[[#This Row],[CurrentStock]]&lt;Table1[[#This Row],[ReorderLevel]]</f>
        <v>0</v>
      </c>
      <c r="L1117" s="9">
        <f>Table1[[#This Row],[CurrentStock]]*Table1[[#This Row],[UnitPrice]]</f>
        <v>33843.120000000003</v>
      </c>
      <c r="M1117" t="str">
        <f>IF(Table1[[#This Row],[ReorderLevel]]-Table1[[#This Row],[CurrentStock]]&gt;0,Table1[[#This Row],[ReorderLevel]]-Table1[[#This Row],[CurrentStock]],"")</f>
        <v/>
      </c>
      <c r="N1117" t="str">
        <f>IF(Table1[[#This Row],[CurrentStock]]&gt;Table1[[#This Row],[ReorderLevel]]*3,"Over Stock","Okay")</f>
        <v>Okay</v>
      </c>
      <c r="O1117" t="str">
        <f>IF(Table1[[#This Row],[CurrentStock]]&lt;Table1[[#This Row],[ReorderLevel]],"Reorder","Okay")</f>
        <v>Okay</v>
      </c>
    </row>
    <row r="1118" spans="1:15" x14ac:dyDescent="0.3">
      <c r="A1118">
        <v>27669</v>
      </c>
      <c r="B1118" t="s">
        <v>21</v>
      </c>
      <c r="C1118" t="s">
        <v>31</v>
      </c>
      <c r="D1118">
        <v>405</v>
      </c>
      <c r="E1118">
        <v>80</v>
      </c>
      <c r="F1118">
        <v>224.44</v>
      </c>
      <c r="G1118" t="s">
        <v>33</v>
      </c>
      <c r="H1118" s="1">
        <v>45545</v>
      </c>
      <c r="I1118" s="1">
        <v>45578</v>
      </c>
      <c r="J1118" t="s">
        <v>38</v>
      </c>
      <c r="K1118" t="b">
        <f>Table1[[#This Row],[CurrentStock]]&lt;Table1[[#This Row],[ReorderLevel]]</f>
        <v>0</v>
      </c>
      <c r="L1118" s="9">
        <f>Table1[[#This Row],[CurrentStock]]*Table1[[#This Row],[UnitPrice]]</f>
        <v>90898.2</v>
      </c>
      <c r="M1118" t="str">
        <f>IF(Table1[[#This Row],[ReorderLevel]]-Table1[[#This Row],[CurrentStock]]&gt;0,Table1[[#This Row],[ReorderLevel]]-Table1[[#This Row],[CurrentStock]],"")</f>
        <v/>
      </c>
      <c r="N1118" t="str">
        <f>IF(Table1[[#This Row],[CurrentStock]]&gt;Table1[[#This Row],[ReorderLevel]]*3,"Over Stock","Okay")</f>
        <v>Over Stock</v>
      </c>
      <c r="O1118" t="str">
        <f>IF(Table1[[#This Row],[CurrentStock]]&lt;Table1[[#This Row],[ReorderLevel]],"Reorder","Okay")</f>
        <v>Okay</v>
      </c>
    </row>
    <row r="1119" spans="1:15" x14ac:dyDescent="0.3">
      <c r="A1119">
        <v>35395</v>
      </c>
      <c r="B1119" t="s">
        <v>16</v>
      </c>
      <c r="C1119" t="s">
        <v>30</v>
      </c>
      <c r="D1119">
        <v>307</v>
      </c>
      <c r="E1119">
        <v>30</v>
      </c>
      <c r="F1119">
        <v>99.57</v>
      </c>
      <c r="G1119" t="s">
        <v>32</v>
      </c>
      <c r="H1119" s="1">
        <v>45545</v>
      </c>
      <c r="I1119" s="1">
        <v>45550</v>
      </c>
      <c r="J1119" t="s">
        <v>39</v>
      </c>
      <c r="K1119" t="b">
        <f>Table1[[#This Row],[CurrentStock]]&lt;Table1[[#This Row],[ReorderLevel]]</f>
        <v>0</v>
      </c>
      <c r="L1119" s="9">
        <f>Table1[[#This Row],[CurrentStock]]*Table1[[#This Row],[UnitPrice]]</f>
        <v>30567.989999999998</v>
      </c>
      <c r="M1119" t="str">
        <f>IF(Table1[[#This Row],[ReorderLevel]]-Table1[[#This Row],[CurrentStock]]&gt;0,Table1[[#This Row],[ReorderLevel]]-Table1[[#This Row],[CurrentStock]],"")</f>
        <v/>
      </c>
      <c r="N1119" t="str">
        <f>IF(Table1[[#This Row],[CurrentStock]]&gt;Table1[[#This Row],[ReorderLevel]]*3,"Over Stock","Okay")</f>
        <v>Over Stock</v>
      </c>
      <c r="O1119" t="str">
        <f>IF(Table1[[#This Row],[CurrentStock]]&lt;Table1[[#This Row],[ReorderLevel]],"Reorder","Okay")</f>
        <v>Okay</v>
      </c>
    </row>
    <row r="1120" spans="1:15" x14ac:dyDescent="0.3">
      <c r="A1120">
        <v>55913</v>
      </c>
      <c r="B1120" t="s">
        <v>21</v>
      </c>
      <c r="C1120" t="s">
        <v>31</v>
      </c>
      <c r="D1120">
        <v>344</v>
      </c>
      <c r="E1120">
        <v>40</v>
      </c>
      <c r="F1120">
        <v>401.58</v>
      </c>
      <c r="G1120" t="s">
        <v>36</v>
      </c>
      <c r="H1120" s="1">
        <v>45406</v>
      </c>
      <c r="I1120" s="1">
        <v>45412</v>
      </c>
      <c r="J1120" t="s">
        <v>39</v>
      </c>
      <c r="K1120" t="b">
        <f>Table1[[#This Row],[CurrentStock]]&lt;Table1[[#This Row],[ReorderLevel]]</f>
        <v>0</v>
      </c>
      <c r="L1120" s="9">
        <f>Table1[[#This Row],[CurrentStock]]*Table1[[#This Row],[UnitPrice]]</f>
        <v>138143.51999999999</v>
      </c>
      <c r="M1120" t="str">
        <f>IF(Table1[[#This Row],[ReorderLevel]]-Table1[[#This Row],[CurrentStock]]&gt;0,Table1[[#This Row],[ReorderLevel]]-Table1[[#This Row],[CurrentStock]],"")</f>
        <v/>
      </c>
      <c r="N1120" t="str">
        <f>IF(Table1[[#This Row],[CurrentStock]]&gt;Table1[[#This Row],[ReorderLevel]]*3,"Over Stock","Okay")</f>
        <v>Over Stock</v>
      </c>
      <c r="O1120" t="str">
        <f>IF(Table1[[#This Row],[CurrentStock]]&lt;Table1[[#This Row],[ReorderLevel]],"Reorder","Okay")</f>
        <v>Okay</v>
      </c>
    </row>
    <row r="1121" spans="1:15" x14ac:dyDescent="0.3">
      <c r="A1121">
        <v>38690</v>
      </c>
      <c r="B1121" t="s">
        <v>21</v>
      </c>
      <c r="C1121" t="s">
        <v>31</v>
      </c>
      <c r="D1121">
        <v>426</v>
      </c>
      <c r="E1121">
        <v>30</v>
      </c>
      <c r="F1121">
        <v>333.36</v>
      </c>
      <c r="G1121" t="s">
        <v>33</v>
      </c>
      <c r="H1121" s="1">
        <v>45569</v>
      </c>
      <c r="I1121" s="1">
        <v>45577</v>
      </c>
      <c r="J1121" t="s">
        <v>38</v>
      </c>
      <c r="K1121" t="b">
        <f>Table1[[#This Row],[CurrentStock]]&lt;Table1[[#This Row],[ReorderLevel]]</f>
        <v>0</v>
      </c>
      <c r="L1121" s="9">
        <f>Table1[[#This Row],[CurrentStock]]*Table1[[#This Row],[UnitPrice]]</f>
        <v>142011.36000000002</v>
      </c>
      <c r="M1121" t="str">
        <f>IF(Table1[[#This Row],[ReorderLevel]]-Table1[[#This Row],[CurrentStock]]&gt;0,Table1[[#This Row],[ReorderLevel]]-Table1[[#This Row],[CurrentStock]],"")</f>
        <v/>
      </c>
      <c r="N1121" t="str">
        <f>IF(Table1[[#This Row],[CurrentStock]]&gt;Table1[[#This Row],[ReorderLevel]]*3,"Over Stock","Okay")</f>
        <v>Over Stock</v>
      </c>
      <c r="O1121" t="str">
        <f>IF(Table1[[#This Row],[CurrentStock]]&lt;Table1[[#This Row],[ReorderLevel]],"Reorder","Okay")</f>
        <v>Okay</v>
      </c>
    </row>
    <row r="1122" spans="1:15" x14ac:dyDescent="0.3">
      <c r="A1122">
        <v>96612</v>
      </c>
      <c r="B1122" t="s">
        <v>19</v>
      </c>
      <c r="C1122" t="s">
        <v>28</v>
      </c>
      <c r="D1122">
        <v>399</v>
      </c>
      <c r="E1122">
        <v>100</v>
      </c>
      <c r="F1122">
        <v>267.27</v>
      </c>
      <c r="G1122" t="s">
        <v>32</v>
      </c>
      <c r="H1122" s="1">
        <v>45565</v>
      </c>
      <c r="I1122" s="1">
        <v>45592</v>
      </c>
      <c r="J1122" t="s">
        <v>38</v>
      </c>
      <c r="K1122" t="b">
        <f>Table1[[#This Row],[CurrentStock]]&lt;Table1[[#This Row],[ReorderLevel]]</f>
        <v>0</v>
      </c>
      <c r="L1122" s="9">
        <f>Table1[[#This Row],[CurrentStock]]*Table1[[#This Row],[UnitPrice]]</f>
        <v>106640.73</v>
      </c>
      <c r="M1122" t="str">
        <f>IF(Table1[[#This Row],[ReorderLevel]]-Table1[[#This Row],[CurrentStock]]&gt;0,Table1[[#This Row],[ReorderLevel]]-Table1[[#This Row],[CurrentStock]],"")</f>
        <v/>
      </c>
      <c r="N1122" t="str">
        <f>IF(Table1[[#This Row],[CurrentStock]]&gt;Table1[[#This Row],[ReorderLevel]]*3,"Over Stock","Okay")</f>
        <v>Over Stock</v>
      </c>
      <c r="O1122" t="str">
        <f>IF(Table1[[#This Row],[CurrentStock]]&lt;Table1[[#This Row],[ReorderLevel]],"Reorder","Okay")</f>
        <v>Okay</v>
      </c>
    </row>
    <row r="1123" spans="1:15" x14ac:dyDescent="0.3">
      <c r="A1123">
        <v>98267</v>
      </c>
      <c r="B1123" t="s">
        <v>18</v>
      </c>
      <c r="C1123" t="s">
        <v>28</v>
      </c>
      <c r="D1123">
        <v>446</v>
      </c>
      <c r="E1123">
        <v>100</v>
      </c>
      <c r="F1123">
        <v>67.83</v>
      </c>
      <c r="G1123" t="s">
        <v>33</v>
      </c>
      <c r="H1123" s="1">
        <v>45509</v>
      </c>
      <c r="I1123" s="1">
        <v>45547</v>
      </c>
      <c r="J1123" t="s">
        <v>39</v>
      </c>
      <c r="K1123" t="b">
        <f>Table1[[#This Row],[CurrentStock]]&lt;Table1[[#This Row],[ReorderLevel]]</f>
        <v>0</v>
      </c>
      <c r="L1123" s="9">
        <f>Table1[[#This Row],[CurrentStock]]*Table1[[#This Row],[UnitPrice]]</f>
        <v>30252.18</v>
      </c>
      <c r="M1123" t="str">
        <f>IF(Table1[[#This Row],[ReorderLevel]]-Table1[[#This Row],[CurrentStock]]&gt;0,Table1[[#This Row],[ReorderLevel]]-Table1[[#This Row],[CurrentStock]],"")</f>
        <v/>
      </c>
      <c r="N1123" t="str">
        <f>IF(Table1[[#This Row],[CurrentStock]]&gt;Table1[[#This Row],[ReorderLevel]]*3,"Over Stock","Okay")</f>
        <v>Over Stock</v>
      </c>
      <c r="O1123" t="str">
        <f>IF(Table1[[#This Row],[CurrentStock]]&lt;Table1[[#This Row],[ReorderLevel]],"Reorder","Okay")</f>
        <v>Okay</v>
      </c>
    </row>
    <row r="1124" spans="1:15" x14ac:dyDescent="0.3">
      <c r="A1124">
        <v>24588</v>
      </c>
      <c r="B1124" t="s">
        <v>23</v>
      </c>
      <c r="C1124" t="s">
        <v>30</v>
      </c>
      <c r="D1124">
        <v>196</v>
      </c>
      <c r="E1124">
        <v>50</v>
      </c>
      <c r="F1124">
        <v>342.32</v>
      </c>
      <c r="G1124" t="s">
        <v>35</v>
      </c>
      <c r="H1124" s="1">
        <v>45424</v>
      </c>
      <c r="I1124" s="1">
        <v>45432</v>
      </c>
      <c r="J1124" t="s">
        <v>37</v>
      </c>
      <c r="K1124" t="b">
        <f>Table1[[#This Row],[CurrentStock]]&lt;Table1[[#This Row],[ReorderLevel]]</f>
        <v>0</v>
      </c>
      <c r="L1124" s="9">
        <f>Table1[[#This Row],[CurrentStock]]*Table1[[#This Row],[UnitPrice]]</f>
        <v>67094.720000000001</v>
      </c>
      <c r="M1124" t="str">
        <f>IF(Table1[[#This Row],[ReorderLevel]]-Table1[[#This Row],[CurrentStock]]&gt;0,Table1[[#This Row],[ReorderLevel]]-Table1[[#This Row],[CurrentStock]],"")</f>
        <v/>
      </c>
      <c r="N1124" t="str">
        <f>IF(Table1[[#This Row],[CurrentStock]]&gt;Table1[[#This Row],[ReorderLevel]]*3,"Over Stock","Okay")</f>
        <v>Over Stock</v>
      </c>
      <c r="O1124" t="str">
        <f>IF(Table1[[#This Row],[CurrentStock]]&lt;Table1[[#This Row],[ReorderLevel]],"Reorder","Okay")</f>
        <v>Okay</v>
      </c>
    </row>
    <row r="1125" spans="1:15" x14ac:dyDescent="0.3">
      <c r="A1125">
        <v>39317</v>
      </c>
      <c r="B1125" t="s">
        <v>15</v>
      </c>
      <c r="C1125" t="s">
        <v>29</v>
      </c>
      <c r="D1125">
        <v>207</v>
      </c>
      <c r="E1125">
        <v>30</v>
      </c>
      <c r="F1125">
        <v>210.67</v>
      </c>
      <c r="G1125" t="s">
        <v>35</v>
      </c>
      <c r="H1125" s="1">
        <v>45352</v>
      </c>
      <c r="I1125" s="1">
        <v>45366</v>
      </c>
      <c r="J1125" t="s">
        <v>37</v>
      </c>
      <c r="K1125" t="b">
        <f>Table1[[#This Row],[CurrentStock]]&lt;Table1[[#This Row],[ReorderLevel]]</f>
        <v>0</v>
      </c>
      <c r="L1125" s="9">
        <f>Table1[[#This Row],[CurrentStock]]*Table1[[#This Row],[UnitPrice]]</f>
        <v>43608.689999999995</v>
      </c>
      <c r="M1125" t="str">
        <f>IF(Table1[[#This Row],[ReorderLevel]]-Table1[[#This Row],[CurrentStock]]&gt;0,Table1[[#This Row],[ReorderLevel]]-Table1[[#This Row],[CurrentStock]],"")</f>
        <v/>
      </c>
      <c r="N1125" t="str">
        <f>IF(Table1[[#This Row],[CurrentStock]]&gt;Table1[[#This Row],[ReorderLevel]]*3,"Over Stock","Okay")</f>
        <v>Over Stock</v>
      </c>
      <c r="O1125" t="str">
        <f>IF(Table1[[#This Row],[CurrentStock]]&lt;Table1[[#This Row],[ReorderLevel]],"Reorder","Okay")</f>
        <v>Okay</v>
      </c>
    </row>
    <row r="1126" spans="1:15" x14ac:dyDescent="0.3">
      <c r="A1126">
        <v>53826</v>
      </c>
      <c r="B1126" t="s">
        <v>21</v>
      </c>
      <c r="C1126" t="s">
        <v>31</v>
      </c>
      <c r="D1126">
        <v>190</v>
      </c>
      <c r="E1126">
        <v>40</v>
      </c>
      <c r="F1126">
        <v>460.93</v>
      </c>
      <c r="G1126" t="s">
        <v>33</v>
      </c>
      <c r="H1126" s="1">
        <v>45610</v>
      </c>
      <c r="I1126" s="1">
        <v>45639</v>
      </c>
      <c r="J1126" t="s">
        <v>37</v>
      </c>
      <c r="K1126" t="b">
        <f>Table1[[#This Row],[CurrentStock]]&lt;Table1[[#This Row],[ReorderLevel]]</f>
        <v>0</v>
      </c>
      <c r="L1126" s="9">
        <f>Table1[[#This Row],[CurrentStock]]*Table1[[#This Row],[UnitPrice]]</f>
        <v>87576.7</v>
      </c>
      <c r="M1126" t="str">
        <f>IF(Table1[[#This Row],[ReorderLevel]]-Table1[[#This Row],[CurrentStock]]&gt;0,Table1[[#This Row],[ReorderLevel]]-Table1[[#This Row],[CurrentStock]],"")</f>
        <v/>
      </c>
      <c r="N1126" t="str">
        <f>IF(Table1[[#This Row],[CurrentStock]]&gt;Table1[[#This Row],[ReorderLevel]]*3,"Over Stock","Okay")</f>
        <v>Over Stock</v>
      </c>
      <c r="O1126" t="str">
        <f>IF(Table1[[#This Row],[CurrentStock]]&lt;Table1[[#This Row],[ReorderLevel]],"Reorder","Okay")</f>
        <v>Okay</v>
      </c>
    </row>
    <row r="1127" spans="1:15" x14ac:dyDescent="0.3">
      <c r="A1127">
        <v>52915</v>
      </c>
      <c r="B1127" t="s">
        <v>11</v>
      </c>
      <c r="C1127" t="s">
        <v>27</v>
      </c>
      <c r="D1127">
        <v>122</v>
      </c>
      <c r="E1127">
        <v>40</v>
      </c>
      <c r="F1127">
        <v>94.72</v>
      </c>
      <c r="G1127" t="s">
        <v>32</v>
      </c>
      <c r="H1127" s="1">
        <v>45621</v>
      </c>
      <c r="I1127" s="1">
        <v>45659</v>
      </c>
      <c r="J1127" t="s">
        <v>39</v>
      </c>
      <c r="K1127" t="b">
        <f>Table1[[#This Row],[CurrentStock]]&lt;Table1[[#This Row],[ReorderLevel]]</f>
        <v>0</v>
      </c>
      <c r="L1127" s="9">
        <f>Table1[[#This Row],[CurrentStock]]*Table1[[#This Row],[UnitPrice]]</f>
        <v>11555.84</v>
      </c>
      <c r="M1127" t="str">
        <f>IF(Table1[[#This Row],[ReorderLevel]]-Table1[[#This Row],[CurrentStock]]&gt;0,Table1[[#This Row],[ReorderLevel]]-Table1[[#This Row],[CurrentStock]],"")</f>
        <v/>
      </c>
      <c r="N1127" t="str">
        <f>IF(Table1[[#This Row],[CurrentStock]]&gt;Table1[[#This Row],[ReorderLevel]]*3,"Over Stock","Okay")</f>
        <v>Over Stock</v>
      </c>
      <c r="O1127" t="str">
        <f>IF(Table1[[#This Row],[CurrentStock]]&lt;Table1[[#This Row],[ReorderLevel]],"Reorder","Okay")</f>
        <v>Okay</v>
      </c>
    </row>
    <row r="1128" spans="1:15" x14ac:dyDescent="0.3">
      <c r="A1128">
        <v>27629</v>
      </c>
      <c r="B1128" t="s">
        <v>20</v>
      </c>
      <c r="C1128" t="s">
        <v>29</v>
      </c>
      <c r="D1128">
        <v>18</v>
      </c>
      <c r="E1128">
        <v>30</v>
      </c>
      <c r="F1128">
        <v>248.25</v>
      </c>
      <c r="G1128" t="s">
        <v>32</v>
      </c>
      <c r="H1128" s="1">
        <v>45588</v>
      </c>
      <c r="I1128" s="1">
        <v>45609</v>
      </c>
      <c r="J1128" t="s">
        <v>39</v>
      </c>
      <c r="K1128" t="b">
        <f>Table1[[#This Row],[CurrentStock]]&lt;Table1[[#This Row],[ReorderLevel]]</f>
        <v>1</v>
      </c>
      <c r="L1128" s="9">
        <f>Table1[[#This Row],[CurrentStock]]*Table1[[#This Row],[UnitPrice]]</f>
        <v>4468.5</v>
      </c>
      <c r="M1128">
        <f>IF(Table1[[#This Row],[ReorderLevel]]-Table1[[#This Row],[CurrentStock]]&gt;0,Table1[[#This Row],[ReorderLevel]]-Table1[[#This Row],[CurrentStock]],"")</f>
        <v>12</v>
      </c>
      <c r="N1128" t="str">
        <f>IF(Table1[[#This Row],[CurrentStock]]&gt;Table1[[#This Row],[ReorderLevel]]*3,"Over Stock","Okay")</f>
        <v>Okay</v>
      </c>
      <c r="O1128" t="str">
        <f>IF(Table1[[#This Row],[CurrentStock]]&lt;Table1[[#This Row],[ReorderLevel]],"Reorder","Okay")</f>
        <v>Reorder</v>
      </c>
    </row>
    <row r="1129" spans="1:15" x14ac:dyDescent="0.3">
      <c r="A1129">
        <v>20599</v>
      </c>
      <c r="B1129" t="s">
        <v>20</v>
      </c>
      <c r="C1129" t="s">
        <v>29</v>
      </c>
      <c r="D1129">
        <v>442</v>
      </c>
      <c r="E1129">
        <v>20</v>
      </c>
      <c r="F1129">
        <v>408.94</v>
      </c>
      <c r="G1129" t="s">
        <v>32</v>
      </c>
      <c r="H1129" s="1">
        <v>45565</v>
      </c>
      <c r="I1129" s="1">
        <v>45595</v>
      </c>
      <c r="J1129" t="s">
        <v>38</v>
      </c>
      <c r="K1129" t="b">
        <f>Table1[[#This Row],[CurrentStock]]&lt;Table1[[#This Row],[ReorderLevel]]</f>
        <v>0</v>
      </c>
      <c r="L1129" s="9">
        <f>Table1[[#This Row],[CurrentStock]]*Table1[[#This Row],[UnitPrice]]</f>
        <v>180751.48</v>
      </c>
      <c r="M1129" t="str">
        <f>IF(Table1[[#This Row],[ReorderLevel]]-Table1[[#This Row],[CurrentStock]]&gt;0,Table1[[#This Row],[ReorderLevel]]-Table1[[#This Row],[CurrentStock]],"")</f>
        <v/>
      </c>
      <c r="N1129" t="str">
        <f>IF(Table1[[#This Row],[CurrentStock]]&gt;Table1[[#This Row],[ReorderLevel]]*3,"Over Stock","Okay")</f>
        <v>Over Stock</v>
      </c>
      <c r="O1129" t="str">
        <f>IF(Table1[[#This Row],[CurrentStock]]&lt;Table1[[#This Row],[ReorderLevel]],"Reorder","Okay")</f>
        <v>Okay</v>
      </c>
    </row>
    <row r="1130" spans="1:15" x14ac:dyDescent="0.3">
      <c r="A1130">
        <v>30951</v>
      </c>
      <c r="B1130" t="s">
        <v>10</v>
      </c>
      <c r="C1130" t="s">
        <v>27</v>
      </c>
      <c r="D1130">
        <v>133</v>
      </c>
      <c r="E1130">
        <v>20</v>
      </c>
      <c r="F1130">
        <v>121.82</v>
      </c>
      <c r="G1130" t="s">
        <v>35</v>
      </c>
      <c r="H1130" s="1">
        <v>45342</v>
      </c>
      <c r="I1130" s="1">
        <v>45367</v>
      </c>
      <c r="J1130" t="s">
        <v>38</v>
      </c>
      <c r="K1130" t="b">
        <f>Table1[[#This Row],[CurrentStock]]&lt;Table1[[#This Row],[ReorderLevel]]</f>
        <v>0</v>
      </c>
      <c r="L1130" s="9">
        <f>Table1[[#This Row],[CurrentStock]]*Table1[[#This Row],[UnitPrice]]</f>
        <v>16202.06</v>
      </c>
      <c r="M1130" t="str">
        <f>IF(Table1[[#This Row],[ReorderLevel]]-Table1[[#This Row],[CurrentStock]]&gt;0,Table1[[#This Row],[ReorderLevel]]-Table1[[#This Row],[CurrentStock]],"")</f>
        <v/>
      </c>
      <c r="N1130" t="str">
        <f>IF(Table1[[#This Row],[CurrentStock]]&gt;Table1[[#This Row],[ReorderLevel]]*3,"Over Stock","Okay")</f>
        <v>Over Stock</v>
      </c>
      <c r="O1130" t="str">
        <f>IF(Table1[[#This Row],[CurrentStock]]&lt;Table1[[#This Row],[ReorderLevel]],"Reorder","Okay")</f>
        <v>Okay</v>
      </c>
    </row>
    <row r="1131" spans="1:15" x14ac:dyDescent="0.3">
      <c r="A1131">
        <v>38064</v>
      </c>
      <c r="B1131" t="s">
        <v>19</v>
      </c>
      <c r="C1131" t="s">
        <v>28</v>
      </c>
      <c r="D1131">
        <v>82</v>
      </c>
      <c r="E1131">
        <v>80</v>
      </c>
      <c r="F1131">
        <v>497.92</v>
      </c>
      <c r="G1131" t="s">
        <v>35</v>
      </c>
      <c r="H1131" s="1">
        <v>45603</v>
      </c>
      <c r="I1131" s="1">
        <v>45619</v>
      </c>
      <c r="J1131" t="s">
        <v>37</v>
      </c>
      <c r="K1131" t="b">
        <f>Table1[[#This Row],[CurrentStock]]&lt;Table1[[#This Row],[ReorderLevel]]</f>
        <v>0</v>
      </c>
      <c r="L1131" s="9">
        <f>Table1[[#This Row],[CurrentStock]]*Table1[[#This Row],[UnitPrice]]</f>
        <v>40829.440000000002</v>
      </c>
      <c r="M1131" t="str">
        <f>IF(Table1[[#This Row],[ReorderLevel]]-Table1[[#This Row],[CurrentStock]]&gt;0,Table1[[#This Row],[ReorderLevel]]-Table1[[#This Row],[CurrentStock]],"")</f>
        <v/>
      </c>
      <c r="N1131" t="str">
        <f>IF(Table1[[#This Row],[CurrentStock]]&gt;Table1[[#This Row],[ReorderLevel]]*3,"Over Stock","Okay")</f>
        <v>Okay</v>
      </c>
      <c r="O1131" t="str">
        <f>IF(Table1[[#This Row],[CurrentStock]]&lt;Table1[[#This Row],[ReorderLevel]],"Reorder","Okay")</f>
        <v>Okay</v>
      </c>
    </row>
    <row r="1132" spans="1:15" x14ac:dyDescent="0.3">
      <c r="A1132">
        <v>35905</v>
      </c>
      <c r="B1132" t="s">
        <v>23</v>
      </c>
      <c r="C1132" t="s">
        <v>30</v>
      </c>
      <c r="D1132">
        <v>379</v>
      </c>
      <c r="E1132">
        <v>30</v>
      </c>
      <c r="F1132">
        <v>14.76</v>
      </c>
      <c r="G1132" t="s">
        <v>36</v>
      </c>
      <c r="H1132" s="1">
        <v>45617</v>
      </c>
      <c r="I1132" s="1">
        <v>45638</v>
      </c>
      <c r="J1132" t="s">
        <v>39</v>
      </c>
      <c r="K1132" t="b">
        <f>Table1[[#This Row],[CurrentStock]]&lt;Table1[[#This Row],[ReorderLevel]]</f>
        <v>0</v>
      </c>
      <c r="L1132" s="9">
        <f>Table1[[#This Row],[CurrentStock]]*Table1[[#This Row],[UnitPrice]]</f>
        <v>5594.04</v>
      </c>
      <c r="M1132" t="str">
        <f>IF(Table1[[#This Row],[ReorderLevel]]-Table1[[#This Row],[CurrentStock]]&gt;0,Table1[[#This Row],[ReorderLevel]]-Table1[[#This Row],[CurrentStock]],"")</f>
        <v/>
      </c>
      <c r="N1132" t="str">
        <f>IF(Table1[[#This Row],[CurrentStock]]&gt;Table1[[#This Row],[ReorderLevel]]*3,"Over Stock","Okay")</f>
        <v>Over Stock</v>
      </c>
      <c r="O1132" t="str">
        <f>IF(Table1[[#This Row],[CurrentStock]]&lt;Table1[[#This Row],[ReorderLevel]],"Reorder","Okay")</f>
        <v>Okay</v>
      </c>
    </row>
    <row r="1133" spans="1:15" x14ac:dyDescent="0.3">
      <c r="A1133">
        <v>30234</v>
      </c>
      <c r="B1133" t="s">
        <v>24</v>
      </c>
      <c r="C1133" t="s">
        <v>31</v>
      </c>
      <c r="D1133">
        <v>373</v>
      </c>
      <c r="E1133">
        <v>80</v>
      </c>
      <c r="F1133">
        <v>148.34</v>
      </c>
      <c r="G1133" t="s">
        <v>32</v>
      </c>
      <c r="H1133" s="1">
        <v>45507</v>
      </c>
      <c r="I1133" s="1">
        <v>45527</v>
      </c>
      <c r="J1133" t="s">
        <v>38</v>
      </c>
      <c r="K1133" t="b">
        <f>Table1[[#This Row],[CurrentStock]]&lt;Table1[[#This Row],[ReorderLevel]]</f>
        <v>0</v>
      </c>
      <c r="L1133" s="9">
        <f>Table1[[#This Row],[CurrentStock]]*Table1[[#This Row],[UnitPrice]]</f>
        <v>55330.82</v>
      </c>
      <c r="M1133" t="str">
        <f>IF(Table1[[#This Row],[ReorderLevel]]-Table1[[#This Row],[CurrentStock]]&gt;0,Table1[[#This Row],[ReorderLevel]]-Table1[[#This Row],[CurrentStock]],"")</f>
        <v/>
      </c>
      <c r="N1133" t="str">
        <f>IF(Table1[[#This Row],[CurrentStock]]&gt;Table1[[#This Row],[ReorderLevel]]*3,"Over Stock","Okay")</f>
        <v>Over Stock</v>
      </c>
      <c r="O1133" t="str">
        <f>IF(Table1[[#This Row],[CurrentStock]]&lt;Table1[[#This Row],[ReorderLevel]],"Reorder","Okay")</f>
        <v>Okay</v>
      </c>
    </row>
    <row r="1134" spans="1:15" x14ac:dyDescent="0.3">
      <c r="A1134">
        <v>93391</v>
      </c>
      <c r="B1134" t="s">
        <v>12</v>
      </c>
      <c r="C1134" t="s">
        <v>28</v>
      </c>
      <c r="D1134">
        <v>164</v>
      </c>
      <c r="E1134">
        <v>80</v>
      </c>
      <c r="F1134">
        <v>206.09</v>
      </c>
      <c r="G1134" t="s">
        <v>35</v>
      </c>
      <c r="H1134" s="1">
        <v>45637</v>
      </c>
      <c r="I1134" s="1">
        <v>45658</v>
      </c>
      <c r="J1134" t="s">
        <v>38</v>
      </c>
      <c r="K1134" t="b">
        <f>Table1[[#This Row],[CurrentStock]]&lt;Table1[[#This Row],[ReorderLevel]]</f>
        <v>0</v>
      </c>
      <c r="L1134" s="9">
        <f>Table1[[#This Row],[CurrentStock]]*Table1[[#This Row],[UnitPrice]]</f>
        <v>33798.76</v>
      </c>
      <c r="M1134" t="str">
        <f>IF(Table1[[#This Row],[ReorderLevel]]-Table1[[#This Row],[CurrentStock]]&gt;0,Table1[[#This Row],[ReorderLevel]]-Table1[[#This Row],[CurrentStock]],"")</f>
        <v/>
      </c>
      <c r="N1134" t="str">
        <f>IF(Table1[[#This Row],[CurrentStock]]&gt;Table1[[#This Row],[ReorderLevel]]*3,"Over Stock","Okay")</f>
        <v>Okay</v>
      </c>
      <c r="O1134" t="str">
        <f>IF(Table1[[#This Row],[CurrentStock]]&lt;Table1[[#This Row],[ReorderLevel]],"Reorder","Okay")</f>
        <v>Okay</v>
      </c>
    </row>
    <row r="1135" spans="1:15" x14ac:dyDescent="0.3">
      <c r="A1135">
        <v>52235</v>
      </c>
      <c r="B1135" t="s">
        <v>12</v>
      </c>
      <c r="C1135" t="s">
        <v>28</v>
      </c>
      <c r="D1135">
        <v>358</v>
      </c>
      <c r="E1135">
        <v>30</v>
      </c>
      <c r="F1135">
        <v>406.36</v>
      </c>
      <c r="G1135" t="s">
        <v>34</v>
      </c>
      <c r="H1135" s="1">
        <v>45554</v>
      </c>
      <c r="I1135" s="1">
        <v>45574</v>
      </c>
      <c r="J1135" t="s">
        <v>37</v>
      </c>
      <c r="K1135" t="b">
        <f>Table1[[#This Row],[CurrentStock]]&lt;Table1[[#This Row],[ReorderLevel]]</f>
        <v>0</v>
      </c>
      <c r="L1135" s="9">
        <f>Table1[[#This Row],[CurrentStock]]*Table1[[#This Row],[UnitPrice]]</f>
        <v>145476.88</v>
      </c>
      <c r="M1135" t="str">
        <f>IF(Table1[[#This Row],[ReorderLevel]]-Table1[[#This Row],[CurrentStock]]&gt;0,Table1[[#This Row],[ReorderLevel]]-Table1[[#This Row],[CurrentStock]],"")</f>
        <v/>
      </c>
      <c r="N1135" t="str">
        <f>IF(Table1[[#This Row],[CurrentStock]]&gt;Table1[[#This Row],[ReorderLevel]]*3,"Over Stock","Okay")</f>
        <v>Over Stock</v>
      </c>
      <c r="O1135" t="str">
        <f>IF(Table1[[#This Row],[CurrentStock]]&lt;Table1[[#This Row],[ReorderLevel]],"Reorder","Okay")</f>
        <v>Okay</v>
      </c>
    </row>
    <row r="1136" spans="1:15" x14ac:dyDescent="0.3">
      <c r="A1136">
        <v>24633</v>
      </c>
      <c r="B1136" t="s">
        <v>14</v>
      </c>
      <c r="C1136" t="s">
        <v>27</v>
      </c>
      <c r="D1136">
        <v>111</v>
      </c>
      <c r="E1136">
        <v>40</v>
      </c>
      <c r="F1136">
        <v>160.12</v>
      </c>
      <c r="G1136" t="s">
        <v>36</v>
      </c>
      <c r="H1136" s="1">
        <v>45559</v>
      </c>
      <c r="I1136" s="1">
        <v>45584</v>
      </c>
      <c r="J1136" t="s">
        <v>39</v>
      </c>
      <c r="K1136" t="b">
        <f>Table1[[#This Row],[CurrentStock]]&lt;Table1[[#This Row],[ReorderLevel]]</f>
        <v>0</v>
      </c>
      <c r="L1136" s="9">
        <f>Table1[[#This Row],[CurrentStock]]*Table1[[#This Row],[UnitPrice]]</f>
        <v>17773.32</v>
      </c>
      <c r="M1136" t="str">
        <f>IF(Table1[[#This Row],[ReorderLevel]]-Table1[[#This Row],[CurrentStock]]&gt;0,Table1[[#This Row],[ReorderLevel]]-Table1[[#This Row],[CurrentStock]],"")</f>
        <v/>
      </c>
      <c r="N1136" t="str">
        <f>IF(Table1[[#This Row],[CurrentStock]]&gt;Table1[[#This Row],[ReorderLevel]]*3,"Over Stock","Okay")</f>
        <v>Okay</v>
      </c>
      <c r="O1136" t="str">
        <f>IF(Table1[[#This Row],[CurrentStock]]&lt;Table1[[#This Row],[ReorderLevel]],"Reorder","Okay")</f>
        <v>Okay</v>
      </c>
    </row>
    <row r="1137" spans="1:15" x14ac:dyDescent="0.3">
      <c r="A1137">
        <v>83177</v>
      </c>
      <c r="B1137" t="s">
        <v>23</v>
      </c>
      <c r="C1137" t="s">
        <v>30</v>
      </c>
      <c r="D1137">
        <v>33</v>
      </c>
      <c r="E1137">
        <v>150</v>
      </c>
      <c r="F1137">
        <v>128.36000000000001</v>
      </c>
      <c r="G1137" t="s">
        <v>32</v>
      </c>
      <c r="H1137" s="1">
        <v>45562</v>
      </c>
      <c r="I1137" s="1">
        <v>45567</v>
      </c>
      <c r="J1137" t="s">
        <v>37</v>
      </c>
      <c r="K1137" t="b">
        <f>Table1[[#This Row],[CurrentStock]]&lt;Table1[[#This Row],[ReorderLevel]]</f>
        <v>1</v>
      </c>
      <c r="L1137" s="9">
        <f>Table1[[#This Row],[CurrentStock]]*Table1[[#This Row],[UnitPrice]]</f>
        <v>4235.88</v>
      </c>
      <c r="M1137">
        <f>IF(Table1[[#This Row],[ReorderLevel]]-Table1[[#This Row],[CurrentStock]]&gt;0,Table1[[#This Row],[ReorderLevel]]-Table1[[#This Row],[CurrentStock]],"")</f>
        <v>117</v>
      </c>
      <c r="N1137" t="str">
        <f>IF(Table1[[#This Row],[CurrentStock]]&gt;Table1[[#This Row],[ReorderLevel]]*3,"Over Stock","Okay")</f>
        <v>Okay</v>
      </c>
      <c r="O1137" t="str">
        <f>IF(Table1[[#This Row],[CurrentStock]]&lt;Table1[[#This Row],[ReorderLevel]],"Reorder","Okay")</f>
        <v>Reorder</v>
      </c>
    </row>
    <row r="1138" spans="1:15" x14ac:dyDescent="0.3">
      <c r="A1138">
        <v>66151</v>
      </c>
      <c r="B1138" t="s">
        <v>25</v>
      </c>
      <c r="C1138" t="s">
        <v>31</v>
      </c>
      <c r="D1138">
        <v>250</v>
      </c>
      <c r="E1138">
        <v>150</v>
      </c>
      <c r="F1138">
        <v>296.72000000000003</v>
      </c>
      <c r="G1138" t="s">
        <v>36</v>
      </c>
      <c r="H1138" s="1">
        <v>45471</v>
      </c>
      <c r="I1138" s="1">
        <v>45490</v>
      </c>
      <c r="J1138" t="s">
        <v>38</v>
      </c>
      <c r="K1138" t="b">
        <f>Table1[[#This Row],[CurrentStock]]&lt;Table1[[#This Row],[ReorderLevel]]</f>
        <v>0</v>
      </c>
      <c r="L1138" s="9">
        <f>Table1[[#This Row],[CurrentStock]]*Table1[[#This Row],[UnitPrice]]</f>
        <v>74180</v>
      </c>
      <c r="M1138" t="str">
        <f>IF(Table1[[#This Row],[ReorderLevel]]-Table1[[#This Row],[CurrentStock]]&gt;0,Table1[[#This Row],[ReorderLevel]]-Table1[[#This Row],[CurrentStock]],"")</f>
        <v/>
      </c>
      <c r="N1138" t="str">
        <f>IF(Table1[[#This Row],[CurrentStock]]&gt;Table1[[#This Row],[ReorderLevel]]*3,"Over Stock","Okay")</f>
        <v>Okay</v>
      </c>
      <c r="O1138" t="str">
        <f>IF(Table1[[#This Row],[CurrentStock]]&lt;Table1[[#This Row],[ReorderLevel]],"Reorder","Okay")</f>
        <v>Okay</v>
      </c>
    </row>
    <row r="1139" spans="1:15" x14ac:dyDescent="0.3">
      <c r="A1139">
        <v>48333</v>
      </c>
      <c r="B1139" t="s">
        <v>18</v>
      </c>
      <c r="C1139" t="s">
        <v>28</v>
      </c>
      <c r="D1139">
        <v>92</v>
      </c>
      <c r="E1139">
        <v>100</v>
      </c>
      <c r="F1139">
        <v>224.17</v>
      </c>
      <c r="G1139" t="s">
        <v>34</v>
      </c>
      <c r="H1139" s="1">
        <v>45600</v>
      </c>
      <c r="I1139" s="1">
        <v>45609</v>
      </c>
      <c r="J1139" t="s">
        <v>39</v>
      </c>
      <c r="K1139" t="b">
        <f>Table1[[#This Row],[CurrentStock]]&lt;Table1[[#This Row],[ReorderLevel]]</f>
        <v>1</v>
      </c>
      <c r="L1139" s="9">
        <f>Table1[[#This Row],[CurrentStock]]*Table1[[#This Row],[UnitPrice]]</f>
        <v>20623.64</v>
      </c>
      <c r="M1139">
        <f>IF(Table1[[#This Row],[ReorderLevel]]-Table1[[#This Row],[CurrentStock]]&gt;0,Table1[[#This Row],[ReorderLevel]]-Table1[[#This Row],[CurrentStock]],"")</f>
        <v>8</v>
      </c>
      <c r="N1139" t="str">
        <f>IF(Table1[[#This Row],[CurrentStock]]&gt;Table1[[#This Row],[ReorderLevel]]*3,"Over Stock","Okay")</f>
        <v>Okay</v>
      </c>
      <c r="O1139" t="str">
        <f>IF(Table1[[#This Row],[CurrentStock]]&lt;Table1[[#This Row],[ReorderLevel]],"Reorder","Okay")</f>
        <v>Reorder</v>
      </c>
    </row>
    <row r="1140" spans="1:15" x14ac:dyDescent="0.3">
      <c r="A1140">
        <v>29340</v>
      </c>
      <c r="B1140" t="s">
        <v>25</v>
      </c>
      <c r="C1140" t="s">
        <v>31</v>
      </c>
      <c r="D1140">
        <v>80</v>
      </c>
      <c r="E1140">
        <v>30</v>
      </c>
      <c r="F1140">
        <v>340.28</v>
      </c>
      <c r="G1140" t="s">
        <v>36</v>
      </c>
      <c r="H1140" s="1">
        <v>45571</v>
      </c>
      <c r="I1140" s="1">
        <v>45577</v>
      </c>
      <c r="J1140" t="s">
        <v>38</v>
      </c>
      <c r="K1140" t="b">
        <f>Table1[[#This Row],[CurrentStock]]&lt;Table1[[#This Row],[ReorderLevel]]</f>
        <v>0</v>
      </c>
      <c r="L1140" s="9">
        <f>Table1[[#This Row],[CurrentStock]]*Table1[[#This Row],[UnitPrice]]</f>
        <v>27222.399999999998</v>
      </c>
      <c r="M1140" t="str">
        <f>IF(Table1[[#This Row],[ReorderLevel]]-Table1[[#This Row],[CurrentStock]]&gt;0,Table1[[#This Row],[ReorderLevel]]-Table1[[#This Row],[CurrentStock]],"")</f>
        <v/>
      </c>
      <c r="N1140" t="str">
        <f>IF(Table1[[#This Row],[CurrentStock]]&gt;Table1[[#This Row],[ReorderLevel]]*3,"Over Stock","Okay")</f>
        <v>Okay</v>
      </c>
      <c r="O1140" t="str">
        <f>IF(Table1[[#This Row],[CurrentStock]]&lt;Table1[[#This Row],[ReorderLevel]],"Reorder","Okay")</f>
        <v>Okay</v>
      </c>
    </row>
    <row r="1141" spans="1:15" x14ac:dyDescent="0.3">
      <c r="A1141">
        <v>52875</v>
      </c>
      <c r="B1141" t="s">
        <v>26</v>
      </c>
      <c r="C1141" t="s">
        <v>30</v>
      </c>
      <c r="D1141">
        <v>484</v>
      </c>
      <c r="E1141">
        <v>40</v>
      </c>
      <c r="F1141">
        <v>457.04</v>
      </c>
      <c r="G1141" t="s">
        <v>34</v>
      </c>
      <c r="H1141" s="1">
        <v>45471</v>
      </c>
      <c r="I1141" s="1">
        <v>45498</v>
      </c>
      <c r="J1141" t="s">
        <v>39</v>
      </c>
      <c r="K1141" t="b">
        <f>Table1[[#This Row],[CurrentStock]]&lt;Table1[[#This Row],[ReorderLevel]]</f>
        <v>0</v>
      </c>
      <c r="L1141" s="9">
        <f>Table1[[#This Row],[CurrentStock]]*Table1[[#This Row],[UnitPrice]]</f>
        <v>221207.36000000002</v>
      </c>
      <c r="M1141" t="str">
        <f>IF(Table1[[#This Row],[ReorderLevel]]-Table1[[#This Row],[CurrentStock]]&gt;0,Table1[[#This Row],[ReorderLevel]]-Table1[[#This Row],[CurrentStock]],"")</f>
        <v/>
      </c>
      <c r="N1141" t="str">
        <f>IF(Table1[[#This Row],[CurrentStock]]&gt;Table1[[#This Row],[ReorderLevel]]*3,"Over Stock","Okay")</f>
        <v>Over Stock</v>
      </c>
      <c r="O1141" t="str">
        <f>IF(Table1[[#This Row],[CurrentStock]]&lt;Table1[[#This Row],[ReorderLevel]],"Reorder","Okay")</f>
        <v>Okay</v>
      </c>
    </row>
    <row r="1142" spans="1:15" x14ac:dyDescent="0.3">
      <c r="A1142">
        <v>59063</v>
      </c>
      <c r="B1142" t="s">
        <v>21</v>
      </c>
      <c r="C1142" t="s">
        <v>31</v>
      </c>
      <c r="D1142">
        <v>243</v>
      </c>
      <c r="E1142">
        <v>50</v>
      </c>
      <c r="F1142">
        <v>209.36</v>
      </c>
      <c r="G1142" t="s">
        <v>35</v>
      </c>
      <c r="H1142" s="1">
        <v>45445</v>
      </c>
      <c r="I1142" s="1">
        <v>45466</v>
      </c>
      <c r="J1142" t="s">
        <v>37</v>
      </c>
      <c r="K1142" t="b">
        <f>Table1[[#This Row],[CurrentStock]]&lt;Table1[[#This Row],[ReorderLevel]]</f>
        <v>0</v>
      </c>
      <c r="L1142" s="9">
        <f>Table1[[#This Row],[CurrentStock]]*Table1[[#This Row],[UnitPrice]]</f>
        <v>50874.48</v>
      </c>
      <c r="M1142" t="str">
        <f>IF(Table1[[#This Row],[ReorderLevel]]-Table1[[#This Row],[CurrentStock]]&gt;0,Table1[[#This Row],[ReorderLevel]]-Table1[[#This Row],[CurrentStock]],"")</f>
        <v/>
      </c>
      <c r="N1142" t="str">
        <f>IF(Table1[[#This Row],[CurrentStock]]&gt;Table1[[#This Row],[ReorderLevel]]*3,"Over Stock","Okay")</f>
        <v>Over Stock</v>
      </c>
      <c r="O1142" t="str">
        <f>IF(Table1[[#This Row],[CurrentStock]]&lt;Table1[[#This Row],[ReorderLevel]],"Reorder","Okay")</f>
        <v>Okay</v>
      </c>
    </row>
    <row r="1143" spans="1:15" x14ac:dyDescent="0.3">
      <c r="A1143">
        <v>62115</v>
      </c>
      <c r="B1143" t="s">
        <v>15</v>
      </c>
      <c r="C1143" t="s">
        <v>29</v>
      </c>
      <c r="D1143">
        <v>139</v>
      </c>
      <c r="E1143">
        <v>150</v>
      </c>
      <c r="F1143">
        <v>409.35</v>
      </c>
      <c r="G1143" t="s">
        <v>36</v>
      </c>
      <c r="H1143" s="1">
        <v>45365</v>
      </c>
      <c r="I1143" s="1">
        <v>45381</v>
      </c>
      <c r="J1143" t="s">
        <v>37</v>
      </c>
      <c r="K1143" t="b">
        <f>Table1[[#This Row],[CurrentStock]]&lt;Table1[[#This Row],[ReorderLevel]]</f>
        <v>1</v>
      </c>
      <c r="L1143" s="9">
        <f>Table1[[#This Row],[CurrentStock]]*Table1[[#This Row],[UnitPrice]]</f>
        <v>56899.65</v>
      </c>
      <c r="M1143">
        <f>IF(Table1[[#This Row],[ReorderLevel]]-Table1[[#This Row],[CurrentStock]]&gt;0,Table1[[#This Row],[ReorderLevel]]-Table1[[#This Row],[CurrentStock]],"")</f>
        <v>11</v>
      </c>
      <c r="N1143" t="str">
        <f>IF(Table1[[#This Row],[CurrentStock]]&gt;Table1[[#This Row],[ReorderLevel]]*3,"Over Stock","Okay")</f>
        <v>Okay</v>
      </c>
      <c r="O1143" t="str">
        <f>IF(Table1[[#This Row],[CurrentStock]]&lt;Table1[[#This Row],[ReorderLevel]],"Reorder","Okay")</f>
        <v>Reorder</v>
      </c>
    </row>
    <row r="1144" spans="1:15" x14ac:dyDescent="0.3">
      <c r="A1144">
        <v>99180</v>
      </c>
      <c r="B1144" t="s">
        <v>14</v>
      </c>
      <c r="C1144" t="s">
        <v>27</v>
      </c>
      <c r="D1144">
        <v>121</v>
      </c>
      <c r="E1144">
        <v>100</v>
      </c>
      <c r="F1144">
        <v>249.9</v>
      </c>
      <c r="G1144" t="s">
        <v>35</v>
      </c>
      <c r="H1144" s="1">
        <v>45320</v>
      </c>
      <c r="I1144" s="1">
        <v>45334</v>
      </c>
      <c r="J1144" t="s">
        <v>39</v>
      </c>
      <c r="K1144" t="b">
        <f>Table1[[#This Row],[CurrentStock]]&lt;Table1[[#This Row],[ReorderLevel]]</f>
        <v>0</v>
      </c>
      <c r="L1144" s="9">
        <f>Table1[[#This Row],[CurrentStock]]*Table1[[#This Row],[UnitPrice]]</f>
        <v>30237.9</v>
      </c>
      <c r="M1144" t="str">
        <f>IF(Table1[[#This Row],[ReorderLevel]]-Table1[[#This Row],[CurrentStock]]&gt;0,Table1[[#This Row],[ReorderLevel]]-Table1[[#This Row],[CurrentStock]],"")</f>
        <v/>
      </c>
      <c r="N1144" t="str">
        <f>IF(Table1[[#This Row],[CurrentStock]]&gt;Table1[[#This Row],[ReorderLevel]]*3,"Over Stock","Okay")</f>
        <v>Okay</v>
      </c>
      <c r="O1144" t="str">
        <f>IF(Table1[[#This Row],[CurrentStock]]&lt;Table1[[#This Row],[ReorderLevel]],"Reorder","Okay")</f>
        <v>Okay</v>
      </c>
    </row>
    <row r="1145" spans="1:15" x14ac:dyDescent="0.3">
      <c r="A1145">
        <v>97695</v>
      </c>
      <c r="B1145" t="s">
        <v>13</v>
      </c>
      <c r="C1145" t="s">
        <v>29</v>
      </c>
      <c r="D1145">
        <v>272</v>
      </c>
      <c r="E1145">
        <v>20</v>
      </c>
      <c r="F1145">
        <v>306.35000000000002</v>
      </c>
      <c r="G1145" t="s">
        <v>32</v>
      </c>
      <c r="H1145" s="1">
        <v>45556</v>
      </c>
      <c r="I1145" s="1">
        <v>45567</v>
      </c>
      <c r="J1145" t="s">
        <v>38</v>
      </c>
      <c r="K1145" t="b">
        <f>Table1[[#This Row],[CurrentStock]]&lt;Table1[[#This Row],[ReorderLevel]]</f>
        <v>0</v>
      </c>
      <c r="L1145" s="9">
        <f>Table1[[#This Row],[CurrentStock]]*Table1[[#This Row],[UnitPrice]]</f>
        <v>83327.200000000012</v>
      </c>
      <c r="M1145" t="str">
        <f>IF(Table1[[#This Row],[ReorderLevel]]-Table1[[#This Row],[CurrentStock]]&gt;0,Table1[[#This Row],[ReorderLevel]]-Table1[[#This Row],[CurrentStock]],"")</f>
        <v/>
      </c>
      <c r="N1145" t="str">
        <f>IF(Table1[[#This Row],[CurrentStock]]&gt;Table1[[#This Row],[ReorderLevel]]*3,"Over Stock","Okay")</f>
        <v>Over Stock</v>
      </c>
      <c r="O1145" t="str">
        <f>IF(Table1[[#This Row],[CurrentStock]]&lt;Table1[[#This Row],[ReorderLevel]],"Reorder","Okay")</f>
        <v>Okay</v>
      </c>
    </row>
    <row r="1146" spans="1:15" x14ac:dyDescent="0.3">
      <c r="A1146">
        <v>38555</v>
      </c>
      <c r="B1146" t="s">
        <v>25</v>
      </c>
      <c r="C1146" t="s">
        <v>31</v>
      </c>
      <c r="D1146">
        <v>138</v>
      </c>
      <c r="E1146">
        <v>80</v>
      </c>
      <c r="F1146">
        <v>223.43</v>
      </c>
      <c r="G1146" t="s">
        <v>36</v>
      </c>
      <c r="H1146" s="1">
        <v>45541</v>
      </c>
      <c r="I1146" s="1">
        <v>45558</v>
      </c>
      <c r="J1146" t="s">
        <v>39</v>
      </c>
      <c r="K1146" t="b">
        <f>Table1[[#This Row],[CurrentStock]]&lt;Table1[[#This Row],[ReorderLevel]]</f>
        <v>0</v>
      </c>
      <c r="L1146" s="9">
        <f>Table1[[#This Row],[CurrentStock]]*Table1[[#This Row],[UnitPrice]]</f>
        <v>30833.34</v>
      </c>
      <c r="M1146" t="str">
        <f>IF(Table1[[#This Row],[ReorderLevel]]-Table1[[#This Row],[CurrentStock]]&gt;0,Table1[[#This Row],[ReorderLevel]]-Table1[[#This Row],[CurrentStock]],"")</f>
        <v/>
      </c>
      <c r="N1146" t="str">
        <f>IF(Table1[[#This Row],[CurrentStock]]&gt;Table1[[#This Row],[ReorderLevel]]*3,"Over Stock","Okay")</f>
        <v>Okay</v>
      </c>
      <c r="O1146" t="str">
        <f>IF(Table1[[#This Row],[CurrentStock]]&lt;Table1[[#This Row],[ReorderLevel]],"Reorder","Okay")</f>
        <v>Okay</v>
      </c>
    </row>
    <row r="1147" spans="1:15" x14ac:dyDescent="0.3">
      <c r="A1147">
        <v>90738</v>
      </c>
      <c r="B1147" t="s">
        <v>14</v>
      </c>
      <c r="C1147" t="s">
        <v>27</v>
      </c>
      <c r="D1147">
        <v>163</v>
      </c>
      <c r="E1147">
        <v>50</v>
      </c>
      <c r="F1147">
        <v>51.18</v>
      </c>
      <c r="G1147" t="s">
        <v>36</v>
      </c>
      <c r="H1147" s="1">
        <v>45328</v>
      </c>
      <c r="I1147" s="1">
        <v>45344</v>
      </c>
      <c r="J1147" t="s">
        <v>39</v>
      </c>
      <c r="K1147" t="b">
        <f>Table1[[#This Row],[CurrentStock]]&lt;Table1[[#This Row],[ReorderLevel]]</f>
        <v>0</v>
      </c>
      <c r="L1147" s="9">
        <f>Table1[[#This Row],[CurrentStock]]*Table1[[#This Row],[UnitPrice]]</f>
        <v>8342.34</v>
      </c>
      <c r="M1147" t="str">
        <f>IF(Table1[[#This Row],[ReorderLevel]]-Table1[[#This Row],[CurrentStock]]&gt;0,Table1[[#This Row],[ReorderLevel]]-Table1[[#This Row],[CurrentStock]],"")</f>
        <v/>
      </c>
      <c r="N1147" t="str">
        <f>IF(Table1[[#This Row],[CurrentStock]]&gt;Table1[[#This Row],[ReorderLevel]]*3,"Over Stock","Okay")</f>
        <v>Over Stock</v>
      </c>
      <c r="O1147" t="str">
        <f>IF(Table1[[#This Row],[CurrentStock]]&lt;Table1[[#This Row],[ReorderLevel]],"Reorder","Okay")</f>
        <v>Okay</v>
      </c>
    </row>
    <row r="1148" spans="1:15" x14ac:dyDescent="0.3">
      <c r="A1148">
        <v>56638</v>
      </c>
      <c r="B1148" t="s">
        <v>21</v>
      </c>
      <c r="C1148" t="s">
        <v>31</v>
      </c>
      <c r="D1148">
        <v>296</v>
      </c>
      <c r="E1148">
        <v>80</v>
      </c>
      <c r="F1148">
        <v>395.2</v>
      </c>
      <c r="G1148" t="s">
        <v>36</v>
      </c>
      <c r="H1148" s="1">
        <v>45428</v>
      </c>
      <c r="I1148" s="1">
        <v>45454</v>
      </c>
      <c r="J1148" t="s">
        <v>37</v>
      </c>
      <c r="K1148" t="b">
        <f>Table1[[#This Row],[CurrentStock]]&lt;Table1[[#This Row],[ReorderLevel]]</f>
        <v>0</v>
      </c>
      <c r="L1148" s="9">
        <f>Table1[[#This Row],[CurrentStock]]*Table1[[#This Row],[UnitPrice]]</f>
        <v>116979.2</v>
      </c>
      <c r="M1148" t="str">
        <f>IF(Table1[[#This Row],[ReorderLevel]]-Table1[[#This Row],[CurrentStock]]&gt;0,Table1[[#This Row],[ReorderLevel]]-Table1[[#This Row],[CurrentStock]],"")</f>
        <v/>
      </c>
      <c r="N1148" t="str">
        <f>IF(Table1[[#This Row],[CurrentStock]]&gt;Table1[[#This Row],[ReorderLevel]]*3,"Over Stock","Okay")</f>
        <v>Over Stock</v>
      </c>
      <c r="O1148" t="str">
        <f>IF(Table1[[#This Row],[CurrentStock]]&lt;Table1[[#This Row],[ReorderLevel]],"Reorder","Okay")</f>
        <v>Okay</v>
      </c>
    </row>
    <row r="1149" spans="1:15" x14ac:dyDescent="0.3">
      <c r="A1149">
        <v>34918</v>
      </c>
      <c r="B1149" t="s">
        <v>14</v>
      </c>
      <c r="C1149" t="s">
        <v>27</v>
      </c>
      <c r="D1149">
        <v>293</v>
      </c>
      <c r="E1149">
        <v>40</v>
      </c>
      <c r="F1149">
        <v>172.19</v>
      </c>
      <c r="G1149" t="s">
        <v>33</v>
      </c>
      <c r="H1149" s="1">
        <v>45406</v>
      </c>
      <c r="I1149" s="1">
        <v>45413</v>
      </c>
      <c r="J1149" t="s">
        <v>38</v>
      </c>
      <c r="K1149" t="b">
        <f>Table1[[#This Row],[CurrentStock]]&lt;Table1[[#This Row],[ReorderLevel]]</f>
        <v>0</v>
      </c>
      <c r="L1149" s="9">
        <f>Table1[[#This Row],[CurrentStock]]*Table1[[#This Row],[UnitPrice]]</f>
        <v>50451.67</v>
      </c>
      <c r="M1149" t="str">
        <f>IF(Table1[[#This Row],[ReorderLevel]]-Table1[[#This Row],[CurrentStock]]&gt;0,Table1[[#This Row],[ReorderLevel]]-Table1[[#This Row],[CurrentStock]],"")</f>
        <v/>
      </c>
      <c r="N1149" t="str">
        <f>IF(Table1[[#This Row],[CurrentStock]]&gt;Table1[[#This Row],[ReorderLevel]]*3,"Over Stock","Okay")</f>
        <v>Over Stock</v>
      </c>
      <c r="O1149" t="str">
        <f>IF(Table1[[#This Row],[CurrentStock]]&lt;Table1[[#This Row],[ReorderLevel]],"Reorder","Okay")</f>
        <v>Okay</v>
      </c>
    </row>
    <row r="1150" spans="1:15" x14ac:dyDescent="0.3">
      <c r="A1150">
        <v>38546</v>
      </c>
      <c r="B1150" t="s">
        <v>21</v>
      </c>
      <c r="C1150" t="s">
        <v>31</v>
      </c>
      <c r="D1150">
        <v>140</v>
      </c>
      <c r="E1150">
        <v>30</v>
      </c>
      <c r="F1150">
        <v>304.52999999999997</v>
      </c>
      <c r="G1150" t="s">
        <v>35</v>
      </c>
      <c r="H1150" s="1">
        <v>45413</v>
      </c>
      <c r="I1150" s="1">
        <v>45440</v>
      </c>
      <c r="J1150" t="s">
        <v>38</v>
      </c>
      <c r="K1150" t="b">
        <f>Table1[[#This Row],[CurrentStock]]&lt;Table1[[#This Row],[ReorderLevel]]</f>
        <v>0</v>
      </c>
      <c r="L1150" s="9">
        <f>Table1[[#This Row],[CurrentStock]]*Table1[[#This Row],[UnitPrice]]</f>
        <v>42634.2</v>
      </c>
      <c r="M1150" t="str">
        <f>IF(Table1[[#This Row],[ReorderLevel]]-Table1[[#This Row],[CurrentStock]]&gt;0,Table1[[#This Row],[ReorderLevel]]-Table1[[#This Row],[CurrentStock]],"")</f>
        <v/>
      </c>
      <c r="N1150" t="str">
        <f>IF(Table1[[#This Row],[CurrentStock]]&gt;Table1[[#This Row],[ReorderLevel]]*3,"Over Stock","Okay")</f>
        <v>Over Stock</v>
      </c>
      <c r="O1150" t="str">
        <f>IF(Table1[[#This Row],[CurrentStock]]&lt;Table1[[#This Row],[ReorderLevel]],"Reorder","Okay")</f>
        <v>Okay</v>
      </c>
    </row>
    <row r="1151" spans="1:15" x14ac:dyDescent="0.3">
      <c r="A1151">
        <v>38013</v>
      </c>
      <c r="B1151" t="s">
        <v>25</v>
      </c>
      <c r="C1151" t="s">
        <v>31</v>
      </c>
      <c r="D1151">
        <v>346</v>
      </c>
      <c r="E1151">
        <v>50</v>
      </c>
      <c r="F1151">
        <v>69.81</v>
      </c>
      <c r="G1151" t="s">
        <v>36</v>
      </c>
      <c r="H1151" s="1">
        <v>45571</v>
      </c>
      <c r="I1151" s="1">
        <v>45583</v>
      </c>
      <c r="J1151" t="s">
        <v>39</v>
      </c>
      <c r="K1151" t="b">
        <f>Table1[[#This Row],[CurrentStock]]&lt;Table1[[#This Row],[ReorderLevel]]</f>
        <v>0</v>
      </c>
      <c r="L1151" s="9">
        <f>Table1[[#This Row],[CurrentStock]]*Table1[[#This Row],[UnitPrice]]</f>
        <v>24154.260000000002</v>
      </c>
      <c r="M1151" t="str">
        <f>IF(Table1[[#This Row],[ReorderLevel]]-Table1[[#This Row],[CurrentStock]]&gt;0,Table1[[#This Row],[ReorderLevel]]-Table1[[#This Row],[CurrentStock]],"")</f>
        <v/>
      </c>
      <c r="N1151" t="str">
        <f>IF(Table1[[#This Row],[CurrentStock]]&gt;Table1[[#This Row],[ReorderLevel]]*3,"Over Stock","Okay")</f>
        <v>Over Stock</v>
      </c>
      <c r="O1151" t="str">
        <f>IF(Table1[[#This Row],[CurrentStock]]&lt;Table1[[#This Row],[ReorderLevel]],"Reorder","Okay")</f>
        <v>Okay</v>
      </c>
    </row>
    <row r="1152" spans="1:15" x14ac:dyDescent="0.3">
      <c r="A1152">
        <v>74068</v>
      </c>
      <c r="B1152" t="s">
        <v>16</v>
      </c>
      <c r="C1152" t="s">
        <v>30</v>
      </c>
      <c r="D1152">
        <v>436</v>
      </c>
      <c r="E1152">
        <v>50</v>
      </c>
      <c r="F1152">
        <v>281.52</v>
      </c>
      <c r="G1152" t="s">
        <v>36</v>
      </c>
      <c r="H1152" s="1">
        <v>45331</v>
      </c>
      <c r="I1152" s="1">
        <v>45341</v>
      </c>
      <c r="J1152" t="s">
        <v>37</v>
      </c>
      <c r="K1152" t="b">
        <f>Table1[[#This Row],[CurrentStock]]&lt;Table1[[#This Row],[ReorderLevel]]</f>
        <v>0</v>
      </c>
      <c r="L1152" s="9">
        <f>Table1[[#This Row],[CurrentStock]]*Table1[[#This Row],[UnitPrice]]</f>
        <v>122742.71999999999</v>
      </c>
      <c r="M1152" t="str">
        <f>IF(Table1[[#This Row],[ReorderLevel]]-Table1[[#This Row],[CurrentStock]]&gt;0,Table1[[#This Row],[ReorderLevel]]-Table1[[#This Row],[CurrentStock]],"")</f>
        <v/>
      </c>
      <c r="N1152" t="str">
        <f>IF(Table1[[#This Row],[CurrentStock]]&gt;Table1[[#This Row],[ReorderLevel]]*3,"Over Stock","Okay")</f>
        <v>Over Stock</v>
      </c>
      <c r="O1152" t="str">
        <f>IF(Table1[[#This Row],[CurrentStock]]&lt;Table1[[#This Row],[ReorderLevel]],"Reorder","Okay")</f>
        <v>Okay</v>
      </c>
    </row>
    <row r="1153" spans="1:15" x14ac:dyDescent="0.3">
      <c r="A1153">
        <v>40776</v>
      </c>
      <c r="B1153" t="s">
        <v>21</v>
      </c>
      <c r="C1153" t="s">
        <v>31</v>
      </c>
      <c r="D1153">
        <v>188</v>
      </c>
      <c r="E1153">
        <v>150</v>
      </c>
      <c r="F1153">
        <v>145.87</v>
      </c>
      <c r="G1153" t="s">
        <v>33</v>
      </c>
      <c r="H1153" s="1">
        <v>45308</v>
      </c>
      <c r="I1153" s="1">
        <v>45333</v>
      </c>
      <c r="J1153" t="s">
        <v>38</v>
      </c>
      <c r="K1153" t="b">
        <f>Table1[[#This Row],[CurrentStock]]&lt;Table1[[#This Row],[ReorderLevel]]</f>
        <v>0</v>
      </c>
      <c r="L1153" s="9">
        <f>Table1[[#This Row],[CurrentStock]]*Table1[[#This Row],[UnitPrice]]</f>
        <v>27423.56</v>
      </c>
      <c r="M1153" t="str">
        <f>IF(Table1[[#This Row],[ReorderLevel]]-Table1[[#This Row],[CurrentStock]]&gt;0,Table1[[#This Row],[ReorderLevel]]-Table1[[#This Row],[CurrentStock]],"")</f>
        <v/>
      </c>
      <c r="N1153" t="str">
        <f>IF(Table1[[#This Row],[CurrentStock]]&gt;Table1[[#This Row],[ReorderLevel]]*3,"Over Stock","Okay")</f>
        <v>Okay</v>
      </c>
      <c r="O1153" t="str">
        <f>IF(Table1[[#This Row],[CurrentStock]]&lt;Table1[[#This Row],[ReorderLevel]],"Reorder","Okay")</f>
        <v>Okay</v>
      </c>
    </row>
    <row r="1154" spans="1:15" x14ac:dyDescent="0.3">
      <c r="A1154">
        <v>92027</v>
      </c>
      <c r="B1154" t="s">
        <v>10</v>
      </c>
      <c r="C1154" t="s">
        <v>27</v>
      </c>
      <c r="D1154">
        <v>218</v>
      </c>
      <c r="E1154">
        <v>150</v>
      </c>
      <c r="F1154">
        <v>11.15</v>
      </c>
      <c r="G1154" t="s">
        <v>33</v>
      </c>
      <c r="H1154" s="1">
        <v>45322</v>
      </c>
      <c r="I1154" s="1">
        <v>45332</v>
      </c>
      <c r="J1154" t="s">
        <v>37</v>
      </c>
      <c r="K1154" t="b">
        <f>Table1[[#This Row],[CurrentStock]]&lt;Table1[[#This Row],[ReorderLevel]]</f>
        <v>0</v>
      </c>
      <c r="L1154" s="9">
        <f>Table1[[#This Row],[CurrentStock]]*Table1[[#This Row],[UnitPrice]]</f>
        <v>2430.7000000000003</v>
      </c>
      <c r="M1154" t="str">
        <f>IF(Table1[[#This Row],[ReorderLevel]]-Table1[[#This Row],[CurrentStock]]&gt;0,Table1[[#This Row],[ReorderLevel]]-Table1[[#This Row],[CurrentStock]],"")</f>
        <v/>
      </c>
      <c r="N1154" t="str">
        <f>IF(Table1[[#This Row],[CurrentStock]]&gt;Table1[[#This Row],[ReorderLevel]]*3,"Over Stock","Okay")</f>
        <v>Okay</v>
      </c>
      <c r="O1154" t="str">
        <f>IF(Table1[[#This Row],[CurrentStock]]&lt;Table1[[#This Row],[ReorderLevel]],"Reorder","Okay")</f>
        <v>Okay</v>
      </c>
    </row>
    <row r="1155" spans="1:15" x14ac:dyDescent="0.3">
      <c r="A1155">
        <v>45050</v>
      </c>
      <c r="B1155" t="s">
        <v>20</v>
      </c>
      <c r="C1155" t="s">
        <v>29</v>
      </c>
      <c r="D1155">
        <v>73</v>
      </c>
      <c r="E1155">
        <v>20</v>
      </c>
      <c r="F1155">
        <v>102.67</v>
      </c>
      <c r="G1155" t="s">
        <v>35</v>
      </c>
      <c r="H1155" s="1">
        <v>45617</v>
      </c>
      <c r="I1155" s="1">
        <v>45640</v>
      </c>
      <c r="J1155" t="s">
        <v>37</v>
      </c>
      <c r="K1155" t="b">
        <f>Table1[[#This Row],[CurrentStock]]&lt;Table1[[#This Row],[ReorderLevel]]</f>
        <v>0</v>
      </c>
      <c r="L1155" s="9">
        <f>Table1[[#This Row],[CurrentStock]]*Table1[[#This Row],[UnitPrice]]</f>
        <v>7494.91</v>
      </c>
      <c r="M1155" t="str">
        <f>IF(Table1[[#This Row],[ReorderLevel]]-Table1[[#This Row],[CurrentStock]]&gt;0,Table1[[#This Row],[ReorderLevel]]-Table1[[#This Row],[CurrentStock]],"")</f>
        <v/>
      </c>
      <c r="N1155" t="str">
        <f>IF(Table1[[#This Row],[CurrentStock]]&gt;Table1[[#This Row],[ReorderLevel]]*3,"Over Stock","Okay")</f>
        <v>Over Stock</v>
      </c>
      <c r="O1155" t="str">
        <f>IF(Table1[[#This Row],[CurrentStock]]&lt;Table1[[#This Row],[ReorderLevel]],"Reorder","Okay")</f>
        <v>Okay</v>
      </c>
    </row>
    <row r="1156" spans="1:15" x14ac:dyDescent="0.3">
      <c r="A1156">
        <v>72863</v>
      </c>
      <c r="B1156" t="s">
        <v>23</v>
      </c>
      <c r="C1156" t="s">
        <v>30</v>
      </c>
      <c r="D1156">
        <v>58</v>
      </c>
      <c r="E1156">
        <v>20</v>
      </c>
      <c r="F1156">
        <v>499.86</v>
      </c>
      <c r="G1156" t="s">
        <v>34</v>
      </c>
      <c r="H1156" s="1">
        <v>45315</v>
      </c>
      <c r="I1156" s="1">
        <v>45344</v>
      </c>
      <c r="J1156" t="s">
        <v>39</v>
      </c>
      <c r="K1156" t="b">
        <f>Table1[[#This Row],[CurrentStock]]&lt;Table1[[#This Row],[ReorderLevel]]</f>
        <v>0</v>
      </c>
      <c r="L1156" s="9">
        <f>Table1[[#This Row],[CurrentStock]]*Table1[[#This Row],[UnitPrice]]</f>
        <v>28991.88</v>
      </c>
      <c r="M1156" t="str">
        <f>IF(Table1[[#This Row],[ReorderLevel]]-Table1[[#This Row],[CurrentStock]]&gt;0,Table1[[#This Row],[ReorderLevel]]-Table1[[#This Row],[CurrentStock]],"")</f>
        <v/>
      </c>
      <c r="N1156" t="str">
        <f>IF(Table1[[#This Row],[CurrentStock]]&gt;Table1[[#This Row],[ReorderLevel]]*3,"Over Stock","Okay")</f>
        <v>Okay</v>
      </c>
      <c r="O1156" t="str">
        <f>IF(Table1[[#This Row],[CurrentStock]]&lt;Table1[[#This Row],[ReorderLevel]],"Reorder","Okay")</f>
        <v>Okay</v>
      </c>
    </row>
    <row r="1157" spans="1:15" x14ac:dyDescent="0.3">
      <c r="A1157">
        <v>51542</v>
      </c>
      <c r="B1157" t="s">
        <v>26</v>
      </c>
      <c r="C1157" t="s">
        <v>30</v>
      </c>
      <c r="D1157">
        <v>387</v>
      </c>
      <c r="E1157">
        <v>30</v>
      </c>
      <c r="F1157">
        <v>327.14999999999998</v>
      </c>
      <c r="G1157" t="s">
        <v>32</v>
      </c>
      <c r="H1157" s="1">
        <v>45639</v>
      </c>
      <c r="I1157" s="1">
        <v>45660</v>
      </c>
      <c r="J1157" t="s">
        <v>37</v>
      </c>
      <c r="K1157" t="b">
        <f>Table1[[#This Row],[CurrentStock]]&lt;Table1[[#This Row],[ReorderLevel]]</f>
        <v>0</v>
      </c>
      <c r="L1157" s="9">
        <f>Table1[[#This Row],[CurrentStock]]*Table1[[#This Row],[UnitPrice]]</f>
        <v>126607.04999999999</v>
      </c>
      <c r="M1157" t="str">
        <f>IF(Table1[[#This Row],[ReorderLevel]]-Table1[[#This Row],[CurrentStock]]&gt;0,Table1[[#This Row],[ReorderLevel]]-Table1[[#This Row],[CurrentStock]],"")</f>
        <v/>
      </c>
      <c r="N1157" t="str">
        <f>IF(Table1[[#This Row],[CurrentStock]]&gt;Table1[[#This Row],[ReorderLevel]]*3,"Over Stock","Okay")</f>
        <v>Over Stock</v>
      </c>
      <c r="O1157" t="str">
        <f>IF(Table1[[#This Row],[CurrentStock]]&lt;Table1[[#This Row],[ReorderLevel]],"Reorder","Okay")</f>
        <v>Okay</v>
      </c>
    </row>
    <row r="1158" spans="1:15" x14ac:dyDescent="0.3">
      <c r="A1158">
        <v>71993</v>
      </c>
      <c r="B1158" t="s">
        <v>17</v>
      </c>
      <c r="C1158" t="s">
        <v>30</v>
      </c>
      <c r="D1158">
        <v>478</v>
      </c>
      <c r="E1158">
        <v>100</v>
      </c>
      <c r="F1158">
        <v>305.82</v>
      </c>
      <c r="G1158" t="s">
        <v>32</v>
      </c>
      <c r="H1158" s="1">
        <v>45390</v>
      </c>
      <c r="I1158" s="1">
        <v>45424</v>
      </c>
      <c r="J1158" t="s">
        <v>38</v>
      </c>
      <c r="K1158" t="b">
        <f>Table1[[#This Row],[CurrentStock]]&lt;Table1[[#This Row],[ReorderLevel]]</f>
        <v>0</v>
      </c>
      <c r="L1158" s="9">
        <f>Table1[[#This Row],[CurrentStock]]*Table1[[#This Row],[UnitPrice]]</f>
        <v>146181.96</v>
      </c>
      <c r="M1158" t="str">
        <f>IF(Table1[[#This Row],[ReorderLevel]]-Table1[[#This Row],[CurrentStock]]&gt;0,Table1[[#This Row],[ReorderLevel]]-Table1[[#This Row],[CurrentStock]],"")</f>
        <v/>
      </c>
      <c r="N1158" t="str">
        <f>IF(Table1[[#This Row],[CurrentStock]]&gt;Table1[[#This Row],[ReorderLevel]]*3,"Over Stock","Okay")</f>
        <v>Over Stock</v>
      </c>
      <c r="O1158" t="str">
        <f>IF(Table1[[#This Row],[CurrentStock]]&lt;Table1[[#This Row],[ReorderLevel]],"Reorder","Okay")</f>
        <v>Okay</v>
      </c>
    </row>
    <row r="1159" spans="1:15" x14ac:dyDescent="0.3">
      <c r="A1159">
        <v>24706</v>
      </c>
      <c r="B1159" t="s">
        <v>13</v>
      </c>
      <c r="C1159" t="s">
        <v>29</v>
      </c>
      <c r="D1159">
        <v>71</v>
      </c>
      <c r="E1159">
        <v>40</v>
      </c>
      <c r="F1159">
        <v>259.89</v>
      </c>
      <c r="G1159" t="s">
        <v>34</v>
      </c>
      <c r="H1159" s="1">
        <v>45336</v>
      </c>
      <c r="I1159" s="1">
        <v>45364</v>
      </c>
      <c r="J1159" t="s">
        <v>37</v>
      </c>
      <c r="K1159" t="b">
        <f>Table1[[#This Row],[CurrentStock]]&lt;Table1[[#This Row],[ReorderLevel]]</f>
        <v>0</v>
      </c>
      <c r="L1159" s="9">
        <f>Table1[[#This Row],[CurrentStock]]*Table1[[#This Row],[UnitPrice]]</f>
        <v>18452.189999999999</v>
      </c>
      <c r="M1159" t="str">
        <f>IF(Table1[[#This Row],[ReorderLevel]]-Table1[[#This Row],[CurrentStock]]&gt;0,Table1[[#This Row],[ReorderLevel]]-Table1[[#This Row],[CurrentStock]],"")</f>
        <v/>
      </c>
      <c r="N1159" t="str">
        <f>IF(Table1[[#This Row],[CurrentStock]]&gt;Table1[[#This Row],[ReorderLevel]]*3,"Over Stock","Okay")</f>
        <v>Okay</v>
      </c>
      <c r="O1159" t="str">
        <f>IF(Table1[[#This Row],[CurrentStock]]&lt;Table1[[#This Row],[ReorderLevel]],"Reorder","Okay")</f>
        <v>Okay</v>
      </c>
    </row>
    <row r="1160" spans="1:15" x14ac:dyDescent="0.3">
      <c r="A1160">
        <v>62076</v>
      </c>
      <c r="B1160" t="s">
        <v>14</v>
      </c>
      <c r="C1160" t="s">
        <v>27</v>
      </c>
      <c r="D1160">
        <v>171</v>
      </c>
      <c r="E1160">
        <v>50</v>
      </c>
      <c r="F1160">
        <v>169.95</v>
      </c>
      <c r="G1160" t="s">
        <v>32</v>
      </c>
      <c r="H1160" s="1">
        <v>45572</v>
      </c>
      <c r="I1160" s="1">
        <v>45583</v>
      </c>
      <c r="J1160" t="s">
        <v>38</v>
      </c>
      <c r="K1160" t="b">
        <f>Table1[[#This Row],[CurrentStock]]&lt;Table1[[#This Row],[ReorderLevel]]</f>
        <v>0</v>
      </c>
      <c r="L1160" s="9">
        <f>Table1[[#This Row],[CurrentStock]]*Table1[[#This Row],[UnitPrice]]</f>
        <v>29061.449999999997</v>
      </c>
      <c r="M1160" t="str">
        <f>IF(Table1[[#This Row],[ReorderLevel]]-Table1[[#This Row],[CurrentStock]]&gt;0,Table1[[#This Row],[ReorderLevel]]-Table1[[#This Row],[CurrentStock]],"")</f>
        <v/>
      </c>
      <c r="N1160" t="str">
        <f>IF(Table1[[#This Row],[CurrentStock]]&gt;Table1[[#This Row],[ReorderLevel]]*3,"Over Stock","Okay")</f>
        <v>Over Stock</v>
      </c>
      <c r="O1160" t="str">
        <f>IF(Table1[[#This Row],[CurrentStock]]&lt;Table1[[#This Row],[ReorderLevel]],"Reorder","Okay")</f>
        <v>Okay</v>
      </c>
    </row>
    <row r="1161" spans="1:15" x14ac:dyDescent="0.3">
      <c r="A1161">
        <v>33447</v>
      </c>
      <c r="B1161" t="s">
        <v>22</v>
      </c>
      <c r="C1161" t="s">
        <v>27</v>
      </c>
      <c r="D1161">
        <v>264</v>
      </c>
      <c r="E1161">
        <v>40</v>
      </c>
      <c r="F1161">
        <v>290.94</v>
      </c>
      <c r="G1161" t="s">
        <v>36</v>
      </c>
      <c r="H1161" s="1">
        <v>45459</v>
      </c>
      <c r="I1161" s="1">
        <v>45492</v>
      </c>
      <c r="J1161" t="s">
        <v>37</v>
      </c>
      <c r="K1161" t="b">
        <f>Table1[[#This Row],[CurrentStock]]&lt;Table1[[#This Row],[ReorderLevel]]</f>
        <v>0</v>
      </c>
      <c r="L1161" s="9">
        <f>Table1[[#This Row],[CurrentStock]]*Table1[[#This Row],[UnitPrice]]</f>
        <v>76808.160000000003</v>
      </c>
      <c r="M1161" t="str">
        <f>IF(Table1[[#This Row],[ReorderLevel]]-Table1[[#This Row],[CurrentStock]]&gt;0,Table1[[#This Row],[ReorderLevel]]-Table1[[#This Row],[CurrentStock]],"")</f>
        <v/>
      </c>
      <c r="N1161" t="str">
        <f>IF(Table1[[#This Row],[CurrentStock]]&gt;Table1[[#This Row],[ReorderLevel]]*3,"Over Stock","Okay")</f>
        <v>Over Stock</v>
      </c>
      <c r="O1161" t="str">
        <f>IF(Table1[[#This Row],[CurrentStock]]&lt;Table1[[#This Row],[ReorderLevel]],"Reorder","Okay")</f>
        <v>Okay</v>
      </c>
    </row>
    <row r="1162" spans="1:15" x14ac:dyDescent="0.3">
      <c r="A1162">
        <v>50581</v>
      </c>
      <c r="B1162" t="s">
        <v>25</v>
      </c>
      <c r="C1162" t="s">
        <v>31</v>
      </c>
      <c r="D1162">
        <v>44</v>
      </c>
      <c r="E1162">
        <v>80</v>
      </c>
      <c r="F1162">
        <v>271.5</v>
      </c>
      <c r="G1162" t="s">
        <v>36</v>
      </c>
      <c r="H1162" s="1">
        <v>45522</v>
      </c>
      <c r="I1162" s="1">
        <v>45555</v>
      </c>
      <c r="J1162" t="s">
        <v>37</v>
      </c>
      <c r="K1162" t="b">
        <f>Table1[[#This Row],[CurrentStock]]&lt;Table1[[#This Row],[ReorderLevel]]</f>
        <v>1</v>
      </c>
      <c r="L1162" s="9">
        <f>Table1[[#This Row],[CurrentStock]]*Table1[[#This Row],[UnitPrice]]</f>
        <v>11946</v>
      </c>
      <c r="M1162">
        <f>IF(Table1[[#This Row],[ReorderLevel]]-Table1[[#This Row],[CurrentStock]]&gt;0,Table1[[#This Row],[ReorderLevel]]-Table1[[#This Row],[CurrentStock]],"")</f>
        <v>36</v>
      </c>
      <c r="N1162" t="str">
        <f>IF(Table1[[#This Row],[CurrentStock]]&gt;Table1[[#This Row],[ReorderLevel]]*3,"Over Stock","Okay")</f>
        <v>Okay</v>
      </c>
      <c r="O1162" t="str">
        <f>IF(Table1[[#This Row],[CurrentStock]]&lt;Table1[[#This Row],[ReorderLevel]],"Reorder","Okay")</f>
        <v>Reorder</v>
      </c>
    </row>
    <row r="1163" spans="1:15" x14ac:dyDescent="0.3">
      <c r="A1163">
        <v>27110</v>
      </c>
      <c r="B1163" t="s">
        <v>25</v>
      </c>
      <c r="C1163" t="s">
        <v>31</v>
      </c>
      <c r="D1163">
        <v>491</v>
      </c>
      <c r="E1163">
        <v>100</v>
      </c>
      <c r="F1163">
        <v>264.02999999999997</v>
      </c>
      <c r="G1163" t="s">
        <v>32</v>
      </c>
      <c r="H1163" s="1">
        <v>45487</v>
      </c>
      <c r="I1163" s="1">
        <v>45526</v>
      </c>
      <c r="J1163" t="s">
        <v>39</v>
      </c>
      <c r="K1163" t="b">
        <f>Table1[[#This Row],[CurrentStock]]&lt;Table1[[#This Row],[ReorderLevel]]</f>
        <v>0</v>
      </c>
      <c r="L1163" s="9">
        <f>Table1[[#This Row],[CurrentStock]]*Table1[[#This Row],[UnitPrice]]</f>
        <v>129638.72999999998</v>
      </c>
      <c r="M1163" t="str">
        <f>IF(Table1[[#This Row],[ReorderLevel]]-Table1[[#This Row],[CurrentStock]]&gt;0,Table1[[#This Row],[ReorderLevel]]-Table1[[#This Row],[CurrentStock]],"")</f>
        <v/>
      </c>
      <c r="N1163" t="str">
        <f>IF(Table1[[#This Row],[CurrentStock]]&gt;Table1[[#This Row],[ReorderLevel]]*3,"Over Stock","Okay")</f>
        <v>Over Stock</v>
      </c>
      <c r="O1163" t="str">
        <f>IF(Table1[[#This Row],[CurrentStock]]&lt;Table1[[#This Row],[ReorderLevel]],"Reorder","Okay")</f>
        <v>Okay</v>
      </c>
    </row>
    <row r="1164" spans="1:15" x14ac:dyDescent="0.3">
      <c r="A1164">
        <v>99796</v>
      </c>
      <c r="B1164" t="s">
        <v>22</v>
      </c>
      <c r="C1164" t="s">
        <v>27</v>
      </c>
      <c r="D1164">
        <v>251</v>
      </c>
      <c r="E1164">
        <v>40</v>
      </c>
      <c r="F1164">
        <v>381.55</v>
      </c>
      <c r="G1164" t="s">
        <v>34</v>
      </c>
      <c r="H1164" s="1">
        <v>45422</v>
      </c>
      <c r="I1164" s="1">
        <v>45458</v>
      </c>
      <c r="J1164" t="s">
        <v>39</v>
      </c>
      <c r="K1164" t="b">
        <f>Table1[[#This Row],[CurrentStock]]&lt;Table1[[#This Row],[ReorderLevel]]</f>
        <v>0</v>
      </c>
      <c r="L1164" s="9">
        <f>Table1[[#This Row],[CurrentStock]]*Table1[[#This Row],[UnitPrice]]</f>
        <v>95769.05</v>
      </c>
      <c r="M1164" t="str">
        <f>IF(Table1[[#This Row],[ReorderLevel]]-Table1[[#This Row],[CurrentStock]]&gt;0,Table1[[#This Row],[ReorderLevel]]-Table1[[#This Row],[CurrentStock]],"")</f>
        <v/>
      </c>
      <c r="N1164" t="str">
        <f>IF(Table1[[#This Row],[CurrentStock]]&gt;Table1[[#This Row],[ReorderLevel]]*3,"Over Stock","Okay")</f>
        <v>Over Stock</v>
      </c>
      <c r="O1164" t="str">
        <f>IF(Table1[[#This Row],[CurrentStock]]&lt;Table1[[#This Row],[ReorderLevel]],"Reorder","Okay")</f>
        <v>Okay</v>
      </c>
    </row>
    <row r="1165" spans="1:15" x14ac:dyDescent="0.3">
      <c r="A1165">
        <v>45999</v>
      </c>
      <c r="B1165" t="s">
        <v>11</v>
      </c>
      <c r="C1165" t="s">
        <v>27</v>
      </c>
      <c r="D1165">
        <v>25</v>
      </c>
      <c r="E1165">
        <v>150</v>
      </c>
      <c r="F1165">
        <v>212.45</v>
      </c>
      <c r="G1165" t="s">
        <v>35</v>
      </c>
      <c r="H1165" s="1">
        <v>45477</v>
      </c>
      <c r="I1165" s="1">
        <v>45486</v>
      </c>
      <c r="J1165" t="s">
        <v>37</v>
      </c>
      <c r="K1165" t="b">
        <f>Table1[[#This Row],[CurrentStock]]&lt;Table1[[#This Row],[ReorderLevel]]</f>
        <v>1</v>
      </c>
      <c r="L1165" s="9">
        <f>Table1[[#This Row],[CurrentStock]]*Table1[[#This Row],[UnitPrice]]</f>
        <v>5311.25</v>
      </c>
      <c r="M1165">
        <f>IF(Table1[[#This Row],[ReorderLevel]]-Table1[[#This Row],[CurrentStock]]&gt;0,Table1[[#This Row],[ReorderLevel]]-Table1[[#This Row],[CurrentStock]],"")</f>
        <v>125</v>
      </c>
      <c r="N1165" t="str">
        <f>IF(Table1[[#This Row],[CurrentStock]]&gt;Table1[[#This Row],[ReorderLevel]]*3,"Over Stock","Okay")</f>
        <v>Okay</v>
      </c>
      <c r="O1165" t="str">
        <f>IF(Table1[[#This Row],[CurrentStock]]&lt;Table1[[#This Row],[ReorderLevel]],"Reorder","Okay")</f>
        <v>Reorder</v>
      </c>
    </row>
    <row r="1166" spans="1:15" x14ac:dyDescent="0.3">
      <c r="A1166">
        <v>21244</v>
      </c>
      <c r="B1166" t="s">
        <v>20</v>
      </c>
      <c r="C1166" t="s">
        <v>29</v>
      </c>
      <c r="D1166">
        <v>7</v>
      </c>
      <c r="E1166">
        <v>20</v>
      </c>
      <c r="F1166">
        <v>431.9</v>
      </c>
      <c r="G1166" t="s">
        <v>32</v>
      </c>
      <c r="H1166" s="1">
        <v>45319</v>
      </c>
      <c r="I1166" s="1">
        <v>45337</v>
      </c>
      <c r="J1166" t="s">
        <v>38</v>
      </c>
      <c r="K1166" t="b">
        <f>Table1[[#This Row],[CurrentStock]]&lt;Table1[[#This Row],[ReorderLevel]]</f>
        <v>1</v>
      </c>
      <c r="L1166" s="9">
        <f>Table1[[#This Row],[CurrentStock]]*Table1[[#This Row],[UnitPrice]]</f>
        <v>3023.2999999999997</v>
      </c>
      <c r="M1166">
        <f>IF(Table1[[#This Row],[ReorderLevel]]-Table1[[#This Row],[CurrentStock]]&gt;0,Table1[[#This Row],[ReorderLevel]]-Table1[[#This Row],[CurrentStock]],"")</f>
        <v>13</v>
      </c>
      <c r="N1166" t="str">
        <f>IF(Table1[[#This Row],[CurrentStock]]&gt;Table1[[#This Row],[ReorderLevel]]*3,"Over Stock","Okay")</f>
        <v>Okay</v>
      </c>
      <c r="O1166" t="str">
        <f>IF(Table1[[#This Row],[CurrentStock]]&lt;Table1[[#This Row],[ReorderLevel]],"Reorder","Okay")</f>
        <v>Reorder</v>
      </c>
    </row>
    <row r="1167" spans="1:15" x14ac:dyDescent="0.3">
      <c r="A1167">
        <v>88616</v>
      </c>
      <c r="B1167" t="s">
        <v>13</v>
      </c>
      <c r="C1167" t="s">
        <v>29</v>
      </c>
      <c r="D1167">
        <v>206</v>
      </c>
      <c r="E1167">
        <v>100</v>
      </c>
      <c r="F1167">
        <v>374.92</v>
      </c>
      <c r="G1167" t="s">
        <v>33</v>
      </c>
      <c r="H1167" s="1">
        <v>45336</v>
      </c>
      <c r="I1167" s="1">
        <v>45368</v>
      </c>
      <c r="J1167" t="s">
        <v>37</v>
      </c>
      <c r="K1167" t="b">
        <f>Table1[[#This Row],[CurrentStock]]&lt;Table1[[#This Row],[ReorderLevel]]</f>
        <v>0</v>
      </c>
      <c r="L1167" s="9">
        <f>Table1[[#This Row],[CurrentStock]]*Table1[[#This Row],[UnitPrice]]</f>
        <v>77233.52</v>
      </c>
      <c r="M1167" t="str">
        <f>IF(Table1[[#This Row],[ReorderLevel]]-Table1[[#This Row],[CurrentStock]]&gt;0,Table1[[#This Row],[ReorderLevel]]-Table1[[#This Row],[CurrentStock]],"")</f>
        <v/>
      </c>
      <c r="N1167" t="str">
        <f>IF(Table1[[#This Row],[CurrentStock]]&gt;Table1[[#This Row],[ReorderLevel]]*3,"Over Stock","Okay")</f>
        <v>Okay</v>
      </c>
      <c r="O1167" t="str">
        <f>IF(Table1[[#This Row],[CurrentStock]]&lt;Table1[[#This Row],[ReorderLevel]],"Reorder","Okay")</f>
        <v>Okay</v>
      </c>
    </row>
    <row r="1168" spans="1:15" x14ac:dyDescent="0.3">
      <c r="A1168">
        <v>84176</v>
      </c>
      <c r="B1168" t="s">
        <v>14</v>
      </c>
      <c r="C1168" t="s">
        <v>27</v>
      </c>
      <c r="D1168">
        <v>224</v>
      </c>
      <c r="E1168">
        <v>100</v>
      </c>
      <c r="F1168">
        <v>492.55</v>
      </c>
      <c r="G1168" t="s">
        <v>33</v>
      </c>
      <c r="H1168" s="1">
        <v>45467</v>
      </c>
      <c r="I1168" s="1">
        <v>45485</v>
      </c>
      <c r="J1168" t="s">
        <v>38</v>
      </c>
      <c r="K1168" t="b">
        <f>Table1[[#This Row],[CurrentStock]]&lt;Table1[[#This Row],[ReorderLevel]]</f>
        <v>0</v>
      </c>
      <c r="L1168" s="9">
        <f>Table1[[#This Row],[CurrentStock]]*Table1[[#This Row],[UnitPrice]]</f>
        <v>110331.2</v>
      </c>
      <c r="M1168" t="str">
        <f>IF(Table1[[#This Row],[ReorderLevel]]-Table1[[#This Row],[CurrentStock]]&gt;0,Table1[[#This Row],[ReorderLevel]]-Table1[[#This Row],[CurrentStock]],"")</f>
        <v/>
      </c>
      <c r="N1168" t="str">
        <f>IF(Table1[[#This Row],[CurrentStock]]&gt;Table1[[#This Row],[ReorderLevel]]*3,"Over Stock","Okay")</f>
        <v>Okay</v>
      </c>
      <c r="O1168" t="str">
        <f>IF(Table1[[#This Row],[CurrentStock]]&lt;Table1[[#This Row],[ReorderLevel]],"Reorder","Okay")</f>
        <v>Okay</v>
      </c>
    </row>
    <row r="1169" spans="1:15" x14ac:dyDescent="0.3">
      <c r="A1169">
        <v>57800</v>
      </c>
      <c r="B1169" t="s">
        <v>19</v>
      </c>
      <c r="C1169" t="s">
        <v>28</v>
      </c>
      <c r="D1169">
        <v>242</v>
      </c>
      <c r="E1169">
        <v>150</v>
      </c>
      <c r="F1169">
        <v>459.42</v>
      </c>
      <c r="G1169" t="s">
        <v>33</v>
      </c>
      <c r="H1169" s="1">
        <v>45347</v>
      </c>
      <c r="I1169" s="1">
        <v>45366</v>
      </c>
      <c r="J1169" t="s">
        <v>38</v>
      </c>
      <c r="K1169" t="b">
        <f>Table1[[#This Row],[CurrentStock]]&lt;Table1[[#This Row],[ReorderLevel]]</f>
        <v>0</v>
      </c>
      <c r="L1169" s="9">
        <f>Table1[[#This Row],[CurrentStock]]*Table1[[#This Row],[UnitPrice]]</f>
        <v>111179.64</v>
      </c>
      <c r="M1169" t="str">
        <f>IF(Table1[[#This Row],[ReorderLevel]]-Table1[[#This Row],[CurrentStock]]&gt;0,Table1[[#This Row],[ReorderLevel]]-Table1[[#This Row],[CurrentStock]],"")</f>
        <v/>
      </c>
      <c r="N1169" t="str">
        <f>IF(Table1[[#This Row],[CurrentStock]]&gt;Table1[[#This Row],[ReorderLevel]]*3,"Over Stock","Okay")</f>
        <v>Okay</v>
      </c>
      <c r="O1169" t="str">
        <f>IF(Table1[[#This Row],[CurrentStock]]&lt;Table1[[#This Row],[ReorderLevel]],"Reorder","Okay")</f>
        <v>Okay</v>
      </c>
    </row>
    <row r="1170" spans="1:15" x14ac:dyDescent="0.3">
      <c r="A1170">
        <v>61444</v>
      </c>
      <c r="B1170" t="s">
        <v>18</v>
      </c>
      <c r="C1170" t="s">
        <v>28</v>
      </c>
      <c r="D1170">
        <v>214</v>
      </c>
      <c r="E1170">
        <v>80</v>
      </c>
      <c r="F1170">
        <v>451.24</v>
      </c>
      <c r="G1170" t="s">
        <v>36</v>
      </c>
      <c r="H1170" s="1">
        <v>45473</v>
      </c>
      <c r="I1170" s="1">
        <v>45491</v>
      </c>
      <c r="J1170" t="s">
        <v>38</v>
      </c>
      <c r="K1170" t="b">
        <f>Table1[[#This Row],[CurrentStock]]&lt;Table1[[#This Row],[ReorderLevel]]</f>
        <v>0</v>
      </c>
      <c r="L1170" s="9">
        <f>Table1[[#This Row],[CurrentStock]]*Table1[[#This Row],[UnitPrice]]</f>
        <v>96565.36</v>
      </c>
      <c r="M1170" t="str">
        <f>IF(Table1[[#This Row],[ReorderLevel]]-Table1[[#This Row],[CurrentStock]]&gt;0,Table1[[#This Row],[ReorderLevel]]-Table1[[#This Row],[CurrentStock]],"")</f>
        <v/>
      </c>
      <c r="N1170" t="str">
        <f>IF(Table1[[#This Row],[CurrentStock]]&gt;Table1[[#This Row],[ReorderLevel]]*3,"Over Stock","Okay")</f>
        <v>Okay</v>
      </c>
      <c r="O1170" t="str">
        <f>IF(Table1[[#This Row],[CurrentStock]]&lt;Table1[[#This Row],[ReorderLevel]],"Reorder","Okay")</f>
        <v>Okay</v>
      </c>
    </row>
    <row r="1171" spans="1:15" x14ac:dyDescent="0.3">
      <c r="A1171">
        <v>40099</v>
      </c>
      <c r="B1171" t="s">
        <v>13</v>
      </c>
      <c r="C1171" t="s">
        <v>29</v>
      </c>
      <c r="D1171">
        <v>335</v>
      </c>
      <c r="E1171">
        <v>40</v>
      </c>
      <c r="F1171">
        <v>12.56</v>
      </c>
      <c r="G1171" t="s">
        <v>36</v>
      </c>
      <c r="H1171" s="1">
        <v>45591</v>
      </c>
      <c r="I1171" s="1">
        <v>45613</v>
      </c>
      <c r="J1171" t="s">
        <v>38</v>
      </c>
      <c r="K1171" t="b">
        <f>Table1[[#This Row],[CurrentStock]]&lt;Table1[[#This Row],[ReorderLevel]]</f>
        <v>0</v>
      </c>
      <c r="L1171" s="9">
        <f>Table1[[#This Row],[CurrentStock]]*Table1[[#This Row],[UnitPrice]]</f>
        <v>4207.6000000000004</v>
      </c>
      <c r="M1171" t="str">
        <f>IF(Table1[[#This Row],[ReorderLevel]]-Table1[[#This Row],[CurrentStock]]&gt;0,Table1[[#This Row],[ReorderLevel]]-Table1[[#This Row],[CurrentStock]],"")</f>
        <v/>
      </c>
      <c r="N1171" t="str">
        <f>IF(Table1[[#This Row],[CurrentStock]]&gt;Table1[[#This Row],[ReorderLevel]]*3,"Over Stock","Okay")</f>
        <v>Over Stock</v>
      </c>
      <c r="O1171" t="str">
        <f>IF(Table1[[#This Row],[CurrentStock]]&lt;Table1[[#This Row],[ReorderLevel]],"Reorder","Okay")</f>
        <v>Okay</v>
      </c>
    </row>
    <row r="1172" spans="1:15" x14ac:dyDescent="0.3">
      <c r="A1172">
        <v>70204</v>
      </c>
      <c r="B1172" t="s">
        <v>23</v>
      </c>
      <c r="C1172" t="s">
        <v>30</v>
      </c>
      <c r="D1172">
        <v>217</v>
      </c>
      <c r="E1172">
        <v>100</v>
      </c>
      <c r="F1172">
        <v>326.8</v>
      </c>
      <c r="G1172" t="s">
        <v>36</v>
      </c>
      <c r="H1172" s="1">
        <v>45594</v>
      </c>
      <c r="I1172" s="1">
        <v>45627</v>
      </c>
      <c r="J1172" t="s">
        <v>37</v>
      </c>
      <c r="K1172" t="b">
        <f>Table1[[#This Row],[CurrentStock]]&lt;Table1[[#This Row],[ReorderLevel]]</f>
        <v>0</v>
      </c>
      <c r="L1172" s="9">
        <f>Table1[[#This Row],[CurrentStock]]*Table1[[#This Row],[UnitPrice]]</f>
        <v>70915.600000000006</v>
      </c>
      <c r="M1172" t="str">
        <f>IF(Table1[[#This Row],[ReorderLevel]]-Table1[[#This Row],[CurrentStock]]&gt;0,Table1[[#This Row],[ReorderLevel]]-Table1[[#This Row],[CurrentStock]],"")</f>
        <v/>
      </c>
      <c r="N1172" t="str">
        <f>IF(Table1[[#This Row],[CurrentStock]]&gt;Table1[[#This Row],[ReorderLevel]]*3,"Over Stock","Okay")</f>
        <v>Okay</v>
      </c>
      <c r="O1172" t="str">
        <f>IF(Table1[[#This Row],[CurrentStock]]&lt;Table1[[#This Row],[ReorderLevel]],"Reorder","Okay")</f>
        <v>Okay</v>
      </c>
    </row>
    <row r="1173" spans="1:15" x14ac:dyDescent="0.3">
      <c r="A1173">
        <v>90249</v>
      </c>
      <c r="B1173" t="s">
        <v>10</v>
      </c>
      <c r="C1173" t="s">
        <v>27</v>
      </c>
      <c r="D1173">
        <v>346</v>
      </c>
      <c r="E1173">
        <v>50</v>
      </c>
      <c r="F1173">
        <v>72.680000000000007</v>
      </c>
      <c r="G1173" t="s">
        <v>34</v>
      </c>
      <c r="H1173" s="1">
        <v>45491</v>
      </c>
      <c r="I1173" s="1">
        <v>45509</v>
      </c>
      <c r="J1173" t="s">
        <v>37</v>
      </c>
      <c r="K1173" t="b">
        <f>Table1[[#This Row],[CurrentStock]]&lt;Table1[[#This Row],[ReorderLevel]]</f>
        <v>0</v>
      </c>
      <c r="L1173" s="9">
        <f>Table1[[#This Row],[CurrentStock]]*Table1[[#This Row],[UnitPrice]]</f>
        <v>25147.280000000002</v>
      </c>
      <c r="M1173" t="str">
        <f>IF(Table1[[#This Row],[ReorderLevel]]-Table1[[#This Row],[CurrentStock]]&gt;0,Table1[[#This Row],[ReorderLevel]]-Table1[[#This Row],[CurrentStock]],"")</f>
        <v/>
      </c>
      <c r="N1173" t="str">
        <f>IF(Table1[[#This Row],[CurrentStock]]&gt;Table1[[#This Row],[ReorderLevel]]*3,"Over Stock","Okay")</f>
        <v>Over Stock</v>
      </c>
      <c r="O1173" t="str">
        <f>IF(Table1[[#This Row],[CurrentStock]]&lt;Table1[[#This Row],[ReorderLevel]],"Reorder","Okay")</f>
        <v>Okay</v>
      </c>
    </row>
    <row r="1174" spans="1:15" x14ac:dyDescent="0.3">
      <c r="A1174">
        <v>16487</v>
      </c>
      <c r="B1174" t="s">
        <v>18</v>
      </c>
      <c r="C1174" t="s">
        <v>28</v>
      </c>
      <c r="D1174">
        <v>476</v>
      </c>
      <c r="E1174">
        <v>100</v>
      </c>
      <c r="F1174">
        <v>96.99</v>
      </c>
      <c r="G1174" t="s">
        <v>36</v>
      </c>
      <c r="H1174" s="1">
        <v>45535</v>
      </c>
      <c r="I1174" s="1">
        <v>45573</v>
      </c>
      <c r="J1174" t="s">
        <v>37</v>
      </c>
      <c r="K1174" t="b">
        <f>Table1[[#This Row],[CurrentStock]]&lt;Table1[[#This Row],[ReorderLevel]]</f>
        <v>0</v>
      </c>
      <c r="L1174" s="9">
        <f>Table1[[#This Row],[CurrentStock]]*Table1[[#This Row],[UnitPrice]]</f>
        <v>46167.24</v>
      </c>
      <c r="M1174" t="str">
        <f>IF(Table1[[#This Row],[ReorderLevel]]-Table1[[#This Row],[CurrentStock]]&gt;0,Table1[[#This Row],[ReorderLevel]]-Table1[[#This Row],[CurrentStock]],"")</f>
        <v/>
      </c>
      <c r="N1174" t="str">
        <f>IF(Table1[[#This Row],[CurrentStock]]&gt;Table1[[#This Row],[ReorderLevel]]*3,"Over Stock","Okay")</f>
        <v>Over Stock</v>
      </c>
      <c r="O1174" t="str">
        <f>IF(Table1[[#This Row],[CurrentStock]]&lt;Table1[[#This Row],[ReorderLevel]],"Reorder","Okay")</f>
        <v>Okay</v>
      </c>
    </row>
    <row r="1175" spans="1:15" x14ac:dyDescent="0.3">
      <c r="A1175">
        <v>13017</v>
      </c>
      <c r="B1175" t="s">
        <v>18</v>
      </c>
      <c r="C1175" t="s">
        <v>28</v>
      </c>
      <c r="D1175">
        <v>258</v>
      </c>
      <c r="E1175">
        <v>50</v>
      </c>
      <c r="F1175">
        <v>279.29000000000002</v>
      </c>
      <c r="G1175" t="s">
        <v>36</v>
      </c>
      <c r="H1175" s="1">
        <v>45386</v>
      </c>
      <c r="I1175" s="1">
        <v>45406</v>
      </c>
      <c r="J1175" t="s">
        <v>38</v>
      </c>
      <c r="K1175" t="b">
        <f>Table1[[#This Row],[CurrentStock]]&lt;Table1[[#This Row],[ReorderLevel]]</f>
        <v>0</v>
      </c>
      <c r="L1175" s="9">
        <f>Table1[[#This Row],[CurrentStock]]*Table1[[#This Row],[UnitPrice]]</f>
        <v>72056.820000000007</v>
      </c>
      <c r="M1175" t="str">
        <f>IF(Table1[[#This Row],[ReorderLevel]]-Table1[[#This Row],[CurrentStock]]&gt;0,Table1[[#This Row],[ReorderLevel]]-Table1[[#This Row],[CurrentStock]],"")</f>
        <v/>
      </c>
      <c r="N1175" t="str">
        <f>IF(Table1[[#This Row],[CurrentStock]]&gt;Table1[[#This Row],[ReorderLevel]]*3,"Over Stock","Okay")</f>
        <v>Over Stock</v>
      </c>
      <c r="O1175" t="str">
        <f>IF(Table1[[#This Row],[CurrentStock]]&lt;Table1[[#This Row],[ReorderLevel]],"Reorder","Okay")</f>
        <v>Okay</v>
      </c>
    </row>
    <row r="1176" spans="1:15" x14ac:dyDescent="0.3">
      <c r="A1176">
        <v>51300</v>
      </c>
      <c r="B1176" t="s">
        <v>15</v>
      </c>
      <c r="C1176" t="s">
        <v>29</v>
      </c>
      <c r="D1176">
        <v>412</v>
      </c>
      <c r="E1176">
        <v>20</v>
      </c>
      <c r="F1176">
        <v>300.11</v>
      </c>
      <c r="G1176" t="s">
        <v>32</v>
      </c>
      <c r="H1176" s="1">
        <v>45416</v>
      </c>
      <c r="I1176" s="1">
        <v>45437</v>
      </c>
      <c r="J1176" t="s">
        <v>39</v>
      </c>
      <c r="K1176" t="b">
        <f>Table1[[#This Row],[CurrentStock]]&lt;Table1[[#This Row],[ReorderLevel]]</f>
        <v>0</v>
      </c>
      <c r="L1176" s="9">
        <f>Table1[[#This Row],[CurrentStock]]*Table1[[#This Row],[UnitPrice]]</f>
        <v>123645.32</v>
      </c>
      <c r="M1176" t="str">
        <f>IF(Table1[[#This Row],[ReorderLevel]]-Table1[[#This Row],[CurrentStock]]&gt;0,Table1[[#This Row],[ReorderLevel]]-Table1[[#This Row],[CurrentStock]],"")</f>
        <v/>
      </c>
      <c r="N1176" t="str">
        <f>IF(Table1[[#This Row],[CurrentStock]]&gt;Table1[[#This Row],[ReorderLevel]]*3,"Over Stock","Okay")</f>
        <v>Over Stock</v>
      </c>
      <c r="O1176" t="str">
        <f>IF(Table1[[#This Row],[CurrentStock]]&lt;Table1[[#This Row],[ReorderLevel]],"Reorder","Okay")</f>
        <v>Okay</v>
      </c>
    </row>
    <row r="1177" spans="1:15" x14ac:dyDescent="0.3">
      <c r="A1177">
        <v>98913</v>
      </c>
      <c r="B1177" t="s">
        <v>13</v>
      </c>
      <c r="C1177" t="s">
        <v>29</v>
      </c>
      <c r="D1177">
        <v>169</v>
      </c>
      <c r="E1177">
        <v>150</v>
      </c>
      <c r="F1177">
        <v>163.06</v>
      </c>
      <c r="G1177" t="s">
        <v>32</v>
      </c>
      <c r="H1177" s="1">
        <v>45339</v>
      </c>
      <c r="I1177" s="1">
        <v>45364</v>
      </c>
      <c r="J1177" t="s">
        <v>38</v>
      </c>
      <c r="K1177" t="b">
        <f>Table1[[#This Row],[CurrentStock]]&lt;Table1[[#This Row],[ReorderLevel]]</f>
        <v>0</v>
      </c>
      <c r="L1177" s="9">
        <f>Table1[[#This Row],[CurrentStock]]*Table1[[#This Row],[UnitPrice]]</f>
        <v>27557.14</v>
      </c>
      <c r="M1177" t="str">
        <f>IF(Table1[[#This Row],[ReorderLevel]]-Table1[[#This Row],[CurrentStock]]&gt;0,Table1[[#This Row],[ReorderLevel]]-Table1[[#This Row],[CurrentStock]],"")</f>
        <v/>
      </c>
      <c r="N1177" t="str">
        <f>IF(Table1[[#This Row],[CurrentStock]]&gt;Table1[[#This Row],[ReorderLevel]]*3,"Over Stock","Okay")</f>
        <v>Okay</v>
      </c>
      <c r="O1177" t="str">
        <f>IF(Table1[[#This Row],[CurrentStock]]&lt;Table1[[#This Row],[ReorderLevel]],"Reorder","Okay")</f>
        <v>Okay</v>
      </c>
    </row>
    <row r="1178" spans="1:15" x14ac:dyDescent="0.3">
      <c r="A1178">
        <v>27862</v>
      </c>
      <c r="B1178" t="s">
        <v>26</v>
      </c>
      <c r="C1178" t="s">
        <v>30</v>
      </c>
      <c r="D1178">
        <v>178</v>
      </c>
      <c r="E1178">
        <v>50</v>
      </c>
      <c r="F1178">
        <v>215.07</v>
      </c>
      <c r="G1178" t="s">
        <v>33</v>
      </c>
      <c r="H1178" s="1">
        <v>45328</v>
      </c>
      <c r="I1178" s="1">
        <v>45338</v>
      </c>
      <c r="J1178" t="s">
        <v>39</v>
      </c>
      <c r="K1178" t="b">
        <f>Table1[[#This Row],[CurrentStock]]&lt;Table1[[#This Row],[ReorderLevel]]</f>
        <v>0</v>
      </c>
      <c r="L1178" s="9">
        <f>Table1[[#This Row],[CurrentStock]]*Table1[[#This Row],[UnitPrice]]</f>
        <v>38282.46</v>
      </c>
      <c r="M1178" t="str">
        <f>IF(Table1[[#This Row],[ReorderLevel]]-Table1[[#This Row],[CurrentStock]]&gt;0,Table1[[#This Row],[ReorderLevel]]-Table1[[#This Row],[CurrentStock]],"")</f>
        <v/>
      </c>
      <c r="N1178" t="str">
        <f>IF(Table1[[#This Row],[CurrentStock]]&gt;Table1[[#This Row],[ReorderLevel]]*3,"Over Stock","Okay")</f>
        <v>Over Stock</v>
      </c>
      <c r="O1178" t="str">
        <f>IF(Table1[[#This Row],[CurrentStock]]&lt;Table1[[#This Row],[ReorderLevel]],"Reorder","Okay")</f>
        <v>Okay</v>
      </c>
    </row>
    <row r="1179" spans="1:15" x14ac:dyDescent="0.3">
      <c r="A1179">
        <v>16050</v>
      </c>
      <c r="B1179" t="s">
        <v>19</v>
      </c>
      <c r="C1179" t="s">
        <v>28</v>
      </c>
      <c r="D1179">
        <v>3</v>
      </c>
      <c r="E1179">
        <v>80</v>
      </c>
      <c r="F1179">
        <v>341.62</v>
      </c>
      <c r="G1179" t="s">
        <v>35</v>
      </c>
      <c r="H1179" s="1">
        <v>45316</v>
      </c>
      <c r="I1179" s="1">
        <v>45335</v>
      </c>
      <c r="J1179" t="s">
        <v>38</v>
      </c>
      <c r="K1179" t="b">
        <f>Table1[[#This Row],[CurrentStock]]&lt;Table1[[#This Row],[ReorderLevel]]</f>
        <v>1</v>
      </c>
      <c r="L1179" s="9">
        <f>Table1[[#This Row],[CurrentStock]]*Table1[[#This Row],[UnitPrice]]</f>
        <v>1024.8600000000001</v>
      </c>
      <c r="M1179">
        <f>IF(Table1[[#This Row],[ReorderLevel]]-Table1[[#This Row],[CurrentStock]]&gt;0,Table1[[#This Row],[ReorderLevel]]-Table1[[#This Row],[CurrentStock]],"")</f>
        <v>77</v>
      </c>
      <c r="N1179" t="str">
        <f>IF(Table1[[#This Row],[CurrentStock]]&gt;Table1[[#This Row],[ReorderLevel]]*3,"Over Stock","Okay")</f>
        <v>Okay</v>
      </c>
      <c r="O1179" t="str">
        <f>IF(Table1[[#This Row],[CurrentStock]]&lt;Table1[[#This Row],[ReorderLevel]],"Reorder","Okay")</f>
        <v>Reorder</v>
      </c>
    </row>
    <row r="1180" spans="1:15" x14ac:dyDescent="0.3">
      <c r="A1180">
        <v>97363</v>
      </c>
      <c r="B1180" t="s">
        <v>18</v>
      </c>
      <c r="C1180" t="s">
        <v>28</v>
      </c>
      <c r="D1180">
        <v>184</v>
      </c>
      <c r="E1180">
        <v>30</v>
      </c>
      <c r="F1180">
        <v>165.33</v>
      </c>
      <c r="G1180" t="s">
        <v>36</v>
      </c>
      <c r="H1180" s="1">
        <v>45608</v>
      </c>
      <c r="I1180" s="1">
        <v>45626</v>
      </c>
      <c r="J1180" t="s">
        <v>39</v>
      </c>
      <c r="K1180" t="b">
        <f>Table1[[#This Row],[CurrentStock]]&lt;Table1[[#This Row],[ReorderLevel]]</f>
        <v>0</v>
      </c>
      <c r="L1180" s="9">
        <f>Table1[[#This Row],[CurrentStock]]*Table1[[#This Row],[UnitPrice]]</f>
        <v>30420.720000000001</v>
      </c>
      <c r="M1180" t="str">
        <f>IF(Table1[[#This Row],[ReorderLevel]]-Table1[[#This Row],[CurrentStock]]&gt;0,Table1[[#This Row],[ReorderLevel]]-Table1[[#This Row],[CurrentStock]],"")</f>
        <v/>
      </c>
      <c r="N1180" t="str">
        <f>IF(Table1[[#This Row],[CurrentStock]]&gt;Table1[[#This Row],[ReorderLevel]]*3,"Over Stock","Okay")</f>
        <v>Over Stock</v>
      </c>
      <c r="O1180" t="str">
        <f>IF(Table1[[#This Row],[CurrentStock]]&lt;Table1[[#This Row],[ReorderLevel]],"Reorder","Okay")</f>
        <v>Okay</v>
      </c>
    </row>
    <row r="1181" spans="1:15" x14ac:dyDescent="0.3">
      <c r="A1181">
        <v>37370</v>
      </c>
      <c r="B1181" t="s">
        <v>10</v>
      </c>
      <c r="C1181" t="s">
        <v>27</v>
      </c>
      <c r="D1181">
        <v>407</v>
      </c>
      <c r="E1181">
        <v>50</v>
      </c>
      <c r="F1181">
        <v>338.73</v>
      </c>
      <c r="G1181" t="s">
        <v>34</v>
      </c>
      <c r="H1181" s="1">
        <v>45577</v>
      </c>
      <c r="I1181" s="1">
        <v>45605</v>
      </c>
      <c r="J1181" t="s">
        <v>39</v>
      </c>
      <c r="K1181" t="b">
        <f>Table1[[#This Row],[CurrentStock]]&lt;Table1[[#This Row],[ReorderLevel]]</f>
        <v>0</v>
      </c>
      <c r="L1181" s="9">
        <f>Table1[[#This Row],[CurrentStock]]*Table1[[#This Row],[UnitPrice]]</f>
        <v>137863.11000000002</v>
      </c>
      <c r="M1181" t="str">
        <f>IF(Table1[[#This Row],[ReorderLevel]]-Table1[[#This Row],[CurrentStock]]&gt;0,Table1[[#This Row],[ReorderLevel]]-Table1[[#This Row],[CurrentStock]],"")</f>
        <v/>
      </c>
      <c r="N1181" t="str">
        <f>IF(Table1[[#This Row],[CurrentStock]]&gt;Table1[[#This Row],[ReorderLevel]]*3,"Over Stock","Okay")</f>
        <v>Over Stock</v>
      </c>
      <c r="O1181" t="str">
        <f>IF(Table1[[#This Row],[CurrentStock]]&lt;Table1[[#This Row],[ReorderLevel]],"Reorder","Okay")</f>
        <v>Okay</v>
      </c>
    </row>
    <row r="1182" spans="1:15" x14ac:dyDescent="0.3">
      <c r="A1182">
        <v>13932</v>
      </c>
      <c r="B1182" t="s">
        <v>22</v>
      </c>
      <c r="C1182" t="s">
        <v>27</v>
      </c>
      <c r="D1182">
        <v>429</v>
      </c>
      <c r="E1182">
        <v>150</v>
      </c>
      <c r="F1182">
        <v>197.12</v>
      </c>
      <c r="G1182" t="s">
        <v>36</v>
      </c>
      <c r="H1182" s="1">
        <v>45531</v>
      </c>
      <c r="I1182" s="1">
        <v>45550</v>
      </c>
      <c r="J1182" t="s">
        <v>38</v>
      </c>
      <c r="K1182" t="b">
        <f>Table1[[#This Row],[CurrentStock]]&lt;Table1[[#This Row],[ReorderLevel]]</f>
        <v>0</v>
      </c>
      <c r="L1182" s="9">
        <f>Table1[[#This Row],[CurrentStock]]*Table1[[#This Row],[UnitPrice]]</f>
        <v>84564.479999999996</v>
      </c>
      <c r="M1182" t="str">
        <f>IF(Table1[[#This Row],[ReorderLevel]]-Table1[[#This Row],[CurrentStock]]&gt;0,Table1[[#This Row],[ReorderLevel]]-Table1[[#This Row],[CurrentStock]],"")</f>
        <v/>
      </c>
      <c r="N1182" t="str">
        <f>IF(Table1[[#This Row],[CurrentStock]]&gt;Table1[[#This Row],[ReorderLevel]]*3,"Over Stock","Okay")</f>
        <v>Okay</v>
      </c>
      <c r="O1182" t="str">
        <f>IF(Table1[[#This Row],[CurrentStock]]&lt;Table1[[#This Row],[ReorderLevel]],"Reorder","Okay")</f>
        <v>Okay</v>
      </c>
    </row>
    <row r="1183" spans="1:15" x14ac:dyDescent="0.3">
      <c r="A1183">
        <v>23782</v>
      </c>
      <c r="B1183" t="s">
        <v>18</v>
      </c>
      <c r="C1183" t="s">
        <v>28</v>
      </c>
      <c r="D1183">
        <v>270</v>
      </c>
      <c r="E1183">
        <v>100</v>
      </c>
      <c r="F1183">
        <v>496.45</v>
      </c>
      <c r="G1183" t="s">
        <v>36</v>
      </c>
      <c r="H1183" s="1">
        <v>45306</v>
      </c>
      <c r="I1183" s="1">
        <v>45314</v>
      </c>
      <c r="J1183" t="s">
        <v>37</v>
      </c>
      <c r="K1183" t="b">
        <f>Table1[[#This Row],[CurrentStock]]&lt;Table1[[#This Row],[ReorderLevel]]</f>
        <v>0</v>
      </c>
      <c r="L1183" s="9">
        <f>Table1[[#This Row],[CurrentStock]]*Table1[[#This Row],[UnitPrice]]</f>
        <v>134041.5</v>
      </c>
      <c r="M1183" t="str">
        <f>IF(Table1[[#This Row],[ReorderLevel]]-Table1[[#This Row],[CurrentStock]]&gt;0,Table1[[#This Row],[ReorderLevel]]-Table1[[#This Row],[CurrentStock]],"")</f>
        <v/>
      </c>
      <c r="N1183" t="str">
        <f>IF(Table1[[#This Row],[CurrentStock]]&gt;Table1[[#This Row],[ReorderLevel]]*3,"Over Stock","Okay")</f>
        <v>Okay</v>
      </c>
      <c r="O1183" t="str">
        <f>IF(Table1[[#This Row],[CurrentStock]]&lt;Table1[[#This Row],[ReorderLevel]],"Reorder","Okay")</f>
        <v>Okay</v>
      </c>
    </row>
    <row r="1184" spans="1:15" x14ac:dyDescent="0.3">
      <c r="A1184">
        <v>16057</v>
      </c>
      <c r="B1184" t="s">
        <v>17</v>
      </c>
      <c r="C1184" t="s">
        <v>30</v>
      </c>
      <c r="D1184">
        <v>318</v>
      </c>
      <c r="E1184">
        <v>20</v>
      </c>
      <c r="F1184">
        <v>329.79</v>
      </c>
      <c r="G1184" t="s">
        <v>34</v>
      </c>
      <c r="H1184" s="1">
        <v>45411</v>
      </c>
      <c r="I1184" s="1">
        <v>45422</v>
      </c>
      <c r="J1184" t="s">
        <v>37</v>
      </c>
      <c r="K1184" t="b">
        <f>Table1[[#This Row],[CurrentStock]]&lt;Table1[[#This Row],[ReorderLevel]]</f>
        <v>0</v>
      </c>
      <c r="L1184" s="9">
        <f>Table1[[#This Row],[CurrentStock]]*Table1[[#This Row],[UnitPrice]]</f>
        <v>104873.22</v>
      </c>
      <c r="M1184" t="str">
        <f>IF(Table1[[#This Row],[ReorderLevel]]-Table1[[#This Row],[CurrentStock]]&gt;0,Table1[[#This Row],[ReorderLevel]]-Table1[[#This Row],[CurrentStock]],"")</f>
        <v/>
      </c>
      <c r="N1184" t="str">
        <f>IF(Table1[[#This Row],[CurrentStock]]&gt;Table1[[#This Row],[ReorderLevel]]*3,"Over Stock","Okay")</f>
        <v>Over Stock</v>
      </c>
      <c r="O1184" t="str">
        <f>IF(Table1[[#This Row],[CurrentStock]]&lt;Table1[[#This Row],[ReorderLevel]],"Reorder","Okay")</f>
        <v>Okay</v>
      </c>
    </row>
    <row r="1185" spans="1:15" x14ac:dyDescent="0.3">
      <c r="A1185">
        <v>17043</v>
      </c>
      <c r="B1185" t="s">
        <v>16</v>
      </c>
      <c r="C1185" t="s">
        <v>30</v>
      </c>
      <c r="D1185">
        <v>254</v>
      </c>
      <c r="E1185">
        <v>20</v>
      </c>
      <c r="F1185">
        <v>476.56</v>
      </c>
      <c r="G1185" t="s">
        <v>33</v>
      </c>
      <c r="H1185" s="1">
        <v>45332</v>
      </c>
      <c r="I1185" s="1">
        <v>45366</v>
      </c>
      <c r="J1185" t="s">
        <v>39</v>
      </c>
      <c r="K1185" t="b">
        <f>Table1[[#This Row],[CurrentStock]]&lt;Table1[[#This Row],[ReorderLevel]]</f>
        <v>0</v>
      </c>
      <c r="L1185" s="9">
        <f>Table1[[#This Row],[CurrentStock]]*Table1[[#This Row],[UnitPrice]]</f>
        <v>121046.24</v>
      </c>
      <c r="M1185" t="str">
        <f>IF(Table1[[#This Row],[ReorderLevel]]-Table1[[#This Row],[CurrentStock]]&gt;0,Table1[[#This Row],[ReorderLevel]]-Table1[[#This Row],[CurrentStock]],"")</f>
        <v/>
      </c>
      <c r="N1185" t="str">
        <f>IF(Table1[[#This Row],[CurrentStock]]&gt;Table1[[#This Row],[ReorderLevel]]*3,"Over Stock","Okay")</f>
        <v>Over Stock</v>
      </c>
      <c r="O1185" t="str">
        <f>IF(Table1[[#This Row],[CurrentStock]]&lt;Table1[[#This Row],[ReorderLevel]],"Reorder","Okay")</f>
        <v>Okay</v>
      </c>
    </row>
    <row r="1186" spans="1:15" x14ac:dyDescent="0.3">
      <c r="A1186">
        <v>79000</v>
      </c>
      <c r="B1186" t="s">
        <v>15</v>
      </c>
      <c r="C1186" t="s">
        <v>29</v>
      </c>
      <c r="D1186">
        <v>148</v>
      </c>
      <c r="E1186">
        <v>100</v>
      </c>
      <c r="F1186">
        <v>340.42</v>
      </c>
      <c r="G1186" t="s">
        <v>34</v>
      </c>
      <c r="H1186" s="1">
        <v>45629</v>
      </c>
      <c r="I1186" s="1">
        <v>45638</v>
      </c>
      <c r="J1186" t="s">
        <v>39</v>
      </c>
      <c r="K1186" t="b">
        <f>Table1[[#This Row],[CurrentStock]]&lt;Table1[[#This Row],[ReorderLevel]]</f>
        <v>0</v>
      </c>
      <c r="L1186" s="9">
        <f>Table1[[#This Row],[CurrentStock]]*Table1[[#This Row],[UnitPrice]]</f>
        <v>50382.16</v>
      </c>
      <c r="M1186" t="str">
        <f>IF(Table1[[#This Row],[ReorderLevel]]-Table1[[#This Row],[CurrentStock]]&gt;0,Table1[[#This Row],[ReorderLevel]]-Table1[[#This Row],[CurrentStock]],"")</f>
        <v/>
      </c>
      <c r="N1186" t="str">
        <f>IF(Table1[[#This Row],[CurrentStock]]&gt;Table1[[#This Row],[ReorderLevel]]*3,"Over Stock","Okay")</f>
        <v>Okay</v>
      </c>
      <c r="O1186" t="str">
        <f>IF(Table1[[#This Row],[CurrentStock]]&lt;Table1[[#This Row],[ReorderLevel]],"Reorder","Okay")</f>
        <v>Okay</v>
      </c>
    </row>
    <row r="1187" spans="1:15" x14ac:dyDescent="0.3">
      <c r="A1187">
        <v>85838</v>
      </c>
      <c r="B1187" t="s">
        <v>25</v>
      </c>
      <c r="C1187" t="s">
        <v>31</v>
      </c>
      <c r="D1187">
        <v>130</v>
      </c>
      <c r="E1187">
        <v>20</v>
      </c>
      <c r="F1187">
        <v>57.43</v>
      </c>
      <c r="G1187" t="s">
        <v>33</v>
      </c>
      <c r="H1187" s="1">
        <v>45340</v>
      </c>
      <c r="I1187" s="1">
        <v>45361</v>
      </c>
      <c r="J1187" t="s">
        <v>37</v>
      </c>
      <c r="K1187" t="b">
        <f>Table1[[#This Row],[CurrentStock]]&lt;Table1[[#This Row],[ReorderLevel]]</f>
        <v>0</v>
      </c>
      <c r="L1187" s="9">
        <f>Table1[[#This Row],[CurrentStock]]*Table1[[#This Row],[UnitPrice]]</f>
        <v>7465.9</v>
      </c>
      <c r="M1187" t="str">
        <f>IF(Table1[[#This Row],[ReorderLevel]]-Table1[[#This Row],[CurrentStock]]&gt;0,Table1[[#This Row],[ReorderLevel]]-Table1[[#This Row],[CurrentStock]],"")</f>
        <v/>
      </c>
      <c r="N1187" t="str">
        <f>IF(Table1[[#This Row],[CurrentStock]]&gt;Table1[[#This Row],[ReorderLevel]]*3,"Over Stock","Okay")</f>
        <v>Over Stock</v>
      </c>
      <c r="O1187" t="str">
        <f>IF(Table1[[#This Row],[CurrentStock]]&lt;Table1[[#This Row],[ReorderLevel]],"Reorder","Okay")</f>
        <v>Okay</v>
      </c>
    </row>
    <row r="1188" spans="1:15" x14ac:dyDescent="0.3">
      <c r="A1188">
        <v>42599</v>
      </c>
      <c r="B1188" t="s">
        <v>18</v>
      </c>
      <c r="C1188" t="s">
        <v>28</v>
      </c>
      <c r="D1188">
        <v>14</v>
      </c>
      <c r="E1188">
        <v>150</v>
      </c>
      <c r="F1188">
        <v>158.29</v>
      </c>
      <c r="G1188" t="s">
        <v>36</v>
      </c>
      <c r="H1188" s="1">
        <v>45550</v>
      </c>
      <c r="I1188" s="1">
        <v>45558</v>
      </c>
      <c r="J1188" t="s">
        <v>38</v>
      </c>
      <c r="K1188" t="b">
        <f>Table1[[#This Row],[CurrentStock]]&lt;Table1[[#This Row],[ReorderLevel]]</f>
        <v>1</v>
      </c>
      <c r="L1188" s="9">
        <f>Table1[[#This Row],[CurrentStock]]*Table1[[#This Row],[UnitPrice]]</f>
        <v>2216.06</v>
      </c>
      <c r="M1188">
        <f>IF(Table1[[#This Row],[ReorderLevel]]-Table1[[#This Row],[CurrentStock]]&gt;0,Table1[[#This Row],[ReorderLevel]]-Table1[[#This Row],[CurrentStock]],"")</f>
        <v>136</v>
      </c>
      <c r="N1188" t="str">
        <f>IF(Table1[[#This Row],[CurrentStock]]&gt;Table1[[#This Row],[ReorderLevel]]*3,"Over Stock","Okay")</f>
        <v>Okay</v>
      </c>
      <c r="O1188" t="str">
        <f>IF(Table1[[#This Row],[CurrentStock]]&lt;Table1[[#This Row],[ReorderLevel]],"Reorder","Okay")</f>
        <v>Reorder</v>
      </c>
    </row>
    <row r="1189" spans="1:15" x14ac:dyDescent="0.3">
      <c r="A1189">
        <v>64766</v>
      </c>
      <c r="B1189" t="s">
        <v>16</v>
      </c>
      <c r="C1189" t="s">
        <v>30</v>
      </c>
      <c r="D1189">
        <v>330</v>
      </c>
      <c r="E1189">
        <v>80</v>
      </c>
      <c r="F1189">
        <v>37.81</v>
      </c>
      <c r="G1189" t="s">
        <v>33</v>
      </c>
      <c r="H1189" s="1">
        <v>45356</v>
      </c>
      <c r="I1189" s="1">
        <v>45363</v>
      </c>
      <c r="J1189" t="s">
        <v>37</v>
      </c>
      <c r="K1189" t="b">
        <f>Table1[[#This Row],[CurrentStock]]&lt;Table1[[#This Row],[ReorderLevel]]</f>
        <v>0</v>
      </c>
      <c r="L1189" s="9">
        <f>Table1[[#This Row],[CurrentStock]]*Table1[[#This Row],[UnitPrice]]</f>
        <v>12477.300000000001</v>
      </c>
      <c r="M1189" t="str">
        <f>IF(Table1[[#This Row],[ReorderLevel]]-Table1[[#This Row],[CurrentStock]]&gt;0,Table1[[#This Row],[ReorderLevel]]-Table1[[#This Row],[CurrentStock]],"")</f>
        <v/>
      </c>
      <c r="N1189" t="str">
        <f>IF(Table1[[#This Row],[CurrentStock]]&gt;Table1[[#This Row],[ReorderLevel]]*3,"Over Stock","Okay")</f>
        <v>Over Stock</v>
      </c>
      <c r="O1189" t="str">
        <f>IF(Table1[[#This Row],[CurrentStock]]&lt;Table1[[#This Row],[ReorderLevel]],"Reorder","Okay")</f>
        <v>Okay</v>
      </c>
    </row>
    <row r="1190" spans="1:15" x14ac:dyDescent="0.3">
      <c r="A1190">
        <v>96120</v>
      </c>
      <c r="B1190" t="s">
        <v>25</v>
      </c>
      <c r="C1190" t="s">
        <v>31</v>
      </c>
      <c r="D1190">
        <v>29</v>
      </c>
      <c r="E1190">
        <v>30</v>
      </c>
      <c r="F1190">
        <v>440.3</v>
      </c>
      <c r="G1190" t="s">
        <v>35</v>
      </c>
      <c r="H1190" s="1">
        <v>45508</v>
      </c>
      <c r="I1190" s="1">
        <v>45534</v>
      </c>
      <c r="J1190" t="s">
        <v>39</v>
      </c>
      <c r="K1190" t="b">
        <f>Table1[[#This Row],[CurrentStock]]&lt;Table1[[#This Row],[ReorderLevel]]</f>
        <v>1</v>
      </c>
      <c r="L1190" s="9">
        <f>Table1[[#This Row],[CurrentStock]]*Table1[[#This Row],[UnitPrice]]</f>
        <v>12768.7</v>
      </c>
      <c r="M1190">
        <f>IF(Table1[[#This Row],[ReorderLevel]]-Table1[[#This Row],[CurrentStock]]&gt;0,Table1[[#This Row],[ReorderLevel]]-Table1[[#This Row],[CurrentStock]],"")</f>
        <v>1</v>
      </c>
      <c r="N1190" t="str">
        <f>IF(Table1[[#This Row],[CurrentStock]]&gt;Table1[[#This Row],[ReorderLevel]]*3,"Over Stock","Okay")</f>
        <v>Okay</v>
      </c>
      <c r="O1190" t="str">
        <f>IF(Table1[[#This Row],[CurrentStock]]&lt;Table1[[#This Row],[ReorderLevel]],"Reorder","Okay")</f>
        <v>Reorder</v>
      </c>
    </row>
    <row r="1191" spans="1:15" x14ac:dyDescent="0.3">
      <c r="A1191">
        <v>65609</v>
      </c>
      <c r="B1191" t="s">
        <v>10</v>
      </c>
      <c r="C1191" t="s">
        <v>27</v>
      </c>
      <c r="D1191">
        <v>46</v>
      </c>
      <c r="E1191">
        <v>150</v>
      </c>
      <c r="F1191">
        <v>455.95</v>
      </c>
      <c r="G1191" t="s">
        <v>32</v>
      </c>
      <c r="H1191" s="1">
        <v>45420</v>
      </c>
      <c r="I1191" s="1">
        <v>45426</v>
      </c>
      <c r="J1191" t="s">
        <v>39</v>
      </c>
      <c r="K1191" t="b">
        <f>Table1[[#This Row],[CurrentStock]]&lt;Table1[[#This Row],[ReorderLevel]]</f>
        <v>1</v>
      </c>
      <c r="L1191" s="9">
        <f>Table1[[#This Row],[CurrentStock]]*Table1[[#This Row],[UnitPrice]]</f>
        <v>20973.7</v>
      </c>
      <c r="M1191">
        <f>IF(Table1[[#This Row],[ReorderLevel]]-Table1[[#This Row],[CurrentStock]]&gt;0,Table1[[#This Row],[ReorderLevel]]-Table1[[#This Row],[CurrentStock]],"")</f>
        <v>104</v>
      </c>
      <c r="N1191" t="str">
        <f>IF(Table1[[#This Row],[CurrentStock]]&gt;Table1[[#This Row],[ReorderLevel]]*3,"Over Stock","Okay")</f>
        <v>Okay</v>
      </c>
      <c r="O1191" t="str">
        <f>IF(Table1[[#This Row],[CurrentStock]]&lt;Table1[[#This Row],[ReorderLevel]],"Reorder","Okay")</f>
        <v>Reorder</v>
      </c>
    </row>
    <row r="1192" spans="1:15" x14ac:dyDescent="0.3">
      <c r="A1192">
        <v>46923</v>
      </c>
      <c r="B1192" t="s">
        <v>14</v>
      </c>
      <c r="C1192" t="s">
        <v>27</v>
      </c>
      <c r="D1192">
        <v>26</v>
      </c>
      <c r="E1192">
        <v>80</v>
      </c>
      <c r="F1192">
        <v>12.42</v>
      </c>
      <c r="G1192" t="s">
        <v>32</v>
      </c>
      <c r="H1192" s="1">
        <v>45544</v>
      </c>
      <c r="I1192" s="1">
        <v>45549</v>
      </c>
      <c r="J1192" t="s">
        <v>37</v>
      </c>
      <c r="K1192" t="b">
        <f>Table1[[#This Row],[CurrentStock]]&lt;Table1[[#This Row],[ReorderLevel]]</f>
        <v>1</v>
      </c>
      <c r="L1192" s="9">
        <f>Table1[[#This Row],[CurrentStock]]*Table1[[#This Row],[UnitPrice]]</f>
        <v>322.92</v>
      </c>
      <c r="M1192">
        <f>IF(Table1[[#This Row],[ReorderLevel]]-Table1[[#This Row],[CurrentStock]]&gt;0,Table1[[#This Row],[ReorderLevel]]-Table1[[#This Row],[CurrentStock]],"")</f>
        <v>54</v>
      </c>
      <c r="N1192" t="str">
        <f>IF(Table1[[#This Row],[CurrentStock]]&gt;Table1[[#This Row],[ReorderLevel]]*3,"Over Stock","Okay")</f>
        <v>Okay</v>
      </c>
      <c r="O1192" t="str">
        <f>IF(Table1[[#This Row],[CurrentStock]]&lt;Table1[[#This Row],[ReorderLevel]],"Reorder","Okay")</f>
        <v>Reorder</v>
      </c>
    </row>
    <row r="1193" spans="1:15" x14ac:dyDescent="0.3">
      <c r="A1193">
        <v>19304</v>
      </c>
      <c r="B1193" t="s">
        <v>13</v>
      </c>
      <c r="C1193" t="s">
        <v>29</v>
      </c>
      <c r="D1193">
        <v>145</v>
      </c>
      <c r="E1193">
        <v>50</v>
      </c>
      <c r="F1193">
        <v>417.89</v>
      </c>
      <c r="G1193" t="s">
        <v>34</v>
      </c>
      <c r="H1193" s="1">
        <v>45387</v>
      </c>
      <c r="I1193" s="1">
        <v>45420</v>
      </c>
      <c r="J1193" t="s">
        <v>39</v>
      </c>
      <c r="K1193" t="b">
        <f>Table1[[#This Row],[CurrentStock]]&lt;Table1[[#This Row],[ReorderLevel]]</f>
        <v>0</v>
      </c>
      <c r="L1193" s="9">
        <f>Table1[[#This Row],[CurrentStock]]*Table1[[#This Row],[UnitPrice]]</f>
        <v>60594.049999999996</v>
      </c>
      <c r="M1193" t="str">
        <f>IF(Table1[[#This Row],[ReorderLevel]]-Table1[[#This Row],[CurrentStock]]&gt;0,Table1[[#This Row],[ReorderLevel]]-Table1[[#This Row],[CurrentStock]],"")</f>
        <v/>
      </c>
      <c r="N1193" t="str">
        <f>IF(Table1[[#This Row],[CurrentStock]]&gt;Table1[[#This Row],[ReorderLevel]]*3,"Over Stock","Okay")</f>
        <v>Okay</v>
      </c>
      <c r="O1193" t="str">
        <f>IF(Table1[[#This Row],[CurrentStock]]&lt;Table1[[#This Row],[ReorderLevel]],"Reorder","Okay")</f>
        <v>Okay</v>
      </c>
    </row>
    <row r="1194" spans="1:15" x14ac:dyDescent="0.3">
      <c r="A1194">
        <v>86394</v>
      </c>
      <c r="B1194" t="s">
        <v>15</v>
      </c>
      <c r="C1194" t="s">
        <v>29</v>
      </c>
      <c r="D1194">
        <v>110</v>
      </c>
      <c r="E1194">
        <v>30</v>
      </c>
      <c r="F1194">
        <v>114.64</v>
      </c>
      <c r="G1194" t="s">
        <v>32</v>
      </c>
      <c r="H1194" s="1">
        <v>45457</v>
      </c>
      <c r="I1194" s="1">
        <v>45496</v>
      </c>
      <c r="J1194" t="s">
        <v>38</v>
      </c>
      <c r="K1194" t="b">
        <f>Table1[[#This Row],[CurrentStock]]&lt;Table1[[#This Row],[ReorderLevel]]</f>
        <v>0</v>
      </c>
      <c r="L1194" s="9">
        <f>Table1[[#This Row],[CurrentStock]]*Table1[[#This Row],[UnitPrice]]</f>
        <v>12610.4</v>
      </c>
      <c r="M1194" t="str">
        <f>IF(Table1[[#This Row],[ReorderLevel]]-Table1[[#This Row],[CurrentStock]]&gt;0,Table1[[#This Row],[ReorderLevel]]-Table1[[#This Row],[CurrentStock]],"")</f>
        <v/>
      </c>
      <c r="N1194" t="str">
        <f>IF(Table1[[#This Row],[CurrentStock]]&gt;Table1[[#This Row],[ReorderLevel]]*3,"Over Stock","Okay")</f>
        <v>Over Stock</v>
      </c>
      <c r="O1194" t="str">
        <f>IF(Table1[[#This Row],[CurrentStock]]&lt;Table1[[#This Row],[ReorderLevel]],"Reorder","Okay")</f>
        <v>Okay</v>
      </c>
    </row>
    <row r="1195" spans="1:15" x14ac:dyDescent="0.3">
      <c r="A1195">
        <v>72796</v>
      </c>
      <c r="B1195" t="s">
        <v>25</v>
      </c>
      <c r="C1195" t="s">
        <v>31</v>
      </c>
      <c r="D1195">
        <v>142</v>
      </c>
      <c r="E1195">
        <v>40</v>
      </c>
      <c r="F1195">
        <v>304.11</v>
      </c>
      <c r="G1195" t="s">
        <v>36</v>
      </c>
      <c r="H1195" s="1">
        <v>45542</v>
      </c>
      <c r="I1195" s="1">
        <v>45570</v>
      </c>
      <c r="J1195" t="s">
        <v>37</v>
      </c>
      <c r="K1195" t="b">
        <f>Table1[[#This Row],[CurrentStock]]&lt;Table1[[#This Row],[ReorderLevel]]</f>
        <v>0</v>
      </c>
      <c r="L1195" s="9">
        <f>Table1[[#This Row],[CurrentStock]]*Table1[[#This Row],[UnitPrice]]</f>
        <v>43183.62</v>
      </c>
      <c r="M1195" t="str">
        <f>IF(Table1[[#This Row],[ReorderLevel]]-Table1[[#This Row],[CurrentStock]]&gt;0,Table1[[#This Row],[ReorderLevel]]-Table1[[#This Row],[CurrentStock]],"")</f>
        <v/>
      </c>
      <c r="N1195" t="str">
        <f>IF(Table1[[#This Row],[CurrentStock]]&gt;Table1[[#This Row],[ReorderLevel]]*3,"Over Stock","Okay")</f>
        <v>Over Stock</v>
      </c>
      <c r="O1195" t="str">
        <f>IF(Table1[[#This Row],[CurrentStock]]&lt;Table1[[#This Row],[ReorderLevel]],"Reorder","Okay")</f>
        <v>Okay</v>
      </c>
    </row>
    <row r="1196" spans="1:15" x14ac:dyDescent="0.3">
      <c r="A1196">
        <v>37195</v>
      </c>
      <c r="B1196" t="s">
        <v>18</v>
      </c>
      <c r="C1196" t="s">
        <v>28</v>
      </c>
      <c r="D1196">
        <v>496</v>
      </c>
      <c r="E1196">
        <v>30</v>
      </c>
      <c r="F1196">
        <v>156.47</v>
      </c>
      <c r="G1196" t="s">
        <v>33</v>
      </c>
      <c r="H1196" s="1">
        <v>45595</v>
      </c>
      <c r="I1196" s="1">
        <v>45606</v>
      </c>
      <c r="J1196" t="s">
        <v>37</v>
      </c>
      <c r="K1196" t="b">
        <f>Table1[[#This Row],[CurrentStock]]&lt;Table1[[#This Row],[ReorderLevel]]</f>
        <v>0</v>
      </c>
      <c r="L1196" s="9">
        <f>Table1[[#This Row],[CurrentStock]]*Table1[[#This Row],[UnitPrice]]</f>
        <v>77609.119999999995</v>
      </c>
      <c r="M1196" t="str">
        <f>IF(Table1[[#This Row],[ReorderLevel]]-Table1[[#This Row],[CurrentStock]]&gt;0,Table1[[#This Row],[ReorderLevel]]-Table1[[#This Row],[CurrentStock]],"")</f>
        <v/>
      </c>
      <c r="N1196" t="str">
        <f>IF(Table1[[#This Row],[CurrentStock]]&gt;Table1[[#This Row],[ReorderLevel]]*3,"Over Stock","Okay")</f>
        <v>Over Stock</v>
      </c>
      <c r="O1196" t="str">
        <f>IF(Table1[[#This Row],[CurrentStock]]&lt;Table1[[#This Row],[ReorderLevel]],"Reorder","Okay")</f>
        <v>Okay</v>
      </c>
    </row>
    <row r="1197" spans="1:15" x14ac:dyDescent="0.3">
      <c r="A1197">
        <v>11816</v>
      </c>
      <c r="B1197" t="s">
        <v>13</v>
      </c>
      <c r="C1197" t="s">
        <v>29</v>
      </c>
      <c r="D1197">
        <v>185</v>
      </c>
      <c r="E1197">
        <v>50</v>
      </c>
      <c r="F1197">
        <v>252.28</v>
      </c>
      <c r="G1197" t="s">
        <v>36</v>
      </c>
      <c r="H1197" s="1">
        <v>45517</v>
      </c>
      <c r="I1197" s="1">
        <v>45555</v>
      </c>
      <c r="J1197" t="s">
        <v>38</v>
      </c>
      <c r="K1197" t="b">
        <f>Table1[[#This Row],[CurrentStock]]&lt;Table1[[#This Row],[ReorderLevel]]</f>
        <v>0</v>
      </c>
      <c r="L1197" s="9">
        <f>Table1[[#This Row],[CurrentStock]]*Table1[[#This Row],[UnitPrice]]</f>
        <v>46671.8</v>
      </c>
      <c r="M1197" t="str">
        <f>IF(Table1[[#This Row],[ReorderLevel]]-Table1[[#This Row],[CurrentStock]]&gt;0,Table1[[#This Row],[ReorderLevel]]-Table1[[#This Row],[CurrentStock]],"")</f>
        <v/>
      </c>
      <c r="N1197" t="str">
        <f>IF(Table1[[#This Row],[CurrentStock]]&gt;Table1[[#This Row],[ReorderLevel]]*3,"Over Stock","Okay")</f>
        <v>Over Stock</v>
      </c>
      <c r="O1197" t="str">
        <f>IF(Table1[[#This Row],[CurrentStock]]&lt;Table1[[#This Row],[ReorderLevel]],"Reorder","Okay")</f>
        <v>Okay</v>
      </c>
    </row>
    <row r="1198" spans="1:15" x14ac:dyDescent="0.3">
      <c r="A1198">
        <v>22809</v>
      </c>
      <c r="B1198" t="s">
        <v>21</v>
      </c>
      <c r="C1198" t="s">
        <v>31</v>
      </c>
      <c r="D1198">
        <v>108</v>
      </c>
      <c r="E1198">
        <v>30</v>
      </c>
      <c r="F1198">
        <v>219.69</v>
      </c>
      <c r="G1198" t="s">
        <v>32</v>
      </c>
      <c r="H1198" s="1">
        <v>45566</v>
      </c>
      <c r="I1198" s="1">
        <v>45578</v>
      </c>
      <c r="J1198" t="s">
        <v>39</v>
      </c>
      <c r="K1198" t="b">
        <f>Table1[[#This Row],[CurrentStock]]&lt;Table1[[#This Row],[ReorderLevel]]</f>
        <v>0</v>
      </c>
      <c r="L1198" s="9">
        <f>Table1[[#This Row],[CurrentStock]]*Table1[[#This Row],[UnitPrice]]</f>
        <v>23726.52</v>
      </c>
      <c r="M1198" t="str">
        <f>IF(Table1[[#This Row],[ReorderLevel]]-Table1[[#This Row],[CurrentStock]]&gt;0,Table1[[#This Row],[ReorderLevel]]-Table1[[#This Row],[CurrentStock]],"")</f>
        <v/>
      </c>
      <c r="N1198" t="str">
        <f>IF(Table1[[#This Row],[CurrentStock]]&gt;Table1[[#This Row],[ReorderLevel]]*3,"Over Stock","Okay")</f>
        <v>Over Stock</v>
      </c>
      <c r="O1198" t="str">
        <f>IF(Table1[[#This Row],[CurrentStock]]&lt;Table1[[#This Row],[ReorderLevel]],"Reorder","Okay")</f>
        <v>Okay</v>
      </c>
    </row>
    <row r="1199" spans="1:15" x14ac:dyDescent="0.3">
      <c r="A1199">
        <v>42009</v>
      </c>
      <c r="B1199" t="s">
        <v>16</v>
      </c>
      <c r="C1199" t="s">
        <v>30</v>
      </c>
      <c r="D1199">
        <v>86</v>
      </c>
      <c r="E1199">
        <v>150</v>
      </c>
      <c r="F1199">
        <v>17.61</v>
      </c>
      <c r="G1199" t="s">
        <v>34</v>
      </c>
      <c r="H1199" s="1">
        <v>45319</v>
      </c>
      <c r="I1199" s="1">
        <v>45349</v>
      </c>
      <c r="J1199" t="s">
        <v>38</v>
      </c>
      <c r="K1199" t="b">
        <f>Table1[[#This Row],[CurrentStock]]&lt;Table1[[#This Row],[ReorderLevel]]</f>
        <v>1</v>
      </c>
      <c r="L1199" s="9">
        <f>Table1[[#This Row],[CurrentStock]]*Table1[[#This Row],[UnitPrice]]</f>
        <v>1514.46</v>
      </c>
      <c r="M1199">
        <f>IF(Table1[[#This Row],[ReorderLevel]]-Table1[[#This Row],[CurrentStock]]&gt;0,Table1[[#This Row],[ReorderLevel]]-Table1[[#This Row],[CurrentStock]],"")</f>
        <v>64</v>
      </c>
      <c r="N1199" t="str">
        <f>IF(Table1[[#This Row],[CurrentStock]]&gt;Table1[[#This Row],[ReorderLevel]]*3,"Over Stock","Okay")</f>
        <v>Okay</v>
      </c>
      <c r="O1199" t="str">
        <f>IF(Table1[[#This Row],[CurrentStock]]&lt;Table1[[#This Row],[ReorderLevel]],"Reorder","Okay")</f>
        <v>Reorder</v>
      </c>
    </row>
    <row r="1200" spans="1:15" x14ac:dyDescent="0.3">
      <c r="A1200">
        <v>21419</v>
      </c>
      <c r="B1200" t="s">
        <v>25</v>
      </c>
      <c r="C1200" t="s">
        <v>31</v>
      </c>
      <c r="D1200">
        <v>134</v>
      </c>
      <c r="E1200">
        <v>150</v>
      </c>
      <c r="F1200">
        <v>166.12</v>
      </c>
      <c r="G1200" t="s">
        <v>35</v>
      </c>
      <c r="H1200" s="1">
        <v>45365</v>
      </c>
      <c r="I1200" s="1">
        <v>45388</v>
      </c>
      <c r="J1200" t="s">
        <v>38</v>
      </c>
      <c r="K1200" t="b">
        <f>Table1[[#This Row],[CurrentStock]]&lt;Table1[[#This Row],[ReorderLevel]]</f>
        <v>1</v>
      </c>
      <c r="L1200" s="9">
        <f>Table1[[#This Row],[CurrentStock]]*Table1[[#This Row],[UnitPrice]]</f>
        <v>22260.080000000002</v>
      </c>
      <c r="M1200">
        <f>IF(Table1[[#This Row],[ReorderLevel]]-Table1[[#This Row],[CurrentStock]]&gt;0,Table1[[#This Row],[ReorderLevel]]-Table1[[#This Row],[CurrentStock]],"")</f>
        <v>16</v>
      </c>
      <c r="N1200" t="str">
        <f>IF(Table1[[#This Row],[CurrentStock]]&gt;Table1[[#This Row],[ReorderLevel]]*3,"Over Stock","Okay")</f>
        <v>Okay</v>
      </c>
      <c r="O1200" t="str">
        <f>IF(Table1[[#This Row],[CurrentStock]]&lt;Table1[[#This Row],[ReorderLevel]],"Reorder","Okay")</f>
        <v>Reorder</v>
      </c>
    </row>
    <row r="1201" spans="1:15" x14ac:dyDescent="0.3">
      <c r="A1201">
        <v>54291</v>
      </c>
      <c r="B1201" t="s">
        <v>16</v>
      </c>
      <c r="C1201" t="s">
        <v>30</v>
      </c>
      <c r="D1201">
        <v>19</v>
      </c>
      <c r="E1201">
        <v>80</v>
      </c>
      <c r="F1201">
        <v>405.04</v>
      </c>
      <c r="G1201" t="s">
        <v>36</v>
      </c>
      <c r="H1201" s="1">
        <v>45597</v>
      </c>
      <c r="I1201" s="1">
        <v>45629</v>
      </c>
      <c r="J1201" t="s">
        <v>38</v>
      </c>
      <c r="K1201" t="b">
        <f>Table1[[#This Row],[CurrentStock]]&lt;Table1[[#This Row],[ReorderLevel]]</f>
        <v>1</v>
      </c>
      <c r="L1201" s="9">
        <f>Table1[[#This Row],[CurrentStock]]*Table1[[#This Row],[UnitPrice]]</f>
        <v>7695.76</v>
      </c>
      <c r="M1201">
        <f>IF(Table1[[#This Row],[ReorderLevel]]-Table1[[#This Row],[CurrentStock]]&gt;0,Table1[[#This Row],[ReorderLevel]]-Table1[[#This Row],[CurrentStock]],"")</f>
        <v>61</v>
      </c>
      <c r="N1201" t="str">
        <f>IF(Table1[[#This Row],[CurrentStock]]&gt;Table1[[#This Row],[ReorderLevel]]*3,"Over Stock","Okay")</f>
        <v>Okay</v>
      </c>
      <c r="O1201" t="str">
        <f>IF(Table1[[#This Row],[CurrentStock]]&lt;Table1[[#This Row],[ReorderLevel]],"Reorder","Okay")</f>
        <v>Reorder</v>
      </c>
    </row>
    <row r="1202" spans="1:15" x14ac:dyDescent="0.3">
      <c r="A1202">
        <v>80729</v>
      </c>
      <c r="B1202" t="s">
        <v>24</v>
      </c>
      <c r="C1202" t="s">
        <v>31</v>
      </c>
      <c r="D1202">
        <v>299</v>
      </c>
      <c r="E1202">
        <v>30</v>
      </c>
      <c r="F1202">
        <v>330.85</v>
      </c>
      <c r="G1202" t="s">
        <v>35</v>
      </c>
      <c r="H1202" s="1">
        <v>45421</v>
      </c>
      <c r="I1202" s="1">
        <v>45453</v>
      </c>
      <c r="J1202" t="s">
        <v>39</v>
      </c>
      <c r="K1202" t="b">
        <f>Table1[[#This Row],[CurrentStock]]&lt;Table1[[#This Row],[ReorderLevel]]</f>
        <v>0</v>
      </c>
      <c r="L1202" s="9">
        <f>Table1[[#This Row],[CurrentStock]]*Table1[[#This Row],[UnitPrice]]</f>
        <v>98924.150000000009</v>
      </c>
      <c r="M1202" t="str">
        <f>IF(Table1[[#This Row],[ReorderLevel]]-Table1[[#This Row],[CurrentStock]]&gt;0,Table1[[#This Row],[ReorderLevel]]-Table1[[#This Row],[CurrentStock]],"")</f>
        <v/>
      </c>
      <c r="N1202" t="str">
        <f>IF(Table1[[#This Row],[CurrentStock]]&gt;Table1[[#This Row],[ReorderLevel]]*3,"Over Stock","Okay")</f>
        <v>Over Stock</v>
      </c>
      <c r="O1202" t="str">
        <f>IF(Table1[[#This Row],[CurrentStock]]&lt;Table1[[#This Row],[ReorderLevel]],"Reorder","Okay")</f>
        <v>Okay</v>
      </c>
    </row>
    <row r="1203" spans="1:15" x14ac:dyDescent="0.3">
      <c r="A1203">
        <v>25957</v>
      </c>
      <c r="B1203" t="s">
        <v>13</v>
      </c>
      <c r="C1203" t="s">
        <v>29</v>
      </c>
      <c r="D1203">
        <v>235</v>
      </c>
      <c r="E1203">
        <v>50</v>
      </c>
      <c r="F1203">
        <v>210.76</v>
      </c>
      <c r="G1203" t="s">
        <v>35</v>
      </c>
      <c r="H1203" s="1">
        <v>45639</v>
      </c>
      <c r="I1203" s="1">
        <v>45653</v>
      </c>
      <c r="J1203" t="s">
        <v>37</v>
      </c>
      <c r="K1203" t="b">
        <f>Table1[[#This Row],[CurrentStock]]&lt;Table1[[#This Row],[ReorderLevel]]</f>
        <v>0</v>
      </c>
      <c r="L1203" s="9">
        <f>Table1[[#This Row],[CurrentStock]]*Table1[[#This Row],[UnitPrice]]</f>
        <v>49528.6</v>
      </c>
      <c r="M1203" t="str">
        <f>IF(Table1[[#This Row],[ReorderLevel]]-Table1[[#This Row],[CurrentStock]]&gt;0,Table1[[#This Row],[ReorderLevel]]-Table1[[#This Row],[CurrentStock]],"")</f>
        <v/>
      </c>
      <c r="N1203" t="str">
        <f>IF(Table1[[#This Row],[CurrentStock]]&gt;Table1[[#This Row],[ReorderLevel]]*3,"Over Stock","Okay")</f>
        <v>Over Stock</v>
      </c>
      <c r="O1203" t="str">
        <f>IF(Table1[[#This Row],[CurrentStock]]&lt;Table1[[#This Row],[ReorderLevel]],"Reorder","Okay")</f>
        <v>Okay</v>
      </c>
    </row>
    <row r="1204" spans="1:15" x14ac:dyDescent="0.3">
      <c r="A1204">
        <v>43642</v>
      </c>
      <c r="B1204" t="s">
        <v>10</v>
      </c>
      <c r="C1204" t="s">
        <v>27</v>
      </c>
      <c r="D1204">
        <v>460</v>
      </c>
      <c r="E1204">
        <v>40</v>
      </c>
      <c r="F1204">
        <v>432.46</v>
      </c>
      <c r="G1204" t="s">
        <v>36</v>
      </c>
      <c r="H1204" s="1">
        <v>45377</v>
      </c>
      <c r="I1204" s="1">
        <v>45411</v>
      </c>
      <c r="J1204" t="s">
        <v>39</v>
      </c>
      <c r="K1204" t="b">
        <f>Table1[[#This Row],[CurrentStock]]&lt;Table1[[#This Row],[ReorderLevel]]</f>
        <v>0</v>
      </c>
      <c r="L1204" s="9">
        <f>Table1[[#This Row],[CurrentStock]]*Table1[[#This Row],[UnitPrice]]</f>
        <v>198931.59999999998</v>
      </c>
      <c r="M1204" t="str">
        <f>IF(Table1[[#This Row],[ReorderLevel]]-Table1[[#This Row],[CurrentStock]]&gt;0,Table1[[#This Row],[ReorderLevel]]-Table1[[#This Row],[CurrentStock]],"")</f>
        <v/>
      </c>
      <c r="N1204" t="str">
        <f>IF(Table1[[#This Row],[CurrentStock]]&gt;Table1[[#This Row],[ReorderLevel]]*3,"Over Stock","Okay")</f>
        <v>Over Stock</v>
      </c>
      <c r="O1204" t="str">
        <f>IF(Table1[[#This Row],[CurrentStock]]&lt;Table1[[#This Row],[ReorderLevel]],"Reorder","Okay")</f>
        <v>Okay</v>
      </c>
    </row>
    <row r="1205" spans="1:15" x14ac:dyDescent="0.3">
      <c r="A1205">
        <v>56023</v>
      </c>
      <c r="B1205" t="s">
        <v>11</v>
      </c>
      <c r="C1205" t="s">
        <v>27</v>
      </c>
      <c r="D1205">
        <v>481</v>
      </c>
      <c r="E1205">
        <v>30</v>
      </c>
      <c r="F1205">
        <v>417.3</v>
      </c>
      <c r="G1205" t="s">
        <v>35</v>
      </c>
      <c r="H1205" s="1">
        <v>45518</v>
      </c>
      <c r="I1205" s="1">
        <v>45541</v>
      </c>
      <c r="J1205" t="s">
        <v>37</v>
      </c>
      <c r="K1205" t="b">
        <f>Table1[[#This Row],[CurrentStock]]&lt;Table1[[#This Row],[ReorderLevel]]</f>
        <v>0</v>
      </c>
      <c r="L1205" s="9">
        <f>Table1[[#This Row],[CurrentStock]]*Table1[[#This Row],[UnitPrice]]</f>
        <v>200721.30000000002</v>
      </c>
      <c r="M1205" t="str">
        <f>IF(Table1[[#This Row],[ReorderLevel]]-Table1[[#This Row],[CurrentStock]]&gt;0,Table1[[#This Row],[ReorderLevel]]-Table1[[#This Row],[CurrentStock]],"")</f>
        <v/>
      </c>
      <c r="N1205" t="str">
        <f>IF(Table1[[#This Row],[CurrentStock]]&gt;Table1[[#This Row],[ReorderLevel]]*3,"Over Stock","Okay")</f>
        <v>Over Stock</v>
      </c>
      <c r="O1205" t="str">
        <f>IF(Table1[[#This Row],[CurrentStock]]&lt;Table1[[#This Row],[ReorderLevel]],"Reorder","Okay")</f>
        <v>Okay</v>
      </c>
    </row>
    <row r="1206" spans="1:15" x14ac:dyDescent="0.3">
      <c r="A1206">
        <v>70289</v>
      </c>
      <c r="B1206" t="s">
        <v>10</v>
      </c>
      <c r="C1206" t="s">
        <v>27</v>
      </c>
      <c r="D1206">
        <v>367</v>
      </c>
      <c r="E1206">
        <v>20</v>
      </c>
      <c r="F1206">
        <v>412.71</v>
      </c>
      <c r="G1206" t="s">
        <v>34</v>
      </c>
      <c r="H1206" s="1">
        <v>45635</v>
      </c>
      <c r="I1206" s="1">
        <v>45660</v>
      </c>
      <c r="J1206" t="s">
        <v>37</v>
      </c>
      <c r="K1206" t="b">
        <f>Table1[[#This Row],[CurrentStock]]&lt;Table1[[#This Row],[ReorderLevel]]</f>
        <v>0</v>
      </c>
      <c r="L1206" s="9">
        <f>Table1[[#This Row],[CurrentStock]]*Table1[[#This Row],[UnitPrice]]</f>
        <v>151464.57</v>
      </c>
      <c r="M1206" t="str">
        <f>IF(Table1[[#This Row],[ReorderLevel]]-Table1[[#This Row],[CurrentStock]]&gt;0,Table1[[#This Row],[ReorderLevel]]-Table1[[#This Row],[CurrentStock]],"")</f>
        <v/>
      </c>
      <c r="N1206" t="str">
        <f>IF(Table1[[#This Row],[CurrentStock]]&gt;Table1[[#This Row],[ReorderLevel]]*3,"Over Stock","Okay")</f>
        <v>Over Stock</v>
      </c>
      <c r="O1206" t="str">
        <f>IF(Table1[[#This Row],[CurrentStock]]&lt;Table1[[#This Row],[ReorderLevel]],"Reorder","Okay")</f>
        <v>Okay</v>
      </c>
    </row>
    <row r="1207" spans="1:15" x14ac:dyDescent="0.3">
      <c r="A1207">
        <v>58791</v>
      </c>
      <c r="B1207" t="s">
        <v>11</v>
      </c>
      <c r="C1207" t="s">
        <v>27</v>
      </c>
      <c r="D1207">
        <v>11</v>
      </c>
      <c r="E1207">
        <v>40</v>
      </c>
      <c r="F1207">
        <v>204.89</v>
      </c>
      <c r="G1207" t="s">
        <v>33</v>
      </c>
      <c r="H1207" s="1">
        <v>45535</v>
      </c>
      <c r="I1207" s="1">
        <v>45563</v>
      </c>
      <c r="J1207" t="s">
        <v>38</v>
      </c>
      <c r="K1207" t="b">
        <f>Table1[[#This Row],[CurrentStock]]&lt;Table1[[#This Row],[ReorderLevel]]</f>
        <v>1</v>
      </c>
      <c r="L1207" s="9">
        <f>Table1[[#This Row],[CurrentStock]]*Table1[[#This Row],[UnitPrice]]</f>
        <v>2253.79</v>
      </c>
      <c r="M1207">
        <f>IF(Table1[[#This Row],[ReorderLevel]]-Table1[[#This Row],[CurrentStock]]&gt;0,Table1[[#This Row],[ReorderLevel]]-Table1[[#This Row],[CurrentStock]],"")</f>
        <v>29</v>
      </c>
      <c r="N1207" t="str">
        <f>IF(Table1[[#This Row],[CurrentStock]]&gt;Table1[[#This Row],[ReorderLevel]]*3,"Over Stock","Okay")</f>
        <v>Okay</v>
      </c>
      <c r="O1207" t="str">
        <f>IF(Table1[[#This Row],[CurrentStock]]&lt;Table1[[#This Row],[ReorderLevel]],"Reorder","Okay")</f>
        <v>Reorder</v>
      </c>
    </row>
    <row r="1208" spans="1:15" x14ac:dyDescent="0.3">
      <c r="A1208">
        <v>19032</v>
      </c>
      <c r="B1208" t="s">
        <v>16</v>
      </c>
      <c r="C1208" t="s">
        <v>30</v>
      </c>
      <c r="D1208">
        <v>199</v>
      </c>
      <c r="E1208">
        <v>30</v>
      </c>
      <c r="F1208">
        <v>129.77000000000001</v>
      </c>
      <c r="G1208" t="s">
        <v>34</v>
      </c>
      <c r="H1208" s="1">
        <v>45567</v>
      </c>
      <c r="I1208" s="1">
        <v>45579</v>
      </c>
      <c r="J1208" t="s">
        <v>39</v>
      </c>
      <c r="K1208" t="b">
        <f>Table1[[#This Row],[CurrentStock]]&lt;Table1[[#This Row],[ReorderLevel]]</f>
        <v>0</v>
      </c>
      <c r="L1208" s="9">
        <f>Table1[[#This Row],[CurrentStock]]*Table1[[#This Row],[UnitPrice]]</f>
        <v>25824.230000000003</v>
      </c>
      <c r="M1208" t="str">
        <f>IF(Table1[[#This Row],[ReorderLevel]]-Table1[[#This Row],[CurrentStock]]&gt;0,Table1[[#This Row],[ReorderLevel]]-Table1[[#This Row],[CurrentStock]],"")</f>
        <v/>
      </c>
      <c r="N1208" t="str">
        <f>IF(Table1[[#This Row],[CurrentStock]]&gt;Table1[[#This Row],[ReorderLevel]]*3,"Over Stock","Okay")</f>
        <v>Over Stock</v>
      </c>
      <c r="O1208" t="str">
        <f>IF(Table1[[#This Row],[CurrentStock]]&lt;Table1[[#This Row],[ReorderLevel]],"Reorder","Okay")</f>
        <v>Okay</v>
      </c>
    </row>
    <row r="1209" spans="1:15" x14ac:dyDescent="0.3">
      <c r="A1209">
        <v>98365</v>
      </c>
      <c r="B1209" t="s">
        <v>19</v>
      </c>
      <c r="C1209" t="s">
        <v>28</v>
      </c>
      <c r="D1209">
        <v>7</v>
      </c>
      <c r="E1209">
        <v>80</v>
      </c>
      <c r="F1209">
        <v>297.42</v>
      </c>
      <c r="G1209" t="s">
        <v>33</v>
      </c>
      <c r="H1209" s="1">
        <v>45582</v>
      </c>
      <c r="I1209" s="1">
        <v>45609</v>
      </c>
      <c r="J1209" t="s">
        <v>37</v>
      </c>
      <c r="K1209" t="b">
        <f>Table1[[#This Row],[CurrentStock]]&lt;Table1[[#This Row],[ReorderLevel]]</f>
        <v>1</v>
      </c>
      <c r="L1209" s="9">
        <f>Table1[[#This Row],[CurrentStock]]*Table1[[#This Row],[UnitPrice]]</f>
        <v>2081.94</v>
      </c>
      <c r="M1209">
        <f>IF(Table1[[#This Row],[ReorderLevel]]-Table1[[#This Row],[CurrentStock]]&gt;0,Table1[[#This Row],[ReorderLevel]]-Table1[[#This Row],[CurrentStock]],"")</f>
        <v>73</v>
      </c>
      <c r="N1209" t="str">
        <f>IF(Table1[[#This Row],[CurrentStock]]&gt;Table1[[#This Row],[ReorderLevel]]*3,"Over Stock","Okay")</f>
        <v>Okay</v>
      </c>
      <c r="O1209" t="str">
        <f>IF(Table1[[#This Row],[CurrentStock]]&lt;Table1[[#This Row],[ReorderLevel]],"Reorder","Okay")</f>
        <v>Reorder</v>
      </c>
    </row>
    <row r="1210" spans="1:15" x14ac:dyDescent="0.3">
      <c r="A1210">
        <v>55028</v>
      </c>
      <c r="B1210" t="s">
        <v>20</v>
      </c>
      <c r="C1210" t="s">
        <v>29</v>
      </c>
      <c r="D1210">
        <v>307</v>
      </c>
      <c r="E1210">
        <v>50</v>
      </c>
      <c r="F1210">
        <v>56.4</v>
      </c>
      <c r="G1210" t="s">
        <v>35</v>
      </c>
      <c r="H1210" s="1">
        <v>45358</v>
      </c>
      <c r="I1210" s="1">
        <v>45381</v>
      </c>
      <c r="J1210" t="s">
        <v>39</v>
      </c>
      <c r="K1210" t="b">
        <f>Table1[[#This Row],[CurrentStock]]&lt;Table1[[#This Row],[ReorderLevel]]</f>
        <v>0</v>
      </c>
      <c r="L1210" s="9">
        <f>Table1[[#This Row],[CurrentStock]]*Table1[[#This Row],[UnitPrice]]</f>
        <v>17314.8</v>
      </c>
      <c r="M1210" t="str">
        <f>IF(Table1[[#This Row],[ReorderLevel]]-Table1[[#This Row],[CurrentStock]]&gt;0,Table1[[#This Row],[ReorderLevel]]-Table1[[#This Row],[CurrentStock]],"")</f>
        <v/>
      </c>
      <c r="N1210" t="str">
        <f>IF(Table1[[#This Row],[CurrentStock]]&gt;Table1[[#This Row],[ReorderLevel]]*3,"Over Stock","Okay")</f>
        <v>Over Stock</v>
      </c>
      <c r="O1210" t="str">
        <f>IF(Table1[[#This Row],[CurrentStock]]&lt;Table1[[#This Row],[ReorderLevel]],"Reorder","Okay")</f>
        <v>Okay</v>
      </c>
    </row>
    <row r="1211" spans="1:15" x14ac:dyDescent="0.3">
      <c r="A1211">
        <v>35557</v>
      </c>
      <c r="B1211" t="s">
        <v>22</v>
      </c>
      <c r="C1211" t="s">
        <v>27</v>
      </c>
      <c r="D1211">
        <v>53</v>
      </c>
      <c r="E1211">
        <v>30</v>
      </c>
      <c r="F1211">
        <v>110.61</v>
      </c>
      <c r="G1211" t="s">
        <v>36</v>
      </c>
      <c r="H1211" s="1">
        <v>45393</v>
      </c>
      <c r="I1211" s="1">
        <v>45422</v>
      </c>
      <c r="J1211" t="s">
        <v>39</v>
      </c>
      <c r="K1211" t="b">
        <f>Table1[[#This Row],[CurrentStock]]&lt;Table1[[#This Row],[ReorderLevel]]</f>
        <v>0</v>
      </c>
      <c r="L1211" s="9">
        <f>Table1[[#This Row],[CurrentStock]]*Table1[[#This Row],[UnitPrice]]</f>
        <v>5862.33</v>
      </c>
      <c r="M1211" t="str">
        <f>IF(Table1[[#This Row],[ReorderLevel]]-Table1[[#This Row],[CurrentStock]]&gt;0,Table1[[#This Row],[ReorderLevel]]-Table1[[#This Row],[CurrentStock]],"")</f>
        <v/>
      </c>
      <c r="N1211" t="str">
        <f>IF(Table1[[#This Row],[CurrentStock]]&gt;Table1[[#This Row],[ReorderLevel]]*3,"Over Stock","Okay")</f>
        <v>Okay</v>
      </c>
      <c r="O1211" t="str">
        <f>IF(Table1[[#This Row],[CurrentStock]]&lt;Table1[[#This Row],[ReorderLevel]],"Reorder","Okay")</f>
        <v>Okay</v>
      </c>
    </row>
    <row r="1212" spans="1:15" x14ac:dyDescent="0.3">
      <c r="A1212">
        <v>72028</v>
      </c>
      <c r="B1212" t="s">
        <v>22</v>
      </c>
      <c r="C1212" t="s">
        <v>27</v>
      </c>
      <c r="D1212">
        <v>376</v>
      </c>
      <c r="E1212">
        <v>50</v>
      </c>
      <c r="F1212">
        <v>86.37</v>
      </c>
      <c r="G1212" t="s">
        <v>36</v>
      </c>
      <c r="H1212" s="1">
        <v>45441</v>
      </c>
      <c r="I1212" s="1">
        <v>45466</v>
      </c>
      <c r="J1212" t="s">
        <v>39</v>
      </c>
      <c r="K1212" t="b">
        <f>Table1[[#This Row],[CurrentStock]]&lt;Table1[[#This Row],[ReorderLevel]]</f>
        <v>0</v>
      </c>
      <c r="L1212" s="9">
        <f>Table1[[#This Row],[CurrentStock]]*Table1[[#This Row],[UnitPrice]]</f>
        <v>32475.120000000003</v>
      </c>
      <c r="M1212" t="str">
        <f>IF(Table1[[#This Row],[ReorderLevel]]-Table1[[#This Row],[CurrentStock]]&gt;0,Table1[[#This Row],[ReorderLevel]]-Table1[[#This Row],[CurrentStock]],"")</f>
        <v/>
      </c>
      <c r="N1212" t="str">
        <f>IF(Table1[[#This Row],[CurrentStock]]&gt;Table1[[#This Row],[ReorderLevel]]*3,"Over Stock","Okay")</f>
        <v>Over Stock</v>
      </c>
      <c r="O1212" t="str">
        <f>IF(Table1[[#This Row],[CurrentStock]]&lt;Table1[[#This Row],[ReorderLevel]],"Reorder","Okay")</f>
        <v>Okay</v>
      </c>
    </row>
    <row r="1213" spans="1:15" x14ac:dyDescent="0.3">
      <c r="A1213">
        <v>24859</v>
      </c>
      <c r="B1213" t="s">
        <v>18</v>
      </c>
      <c r="C1213" t="s">
        <v>28</v>
      </c>
      <c r="D1213">
        <v>46</v>
      </c>
      <c r="E1213">
        <v>80</v>
      </c>
      <c r="F1213">
        <v>423.99</v>
      </c>
      <c r="G1213" t="s">
        <v>36</v>
      </c>
      <c r="H1213" s="1">
        <v>45350</v>
      </c>
      <c r="I1213" s="1">
        <v>45376</v>
      </c>
      <c r="J1213" t="s">
        <v>39</v>
      </c>
      <c r="K1213" t="b">
        <f>Table1[[#This Row],[CurrentStock]]&lt;Table1[[#This Row],[ReorderLevel]]</f>
        <v>1</v>
      </c>
      <c r="L1213" s="9">
        <f>Table1[[#This Row],[CurrentStock]]*Table1[[#This Row],[UnitPrice]]</f>
        <v>19503.54</v>
      </c>
      <c r="M1213">
        <f>IF(Table1[[#This Row],[ReorderLevel]]-Table1[[#This Row],[CurrentStock]]&gt;0,Table1[[#This Row],[ReorderLevel]]-Table1[[#This Row],[CurrentStock]],"")</f>
        <v>34</v>
      </c>
      <c r="N1213" t="str">
        <f>IF(Table1[[#This Row],[CurrentStock]]&gt;Table1[[#This Row],[ReorderLevel]]*3,"Over Stock","Okay")</f>
        <v>Okay</v>
      </c>
      <c r="O1213" t="str">
        <f>IF(Table1[[#This Row],[CurrentStock]]&lt;Table1[[#This Row],[ReorderLevel]],"Reorder","Okay")</f>
        <v>Reorder</v>
      </c>
    </row>
    <row r="1214" spans="1:15" x14ac:dyDescent="0.3">
      <c r="A1214">
        <v>51011</v>
      </c>
      <c r="B1214" t="s">
        <v>26</v>
      </c>
      <c r="C1214" t="s">
        <v>30</v>
      </c>
      <c r="D1214">
        <v>173</v>
      </c>
      <c r="E1214">
        <v>100</v>
      </c>
      <c r="F1214">
        <v>172.79</v>
      </c>
      <c r="G1214" t="s">
        <v>34</v>
      </c>
      <c r="H1214" s="1">
        <v>45653</v>
      </c>
      <c r="I1214" s="1">
        <v>45687</v>
      </c>
      <c r="J1214" t="s">
        <v>39</v>
      </c>
      <c r="K1214" t="b">
        <f>Table1[[#This Row],[CurrentStock]]&lt;Table1[[#This Row],[ReorderLevel]]</f>
        <v>0</v>
      </c>
      <c r="L1214" s="9">
        <f>Table1[[#This Row],[CurrentStock]]*Table1[[#This Row],[UnitPrice]]</f>
        <v>29892.67</v>
      </c>
      <c r="M1214" t="str">
        <f>IF(Table1[[#This Row],[ReorderLevel]]-Table1[[#This Row],[CurrentStock]]&gt;0,Table1[[#This Row],[ReorderLevel]]-Table1[[#This Row],[CurrentStock]],"")</f>
        <v/>
      </c>
      <c r="N1214" t="str">
        <f>IF(Table1[[#This Row],[CurrentStock]]&gt;Table1[[#This Row],[ReorderLevel]]*3,"Over Stock","Okay")</f>
        <v>Okay</v>
      </c>
      <c r="O1214" t="str">
        <f>IF(Table1[[#This Row],[CurrentStock]]&lt;Table1[[#This Row],[ReorderLevel]],"Reorder","Okay")</f>
        <v>Okay</v>
      </c>
    </row>
    <row r="1215" spans="1:15" x14ac:dyDescent="0.3">
      <c r="A1215">
        <v>95982</v>
      </c>
      <c r="B1215" t="s">
        <v>26</v>
      </c>
      <c r="C1215" t="s">
        <v>30</v>
      </c>
      <c r="D1215">
        <v>28</v>
      </c>
      <c r="E1215">
        <v>40</v>
      </c>
      <c r="F1215">
        <v>228.88</v>
      </c>
      <c r="G1215" t="s">
        <v>36</v>
      </c>
      <c r="H1215" s="1">
        <v>45570</v>
      </c>
      <c r="I1215" s="1">
        <v>45609</v>
      </c>
      <c r="J1215" t="s">
        <v>38</v>
      </c>
      <c r="K1215" t="b">
        <f>Table1[[#This Row],[CurrentStock]]&lt;Table1[[#This Row],[ReorderLevel]]</f>
        <v>1</v>
      </c>
      <c r="L1215" s="9">
        <f>Table1[[#This Row],[CurrentStock]]*Table1[[#This Row],[UnitPrice]]</f>
        <v>6408.6399999999994</v>
      </c>
      <c r="M1215">
        <f>IF(Table1[[#This Row],[ReorderLevel]]-Table1[[#This Row],[CurrentStock]]&gt;0,Table1[[#This Row],[ReorderLevel]]-Table1[[#This Row],[CurrentStock]],"")</f>
        <v>12</v>
      </c>
      <c r="N1215" t="str">
        <f>IF(Table1[[#This Row],[CurrentStock]]&gt;Table1[[#This Row],[ReorderLevel]]*3,"Over Stock","Okay")</f>
        <v>Okay</v>
      </c>
      <c r="O1215" t="str">
        <f>IF(Table1[[#This Row],[CurrentStock]]&lt;Table1[[#This Row],[ReorderLevel]],"Reorder","Okay")</f>
        <v>Reorder</v>
      </c>
    </row>
    <row r="1216" spans="1:15" x14ac:dyDescent="0.3">
      <c r="A1216">
        <v>19471</v>
      </c>
      <c r="B1216" t="s">
        <v>24</v>
      </c>
      <c r="C1216" t="s">
        <v>31</v>
      </c>
      <c r="D1216">
        <v>15</v>
      </c>
      <c r="E1216">
        <v>20</v>
      </c>
      <c r="F1216">
        <v>257.07</v>
      </c>
      <c r="G1216" t="s">
        <v>34</v>
      </c>
      <c r="H1216" s="1">
        <v>45541</v>
      </c>
      <c r="I1216" s="1">
        <v>45577</v>
      </c>
      <c r="J1216" t="s">
        <v>39</v>
      </c>
      <c r="K1216" t="b">
        <f>Table1[[#This Row],[CurrentStock]]&lt;Table1[[#This Row],[ReorderLevel]]</f>
        <v>1</v>
      </c>
      <c r="L1216" s="9">
        <f>Table1[[#This Row],[CurrentStock]]*Table1[[#This Row],[UnitPrice]]</f>
        <v>3856.0499999999997</v>
      </c>
      <c r="M1216">
        <f>IF(Table1[[#This Row],[ReorderLevel]]-Table1[[#This Row],[CurrentStock]]&gt;0,Table1[[#This Row],[ReorderLevel]]-Table1[[#This Row],[CurrentStock]],"")</f>
        <v>5</v>
      </c>
      <c r="N1216" t="str">
        <f>IF(Table1[[#This Row],[CurrentStock]]&gt;Table1[[#This Row],[ReorderLevel]]*3,"Over Stock","Okay")</f>
        <v>Okay</v>
      </c>
      <c r="O1216" t="str">
        <f>IF(Table1[[#This Row],[CurrentStock]]&lt;Table1[[#This Row],[ReorderLevel]],"Reorder","Okay")</f>
        <v>Reorder</v>
      </c>
    </row>
    <row r="1217" spans="1:15" x14ac:dyDescent="0.3">
      <c r="A1217">
        <v>30229</v>
      </c>
      <c r="B1217" t="s">
        <v>22</v>
      </c>
      <c r="C1217" t="s">
        <v>27</v>
      </c>
      <c r="D1217">
        <v>209</v>
      </c>
      <c r="E1217">
        <v>20</v>
      </c>
      <c r="F1217">
        <v>83.13</v>
      </c>
      <c r="G1217" t="s">
        <v>34</v>
      </c>
      <c r="H1217" s="1">
        <v>45512</v>
      </c>
      <c r="I1217" s="1">
        <v>45535</v>
      </c>
      <c r="J1217" t="s">
        <v>38</v>
      </c>
      <c r="K1217" t="b">
        <f>Table1[[#This Row],[CurrentStock]]&lt;Table1[[#This Row],[ReorderLevel]]</f>
        <v>0</v>
      </c>
      <c r="L1217" s="9">
        <f>Table1[[#This Row],[CurrentStock]]*Table1[[#This Row],[UnitPrice]]</f>
        <v>17374.169999999998</v>
      </c>
      <c r="M1217" t="str">
        <f>IF(Table1[[#This Row],[ReorderLevel]]-Table1[[#This Row],[CurrentStock]]&gt;0,Table1[[#This Row],[ReorderLevel]]-Table1[[#This Row],[CurrentStock]],"")</f>
        <v/>
      </c>
      <c r="N1217" t="str">
        <f>IF(Table1[[#This Row],[CurrentStock]]&gt;Table1[[#This Row],[ReorderLevel]]*3,"Over Stock","Okay")</f>
        <v>Over Stock</v>
      </c>
      <c r="O1217" t="str">
        <f>IF(Table1[[#This Row],[CurrentStock]]&lt;Table1[[#This Row],[ReorderLevel]],"Reorder","Okay")</f>
        <v>Okay</v>
      </c>
    </row>
    <row r="1218" spans="1:15" x14ac:dyDescent="0.3">
      <c r="A1218">
        <v>82571</v>
      </c>
      <c r="B1218" t="s">
        <v>21</v>
      </c>
      <c r="C1218" t="s">
        <v>31</v>
      </c>
      <c r="D1218">
        <v>109</v>
      </c>
      <c r="E1218">
        <v>50</v>
      </c>
      <c r="F1218">
        <v>210.35</v>
      </c>
      <c r="G1218" t="s">
        <v>36</v>
      </c>
      <c r="H1218" s="1">
        <v>45424</v>
      </c>
      <c r="I1218" s="1">
        <v>45462</v>
      </c>
      <c r="J1218" t="s">
        <v>38</v>
      </c>
      <c r="K1218" t="b">
        <f>Table1[[#This Row],[CurrentStock]]&lt;Table1[[#This Row],[ReorderLevel]]</f>
        <v>0</v>
      </c>
      <c r="L1218" s="9">
        <f>Table1[[#This Row],[CurrentStock]]*Table1[[#This Row],[UnitPrice]]</f>
        <v>22928.149999999998</v>
      </c>
      <c r="M1218" t="str">
        <f>IF(Table1[[#This Row],[ReorderLevel]]-Table1[[#This Row],[CurrentStock]]&gt;0,Table1[[#This Row],[ReorderLevel]]-Table1[[#This Row],[CurrentStock]],"")</f>
        <v/>
      </c>
      <c r="N1218" t="str">
        <f>IF(Table1[[#This Row],[CurrentStock]]&gt;Table1[[#This Row],[ReorderLevel]]*3,"Over Stock","Okay")</f>
        <v>Okay</v>
      </c>
      <c r="O1218" t="str">
        <f>IF(Table1[[#This Row],[CurrentStock]]&lt;Table1[[#This Row],[ReorderLevel]],"Reorder","Okay")</f>
        <v>Okay</v>
      </c>
    </row>
    <row r="1219" spans="1:15" x14ac:dyDescent="0.3">
      <c r="A1219">
        <v>13060</v>
      </c>
      <c r="B1219" t="s">
        <v>15</v>
      </c>
      <c r="C1219" t="s">
        <v>29</v>
      </c>
      <c r="D1219">
        <v>77</v>
      </c>
      <c r="E1219">
        <v>50</v>
      </c>
      <c r="F1219">
        <v>329.04</v>
      </c>
      <c r="G1219" t="s">
        <v>34</v>
      </c>
      <c r="H1219" s="1">
        <v>45591</v>
      </c>
      <c r="I1219" s="1">
        <v>45615</v>
      </c>
      <c r="J1219" t="s">
        <v>38</v>
      </c>
      <c r="K1219" t="b">
        <f>Table1[[#This Row],[CurrentStock]]&lt;Table1[[#This Row],[ReorderLevel]]</f>
        <v>0</v>
      </c>
      <c r="L1219" s="9">
        <f>Table1[[#This Row],[CurrentStock]]*Table1[[#This Row],[UnitPrice]]</f>
        <v>25336.080000000002</v>
      </c>
      <c r="M1219" t="str">
        <f>IF(Table1[[#This Row],[ReorderLevel]]-Table1[[#This Row],[CurrentStock]]&gt;0,Table1[[#This Row],[ReorderLevel]]-Table1[[#This Row],[CurrentStock]],"")</f>
        <v/>
      </c>
      <c r="N1219" t="str">
        <f>IF(Table1[[#This Row],[CurrentStock]]&gt;Table1[[#This Row],[ReorderLevel]]*3,"Over Stock","Okay")</f>
        <v>Okay</v>
      </c>
      <c r="O1219" t="str">
        <f>IF(Table1[[#This Row],[CurrentStock]]&lt;Table1[[#This Row],[ReorderLevel]],"Reorder","Okay")</f>
        <v>Okay</v>
      </c>
    </row>
    <row r="1220" spans="1:15" x14ac:dyDescent="0.3">
      <c r="A1220">
        <v>25141</v>
      </c>
      <c r="B1220" t="s">
        <v>13</v>
      </c>
      <c r="C1220" t="s">
        <v>29</v>
      </c>
      <c r="D1220">
        <v>476</v>
      </c>
      <c r="E1220">
        <v>100</v>
      </c>
      <c r="F1220">
        <v>154.24</v>
      </c>
      <c r="G1220" t="s">
        <v>33</v>
      </c>
      <c r="H1220" s="1">
        <v>45507</v>
      </c>
      <c r="I1220" s="1">
        <v>45534</v>
      </c>
      <c r="J1220" t="s">
        <v>38</v>
      </c>
      <c r="K1220" t="b">
        <f>Table1[[#This Row],[CurrentStock]]&lt;Table1[[#This Row],[ReorderLevel]]</f>
        <v>0</v>
      </c>
      <c r="L1220" s="9">
        <f>Table1[[#This Row],[CurrentStock]]*Table1[[#This Row],[UnitPrice]]</f>
        <v>73418.240000000005</v>
      </c>
      <c r="M1220" t="str">
        <f>IF(Table1[[#This Row],[ReorderLevel]]-Table1[[#This Row],[CurrentStock]]&gt;0,Table1[[#This Row],[ReorderLevel]]-Table1[[#This Row],[CurrentStock]],"")</f>
        <v/>
      </c>
      <c r="N1220" t="str">
        <f>IF(Table1[[#This Row],[CurrentStock]]&gt;Table1[[#This Row],[ReorderLevel]]*3,"Over Stock","Okay")</f>
        <v>Over Stock</v>
      </c>
      <c r="O1220" t="str">
        <f>IF(Table1[[#This Row],[CurrentStock]]&lt;Table1[[#This Row],[ReorderLevel]],"Reorder","Okay")</f>
        <v>Okay</v>
      </c>
    </row>
    <row r="1221" spans="1:15" x14ac:dyDescent="0.3">
      <c r="A1221">
        <v>12365</v>
      </c>
      <c r="B1221" t="s">
        <v>26</v>
      </c>
      <c r="C1221" t="s">
        <v>30</v>
      </c>
      <c r="D1221">
        <v>197</v>
      </c>
      <c r="E1221">
        <v>20</v>
      </c>
      <c r="F1221">
        <v>293.79000000000002</v>
      </c>
      <c r="G1221" t="s">
        <v>33</v>
      </c>
      <c r="H1221" s="1">
        <v>45623</v>
      </c>
      <c r="I1221" s="1">
        <v>45654</v>
      </c>
      <c r="J1221" t="s">
        <v>38</v>
      </c>
      <c r="K1221" t="b">
        <f>Table1[[#This Row],[CurrentStock]]&lt;Table1[[#This Row],[ReorderLevel]]</f>
        <v>0</v>
      </c>
      <c r="L1221" s="9">
        <f>Table1[[#This Row],[CurrentStock]]*Table1[[#This Row],[UnitPrice]]</f>
        <v>57876.630000000005</v>
      </c>
      <c r="M1221" t="str">
        <f>IF(Table1[[#This Row],[ReorderLevel]]-Table1[[#This Row],[CurrentStock]]&gt;0,Table1[[#This Row],[ReorderLevel]]-Table1[[#This Row],[CurrentStock]],"")</f>
        <v/>
      </c>
      <c r="N1221" t="str">
        <f>IF(Table1[[#This Row],[CurrentStock]]&gt;Table1[[#This Row],[ReorderLevel]]*3,"Over Stock","Okay")</f>
        <v>Over Stock</v>
      </c>
      <c r="O1221" t="str">
        <f>IF(Table1[[#This Row],[CurrentStock]]&lt;Table1[[#This Row],[ReorderLevel]],"Reorder","Okay")</f>
        <v>Okay</v>
      </c>
    </row>
    <row r="1222" spans="1:15" x14ac:dyDescent="0.3">
      <c r="A1222">
        <v>59396</v>
      </c>
      <c r="B1222" t="s">
        <v>16</v>
      </c>
      <c r="C1222" t="s">
        <v>30</v>
      </c>
      <c r="D1222">
        <v>447</v>
      </c>
      <c r="E1222">
        <v>150</v>
      </c>
      <c r="F1222">
        <v>149.76</v>
      </c>
      <c r="G1222" t="s">
        <v>35</v>
      </c>
      <c r="H1222" s="1">
        <v>45395</v>
      </c>
      <c r="I1222" s="1">
        <v>45429</v>
      </c>
      <c r="J1222" t="s">
        <v>37</v>
      </c>
      <c r="K1222" t="b">
        <f>Table1[[#This Row],[CurrentStock]]&lt;Table1[[#This Row],[ReorderLevel]]</f>
        <v>0</v>
      </c>
      <c r="L1222" s="9">
        <f>Table1[[#This Row],[CurrentStock]]*Table1[[#This Row],[UnitPrice]]</f>
        <v>66942.720000000001</v>
      </c>
      <c r="M1222" t="str">
        <f>IF(Table1[[#This Row],[ReorderLevel]]-Table1[[#This Row],[CurrentStock]]&gt;0,Table1[[#This Row],[ReorderLevel]]-Table1[[#This Row],[CurrentStock]],"")</f>
        <v/>
      </c>
      <c r="N1222" t="str">
        <f>IF(Table1[[#This Row],[CurrentStock]]&gt;Table1[[#This Row],[ReorderLevel]]*3,"Over Stock","Okay")</f>
        <v>Okay</v>
      </c>
      <c r="O1222" t="str">
        <f>IF(Table1[[#This Row],[CurrentStock]]&lt;Table1[[#This Row],[ReorderLevel]],"Reorder","Okay")</f>
        <v>Okay</v>
      </c>
    </row>
    <row r="1223" spans="1:15" x14ac:dyDescent="0.3">
      <c r="A1223">
        <v>11919</v>
      </c>
      <c r="B1223" t="s">
        <v>10</v>
      </c>
      <c r="C1223" t="s">
        <v>27</v>
      </c>
      <c r="D1223">
        <v>417</v>
      </c>
      <c r="E1223">
        <v>50</v>
      </c>
      <c r="F1223">
        <v>124.75</v>
      </c>
      <c r="G1223" t="s">
        <v>34</v>
      </c>
      <c r="H1223" s="1">
        <v>45316</v>
      </c>
      <c r="I1223" s="1">
        <v>45322</v>
      </c>
      <c r="J1223" t="s">
        <v>39</v>
      </c>
      <c r="K1223" t="b">
        <f>Table1[[#This Row],[CurrentStock]]&lt;Table1[[#This Row],[ReorderLevel]]</f>
        <v>0</v>
      </c>
      <c r="L1223" s="9">
        <f>Table1[[#This Row],[CurrentStock]]*Table1[[#This Row],[UnitPrice]]</f>
        <v>52020.75</v>
      </c>
      <c r="M1223" t="str">
        <f>IF(Table1[[#This Row],[ReorderLevel]]-Table1[[#This Row],[CurrentStock]]&gt;0,Table1[[#This Row],[ReorderLevel]]-Table1[[#This Row],[CurrentStock]],"")</f>
        <v/>
      </c>
      <c r="N1223" t="str">
        <f>IF(Table1[[#This Row],[CurrentStock]]&gt;Table1[[#This Row],[ReorderLevel]]*3,"Over Stock","Okay")</f>
        <v>Over Stock</v>
      </c>
      <c r="O1223" t="str">
        <f>IF(Table1[[#This Row],[CurrentStock]]&lt;Table1[[#This Row],[ReorderLevel]],"Reorder","Okay")</f>
        <v>Okay</v>
      </c>
    </row>
    <row r="1224" spans="1:15" x14ac:dyDescent="0.3">
      <c r="A1224">
        <v>93721</v>
      </c>
      <c r="B1224" t="s">
        <v>16</v>
      </c>
      <c r="C1224" t="s">
        <v>30</v>
      </c>
      <c r="D1224">
        <v>169</v>
      </c>
      <c r="E1224">
        <v>30</v>
      </c>
      <c r="F1224">
        <v>496.16</v>
      </c>
      <c r="G1224" t="s">
        <v>36</v>
      </c>
      <c r="H1224" s="1">
        <v>45323</v>
      </c>
      <c r="I1224" s="1">
        <v>45348</v>
      </c>
      <c r="J1224" t="s">
        <v>37</v>
      </c>
      <c r="K1224" t="b">
        <f>Table1[[#This Row],[CurrentStock]]&lt;Table1[[#This Row],[ReorderLevel]]</f>
        <v>0</v>
      </c>
      <c r="L1224" s="9">
        <f>Table1[[#This Row],[CurrentStock]]*Table1[[#This Row],[UnitPrice]]</f>
        <v>83851.040000000008</v>
      </c>
      <c r="M1224" t="str">
        <f>IF(Table1[[#This Row],[ReorderLevel]]-Table1[[#This Row],[CurrentStock]]&gt;0,Table1[[#This Row],[ReorderLevel]]-Table1[[#This Row],[CurrentStock]],"")</f>
        <v/>
      </c>
      <c r="N1224" t="str">
        <f>IF(Table1[[#This Row],[CurrentStock]]&gt;Table1[[#This Row],[ReorderLevel]]*3,"Over Stock","Okay")</f>
        <v>Over Stock</v>
      </c>
      <c r="O1224" t="str">
        <f>IF(Table1[[#This Row],[CurrentStock]]&lt;Table1[[#This Row],[ReorderLevel]],"Reorder","Okay")</f>
        <v>Okay</v>
      </c>
    </row>
    <row r="1225" spans="1:15" x14ac:dyDescent="0.3">
      <c r="A1225">
        <v>43910</v>
      </c>
      <c r="B1225" t="s">
        <v>16</v>
      </c>
      <c r="C1225" t="s">
        <v>30</v>
      </c>
      <c r="D1225">
        <v>144</v>
      </c>
      <c r="E1225">
        <v>20</v>
      </c>
      <c r="F1225">
        <v>460.53</v>
      </c>
      <c r="G1225" t="s">
        <v>36</v>
      </c>
      <c r="H1225" s="1">
        <v>45337</v>
      </c>
      <c r="I1225" s="1">
        <v>45349</v>
      </c>
      <c r="J1225" t="s">
        <v>38</v>
      </c>
      <c r="K1225" t="b">
        <f>Table1[[#This Row],[CurrentStock]]&lt;Table1[[#This Row],[ReorderLevel]]</f>
        <v>0</v>
      </c>
      <c r="L1225" s="9">
        <f>Table1[[#This Row],[CurrentStock]]*Table1[[#This Row],[UnitPrice]]</f>
        <v>66316.319999999992</v>
      </c>
      <c r="M1225" t="str">
        <f>IF(Table1[[#This Row],[ReorderLevel]]-Table1[[#This Row],[CurrentStock]]&gt;0,Table1[[#This Row],[ReorderLevel]]-Table1[[#This Row],[CurrentStock]],"")</f>
        <v/>
      </c>
      <c r="N1225" t="str">
        <f>IF(Table1[[#This Row],[CurrentStock]]&gt;Table1[[#This Row],[ReorderLevel]]*3,"Over Stock","Okay")</f>
        <v>Over Stock</v>
      </c>
      <c r="O1225" t="str">
        <f>IF(Table1[[#This Row],[CurrentStock]]&lt;Table1[[#This Row],[ReorderLevel]],"Reorder","Okay")</f>
        <v>Okay</v>
      </c>
    </row>
    <row r="1226" spans="1:15" x14ac:dyDescent="0.3">
      <c r="A1226">
        <v>80375</v>
      </c>
      <c r="B1226" t="s">
        <v>14</v>
      </c>
      <c r="C1226" t="s">
        <v>27</v>
      </c>
      <c r="D1226">
        <v>232</v>
      </c>
      <c r="E1226">
        <v>100</v>
      </c>
      <c r="F1226">
        <v>255.34</v>
      </c>
      <c r="G1226" t="s">
        <v>34</v>
      </c>
      <c r="H1226" s="1">
        <v>45541</v>
      </c>
      <c r="I1226" s="1">
        <v>45571</v>
      </c>
      <c r="J1226" t="s">
        <v>39</v>
      </c>
      <c r="K1226" t="b">
        <f>Table1[[#This Row],[CurrentStock]]&lt;Table1[[#This Row],[ReorderLevel]]</f>
        <v>0</v>
      </c>
      <c r="L1226" s="9">
        <f>Table1[[#This Row],[CurrentStock]]*Table1[[#This Row],[UnitPrice]]</f>
        <v>59238.879999999997</v>
      </c>
      <c r="M1226" t="str">
        <f>IF(Table1[[#This Row],[ReorderLevel]]-Table1[[#This Row],[CurrentStock]]&gt;0,Table1[[#This Row],[ReorderLevel]]-Table1[[#This Row],[CurrentStock]],"")</f>
        <v/>
      </c>
      <c r="N1226" t="str">
        <f>IF(Table1[[#This Row],[CurrentStock]]&gt;Table1[[#This Row],[ReorderLevel]]*3,"Over Stock","Okay")</f>
        <v>Okay</v>
      </c>
      <c r="O1226" t="str">
        <f>IF(Table1[[#This Row],[CurrentStock]]&lt;Table1[[#This Row],[ReorderLevel]],"Reorder","Okay")</f>
        <v>Okay</v>
      </c>
    </row>
    <row r="1227" spans="1:15" x14ac:dyDescent="0.3">
      <c r="A1227">
        <v>82534</v>
      </c>
      <c r="B1227" t="s">
        <v>15</v>
      </c>
      <c r="C1227" t="s">
        <v>29</v>
      </c>
      <c r="D1227">
        <v>84</v>
      </c>
      <c r="E1227">
        <v>150</v>
      </c>
      <c r="F1227">
        <v>104.41</v>
      </c>
      <c r="G1227" t="s">
        <v>33</v>
      </c>
      <c r="H1227" s="1">
        <v>45319</v>
      </c>
      <c r="I1227" s="1">
        <v>45352</v>
      </c>
      <c r="J1227" t="s">
        <v>38</v>
      </c>
      <c r="K1227" t="b">
        <f>Table1[[#This Row],[CurrentStock]]&lt;Table1[[#This Row],[ReorderLevel]]</f>
        <v>1</v>
      </c>
      <c r="L1227" s="9">
        <f>Table1[[#This Row],[CurrentStock]]*Table1[[#This Row],[UnitPrice]]</f>
        <v>8770.44</v>
      </c>
      <c r="M1227">
        <f>IF(Table1[[#This Row],[ReorderLevel]]-Table1[[#This Row],[CurrentStock]]&gt;0,Table1[[#This Row],[ReorderLevel]]-Table1[[#This Row],[CurrentStock]],"")</f>
        <v>66</v>
      </c>
      <c r="N1227" t="str">
        <f>IF(Table1[[#This Row],[CurrentStock]]&gt;Table1[[#This Row],[ReorderLevel]]*3,"Over Stock","Okay")</f>
        <v>Okay</v>
      </c>
      <c r="O1227" t="str">
        <f>IF(Table1[[#This Row],[CurrentStock]]&lt;Table1[[#This Row],[ReorderLevel]],"Reorder","Okay")</f>
        <v>Reorder</v>
      </c>
    </row>
    <row r="1228" spans="1:15" x14ac:dyDescent="0.3">
      <c r="A1228">
        <v>31818</v>
      </c>
      <c r="B1228" t="s">
        <v>17</v>
      </c>
      <c r="C1228" t="s">
        <v>30</v>
      </c>
      <c r="D1228">
        <v>174</v>
      </c>
      <c r="E1228">
        <v>30</v>
      </c>
      <c r="F1228">
        <v>7.16</v>
      </c>
      <c r="G1228" t="s">
        <v>33</v>
      </c>
      <c r="H1228" s="1">
        <v>45622</v>
      </c>
      <c r="I1228" s="1">
        <v>45637</v>
      </c>
      <c r="J1228" t="s">
        <v>38</v>
      </c>
      <c r="K1228" t="b">
        <f>Table1[[#This Row],[CurrentStock]]&lt;Table1[[#This Row],[ReorderLevel]]</f>
        <v>0</v>
      </c>
      <c r="L1228" s="9">
        <f>Table1[[#This Row],[CurrentStock]]*Table1[[#This Row],[UnitPrice]]</f>
        <v>1245.8399999999999</v>
      </c>
      <c r="M1228" t="str">
        <f>IF(Table1[[#This Row],[ReorderLevel]]-Table1[[#This Row],[CurrentStock]]&gt;0,Table1[[#This Row],[ReorderLevel]]-Table1[[#This Row],[CurrentStock]],"")</f>
        <v/>
      </c>
      <c r="N1228" t="str">
        <f>IF(Table1[[#This Row],[CurrentStock]]&gt;Table1[[#This Row],[ReorderLevel]]*3,"Over Stock","Okay")</f>
        <v>Over Stock</v>
      </c>
      <c r="O1228" t="str">
        <f>IF(Table1[[#This Row],[CurrentStock]]&lt;Table1[[#This Row],[ReorderLevel]],"Reorder","Okay")</f>
        <v>Okay</v>
      </c>
    </row>
    <row r="1229" spans="1:15" x14ac:dyDescent="0.3">
      <c r="A1229">
        <v>57037</v>
      </c>
      <c r="B1229" t="s">
        <v>23</v>
      </c>
      <c r="C1229" t="s">
        <v>30</v>
      </c>
      <c r="D1229">
        <v>112</v>
      </c>
      <c r="E1229">
        <v>80</v>
      </c>
      <c r="F1229">
        <v>224.24</v>
      </c>
      <c r="G1229" t="s">
        <v>34</v>
      </c>
      <c r="H1229" s="1">
        <v>45580</v>
      </c>
      <c r="I1229" s="1">
        <v>45617</v>
      </c>
      <c r="J1229" t="s">
        <v>39</v>
      </c>
      <c r="K1229" t="b">
        <f>Table1[[#This Row],[CurrentStock]]&lt;Table1[[#This Row],[ReorderLevel]]</f>
        <v>0</v>
      </c>
      <c r="L1229" s="9">
        <f>Table1[[#This Row],[CurrentStock]]*Table1[[#This Row],[UnitPrice]]</f>
        <v>25114.880000000001</v>
      </c>
      <c r="M1229" t="str">
        <f>IF(Table1[[#This Row],[ReorderLevel]]-Table1[[#This Row],[CurrentStock]]&gt;0,Table1[[#This Row],[ReorderLevel]]-Table1[[#This Row],[CurrentStock]],"")</f>
        <v/>
      </c>
      <c r="N1229" t="str">
        <f>IF(Table1[[#This Row],[CurrentStock]]&gt;Table1[[#This Row],[ReorderLevel]]*3,"Over Stock","Okay")</f>
        <v>Okay</v>
      </c>
      <c r="O1229" t="str">
        <f>IF(Table1[[#This Row],[CurrentStock]]&lt;Table1[[#This Row],[ReorderLevel]],"Reorder","Okay")</f>
        <v>Okay</v>
      </c>
    </row>
    <row r="1230" spans="1:15" x14ac:dyDescent="0.3">
      <c r="A1230">
        <v>18798</v>
      </c>
      <c r="B1230" t="s">
        <v>10</v>
      </c>
      <c r="C1230" t="s">
        <v>27</v>
      </c>
      <c r="D1230">
        <v>398</v>
      </c>
      <c r="E1230">
        <v>50</v>
      </c>
      <c r="F1230">
        <v>54.33</v>
      </c>
      <c r="G1230" t="s">
        <v>34</v>
      </c>
      <c r="H1230" s="1">
        <v>45487</v>
      </c>
      <c r="I1230" s="1">
        <v>45521</v>
      </c>
      <c r="J1230" t="s">
        <v>38</v>
      </c>
      <c r="K1230" t="b">
        <f>Table1[[#This Row],[CurrentStock]]&lt;Table1[[#This Row],[ReorderLevel]]</f>
        <v>0</v>
      </c>
      <c r="L1230" s="9">
        <f>Table1[[#This Row],[CurrentStock]]*Table1[[#This Row],[UnitPrice]]</f>
        <v>21623.34</v>
      </c>
      <c r="M1230" t="str">
        <f>IF(Table1[[#This Row],[ReorderLevel]]-Table1[[#This Row],[CurrentStock]]&gt;0,Table1[[#This Row],[ReorderLevel]]-Table1[[#This Row],[CurrentStock]],"")</f>
        <v/>
      </c>
      <c r="N1230" t="str">
        <f>IF(Table1[[#This Row],[CurrentStock]]&gt;Table1[[#This Row],[ReorderLevel]]*3,"Over Stock","Okay")</f>
        <v>Over Stock</v>
      </c>
      <c r="O1230" t="str">
        <f>IF(Table1[[#This Row],[CurrentStock]]&lt;Table1[[#This Row],[ReorderLevel]],"Reorder","Okay")</f>
        <v>Okay</v>
      </c>
    </row>
    <row r="1231" spans="1:15" x14ac:dyDescent="0.3">
      <c r="A1231">
        <v>28452</v>
      </c>
      <c r="B1231" t="s">
        <v>10</v>
      </c>
      <c r="C1231" t="s">
        <v>27</v>
      </c>
      <c r="D1231">
        <v>190</v>
      </c>
      <c r="E1231">
        <v>20</v>
      </c>
      <c r="F1231">
        <v>30.68</v>
      </c>
      <c r="G1231" t="s">
        <v>34</v>
      </c>
      <c r="H1231" s="1">
        <v>45452</v>
      </c>
      <c r="I1231" s="1">
        <v>45479</v>
      </c>
      <c r="J1231" t="s">
        <v>37</v>
      </c>
      <c r="K1231" t="b">
        <f>Table1[[#This Row],[CurrentStock]]&lt;Table1[[#This Row],[ReorderLevel]]</f>
        <v>0</v>
      </c>
      <c r="L1231" s="9">
        <f>Table1[[#This Row],[CurrentStock]]*Table1[[#This Row],[UnitPrice]]</f>
        <v>5829.2</v>
      </c>
      <c r="M1231" t="str">
        <f>IF(Table1[[#This Row],[ReorderLevel]]-Table1[[#This Row],[CurrentStock]]&gt;0,Table1[[#This Row],[ReorderLevel]]-Table1[[#This Row],[CurrentStock]],"")</f>
        <v/>
      </c>
      <c r="N1231" t="str">
        <f>IF(Table1[[#This Row],[CurrentStock]]&gt;Table1[[#This Row],[ReorderLevel]]*3,"Over Stock","Okay")</f>
        <v>Over Stock</v>
      </c>
      <c r="O1231" t="str">
        <f>IF(Table1[[#This Row],[CurrentStock]]&lt;Table1[[#This Row],[ReorderLevel]],"Reorder","Okay")</f>
        <v>Okay</v>
      </c>
    </row>
    <row r="1232" spans="1:15" x14ac:dyDescent="0.3">
      <c r="A1232">
        <v>21805</v>
      </c>
      <c r="B1232" t="s">
        <v>24</v>
      </c>
      <c r="C1232" t="s">
        <v>31</v>
      </c>
      <c r="D1232">
        <v>125</v>
      </c>
      <c r="E1232">
        <v>40</v>
      </c>
      <c r="F1232">
        <v>15.15</v>
      </c>
      <c r="G1232" t="s">
        <v>36</v>
      </c>
      <c r="H1232" s="1">
        <v>45339</v>
      </c>
      <c r="I1232" s="1">
        <v>45357</v>
      </c>
      <c r="J1232" t="s">
        <v>37</v>
      </c>
      <c r="K1232" t="b">
        <f>Table1[[#This Row],[CurrentStock]]&lt;Table1[[#This Row],[ReorderLevel]]</f>
        <v>0</v>
      </c>
      <c r="L1232" s="9">
        <f>Table1[[#This Row],[CurrentStock]]*Table1[[#This Row],[UnitPrice]]</f>
        <v>1893.75</v>
      </c>
      <c r="M1232" t="str">
        <f>IF(Table1[[#This Row],[ReorderLevel]]-Table1[[#This Row],[CurrentStock]]&gt;0,Table1[[#This Row],[ReorderLevel]]-Table1[[#This Row],[CurrentStock]],"")</f>
        <v/>
      </c>
      <c r="N1232" t="str">
        <f>IF(Table1[[#This Row],[CurrentStock]]&gt;Table1[[#This Row],[ReorderLevel]]*3,"Over Stock","Okay")</f>
        <v>Over Stock</v>
      </c>
      <c r="O1232" t="str">
        <f>IF(Table1[[#This Row],[CurrentStock]]&lt;Table1[[#This Row],[ReorderLevel]],"Reorder","Okay")</f>
        <v>Okay</v>
      </c>
    </row>
    <row r="1233" spans="1:15" x14ac:dyDescent="0.3">
      <c r="A1233">
        <v>20985</v>
      </c>
      <c r="B1233" t="s">
        <v>21</v>
      </c>
      <c r="C1233" t="s">
        <v>31</v>
      </c>
      <c r="D1233">
        <v>257</v>
      </c>
      <c r="E1233">
        <v>150</v>
      </c>
      <c r="F1233">
        <v>389.59</v>
      </c>
      <c r="G1233" t="s">
        <v>35</v>
      </c>
      <c r="H1233" s="1">
        <v>45561</v>
      </c>
      <c r="I1233" s="1">
        <v>45571</v>
      </c>
      <c r="J1233" t="s">
        <v>37</v>
      </c>
      <c r="K1233" t="b">
        <f>Table1[[#This Row],[CurrentStock]]&lt;Table1[[#This Row],[ReorderLevel]]</f>
        <v>0</v>
      </c>
      <c r="L1233" s="9">
        <f>Table1[[#This Row],[CurrentStock]]*Table1[[#This Row],[UnitPrice]]</f>
        <v>100124.62999999999</v>
      </c>
      <c r="M1233" t="str">
        <f>IF(Table1[[#This Row],[ReorderLevel]]-Table1[[#This Row],[CurrentStock]]&gt;0,Table1[[#This Row],[ReorderLevel]]-Table1[[#This Row],[CurrentStock]],"")</f>
        <v/>
      </c>
      <c r="N1233" t="str">
        <f>IF(Table1[[#This Row],[CurrentStock]]&gt;Table1[[#This Row],[ReorderLevel]]*3,"Over Stock","Okay")</f>
        <v>Okay</v>
      </c>
      <c r="O1233" t="str">
        <f>IF(Table1[[#This Row],[CurrentStock]]&lt;Table1[[#This Row],[ReorderLevel]],"Reorder","Okay")</f>
        <v>Okay</v>
      </c>
    </row>
    <row r="1234" spans="1:15" x14ac:dyDescent="0.3">
      <c r="A1234">
        <v>95818</v>
      </c>
      <c r="B1234" t="s">
        <v>17</v>
      </c>
      <c r="C1234" t="s">
        <v>30</v>
      </c>
      <c r="D1234">
        <v>267</v>
      </c>
      <c r="E1234">
        <v>20</v>
      </c>
      <c r="F1234">
        <v>368.82</v>
      </c>
      <c r="G1234" t="s">
        <v>36</v>
      </c>
      <c r="H1234" s="1">
        <v>45531</v>
      </c>
      <c r="I1234" s="1">
        <v>45560</v>
      </c>
      <c r="J1234" t="s">
        <v>37</v>
      </c>
      <c r="K1234" t="b">
        <f>Table1[[#This Row],[CurrentStock]]&lt;Table1[[#This Row],[ReorderLevel]]</f>
        <v>0</v>
      </c>
      <c r="L1234" s="9">
        <f>Table1[[#This Row],[CurrentStock]]*Table1[[#This Row],[UnitPrice]]</f>
        <v>98474.94</v>
      </c>
      <c r="M1234" t="str">
        <f>IF(Table1[[#This Row],[ReorderLevel]]-Table1[[#This Row],[CurrentStock]]&gt;0,Table1[[#This Row],[ReorderLevel]]-Table1[[#This Row],[CurrentStock]],"")</f>
        <v/>
      </c>
      <c r="N1234" t="str">
        <f>IF(Table1[[#This Row],[CurrentStock]]&gt;Table1[[#This Row],[ReorderLevel]]*3,"Over Stock","Okay")</f>
        <v>Over Stock</v>
      </c>
      <c r="O1234" t="str">
        <f>IF(Table1[[#This Row],[CurrentStock]]&lt;Table1[[#This Row],[ReorderLevel]],"Reorder","Okay")</f>
        <v>Okay</v>
      </c>
    </row>
    <row r="1235" spans="1:15" x14ac:dyDescent="0.3">
      <c r="A1235">
        <v>95782</v>
      </c>
      <c r="B1235" t="s">
        <v>12</v>
      </c>
      <c r="C1235" t="s">
        <v>28</v>
      </c>
      <c r="D1235">
        <v>426</v>
      </c>
      <c r="E1235">
        <v>20</v>
      </c>
      <c r="F1235">
        <v>7.93</v>
      </c>
      <c r="G1235" t="s">
        <v>34</v>
      </c>
      <c r="H1235" s="1">
        <v>45433</v>
      </c>
      <c r="I1235" s="1">
        <v>45443</v>
      </c>
      <c r="J1235" t="s">
        <v>38</v>
      </c>
      <c r="K1235" t="b">
        <f>Table1[[#This Row],[CurrentStock]]&lt;Table1[[#This Row],[ReorderLevel]]</f>
        <v>0</v>
      </c>
      <c r="L1235" s="9">
        <f>Table1[[#This Row],[CurrentStock]]*Table1[[#This Row],[UnitPrice]]</f>
        <v>3378.18</v>
      </c>
      <c r="M1235" t="str">
        <f>IF(Table1[[#This Row],[ReorderLevel]]-Table1[[#This Row],[CurrentStock]]&gt;0,Table1[[#This Row],[ReorderLevel]]-Table1[[#This Row],[CurrentStock]],"")</f>
        <v/>
      </c>
      <c r="N1235" t="str">
        <f>IF(Table1[[#This Row],[CurrentStock]]&gt;Table1[[#This Row],[ReorderLevel]]*3,"Over Stock","Okay")</f>
        <v>Over Stock</v>
      </c>
      <c r="O1235" t="str">
        <f>IF(Table1[[#This Row],[CurrentStock]]&lt;Table1[[#This Row],[ReorderLevel]],"Reorder","Okay")</f>
        <v>Okay</v>
      </c>
    </row>
    <row r="1236" spans="1:15" x14ac:dyDescent="0.3">
      <c r="A1236">
        <v>54732</v>
      </c>
      <c r="B1236" t="s">
        <v>10</v>
      </c>
      <c r="C1236" t="s">
        <v>27</v>
      </c>
      <c r="D1236">
        <v>355</v>
      </c>
      <c r="E1236">
        <v>150</v>
      </c>
      <c r="F1236">
        <v>89.81</v>
      </c>
      <c r="G1236" t="s">
        <v>35</v>
      </c>
      <c r="H1236" s="1">
        <v>45354</v>
      </c>
      <c r="I1236" s="1">
        <v>45366</v>
      </c>
      <c r="J1236" t="s">
        <v>39</v>
      </c>
      <c r="K1236" t="b">
        <f>Table1[[#This Row],[CurrentStock]]&lt;Table1[[#This Row],[ReorderLevel]]</f>
        <v>0</v>
      </c>
      <c r="L1236" s="9">
        <f>Table1[[#This Row],[CurrentStock]]*Table1[[#This Row],[UnitPrice]]</f>
        <v>31882.55</v>
      </c>
      <c r="M1236" t="str">
        <f>IF(Table1[[#This Row],[ReorderLevel]]-Table1[[#This Row],[CurrentStock]]&gt;0,Table1[[#This Row],[ReorderLevel]]-Table1[[#This Row],[CurrentStock]],"")</f>
        <v/>
      </c>
      <c r="N1236" t="str">
        <f>IF(Table1[[#This Row],[CurrentStock]]&gt;Table1[[#This Row],[ReorderLevel]]*3,"Over Stock","Okay")</f>
        <v>Okay</v>
      </c>
      <c r="O1236" t="str">
        <f>IF(Table1[[#This Row],[CurrentStock]]&lt;Table1[[#This Row],[ReorderLevel]],"Reorder","Okay")</f>
        <v>Okay</v>
      </c>
    </row>
    <row r="1237" spans="1:15" x14ac:dyDescent="0.3">
      <c r="A1237">
        <v>82743</v>
      </c>
      <c r="B1237" t="s">
        <v>22</v>
      </c>
      <c r="C1237" t="s">
        <v>27</v>
      </c>
      <c r="D1237">
        <v>227</v>
      </c>
      <c r="E1237">
        <v>50</v>
      </c>
      <c r="F1237">
        <v>61.7</v>
      </c>
      <c r="G1237" t="s">
        <v>36</v>
      </c>
      <c r="H1237" s="1">
        <v>45313</v>
      </c>
      <c r="I1237" s="1">
        <v>45340</v>
      </c>
      <c r="J1237" t="s">
        <v>38</v>
      </c>
      <c r="K1237" t="b">
        <f>Table1[[#This Row],[CurrentStock]]&lt;Table1[[#This Row],[ReorderLevel]]</f>
        <v>0</v>
      </c>
      <c r="L1237" s="9">
        <f>Table1[[#This Row],[CurrentStock]]*Table1[[#This Row],[UnitPrice]]</f>
        <v>14005.900000000001</v>
      </c>
      <c r="M1237" t="str">
        <f>IF(Table1[[#This Row],[ReorderLevel]]-Table1[[#This Row],[CurrentStock]]&gt;0,Table1[[#This Row],[ReorderLevel]]-Table1[[#This Row],[CurrentStock]],"")</f>
        <v/>
      </c>
      <c r="N1237" t="str">
        <f>IF(Table1[[#This Row],[CurrentStock]]&gt;Table1[[#This Row],[ReorderLevel]]*3,"Over Stock","Okay")</f>
        <v>Over Stock</v>
      </c>
      <c r="O1237" t="str">
        <f>IF(Table1[[#This Row],[CurrentStock]]&lt;Table1[[#This Row],[ReorderLevel]],"Reorder","Okay")</f>
        <v>Okay</v>
      </c>
    </row>
    <row r="1238" spans="1:15" x14ac:dyDescent="0.3">
      <c r="A1238">
        <v>46303</v>
      </c>
      <c r="B1238" t="s">
        <v>15</v>
      </c>
      <c r="C1238" t="s">
        <v>29</v>
      </c>
      <c r="D1238">
        <v>132</v>
      </c>
      <c r="E1238">
        <v>150</v>
      </c>
      <c r="F1238">
        <v>493.61</v>
      </c>
      <c r="G1238" t="s">
        <v>36</v>
      </c>
      <c r="H1238" s="1">
        <v>45375</v>
      </c>
      <c r="I1238" s="1">
        <v>45412</v>
      </c>
      <c r="J1238" t="s">
        <v>38</v>
      </c>
      <c r="K1238" t="b">
        <f>Table1[[#This Row],[CurrentStock]]&lt;Table1[[#This Row],[ReorderLevel]]</f>
        <v>1</v>
      </c>
      <c r="L1238" s="9">
        <f>Table1[[#This Row],[CurrentStock]]*Table1[[#This Row],[UnitPrice]]</f>
        <v>65156.520000000004</v>
      </c>
      <c r="M1238">
        <f>IF(Table1[[#This Row],[ReorderLevel]]-Table1[[#This Row],[CurrentStock]]&gt;0,Table1[[#This Row],[ReorderLevel]]-Table1[[#This Row],[CurrentStock]],"")</f>
        <v>18</v>
      </c>
      <c r="N1238" t="str">
        <f>IF(Table1[[#This Row],[CurrentStock]]&gt;Table1[[#This Row],[ReorderLevel]]*3,"Over Stock","Okay")</f>
        <v>Okay</v>
      </c>
      <c r="O1238" t="str">
        <f>IF(Table1[[#This Row],[CurrentStock]]&lt;Table1[[#This Row],[ReorderLevel]],"Reorder","Okay")</f>
        <v>Reorder</v>
      </c>
    </row>
    <row r="1239" spans="1:15" x14ac:dyDescent="0.3">
      <c r="A1239">
        <v>67988</v>
      </c>
      <c r="B1239" t="s">
        <v>25</v>
      </c>
      <c r="C1239" t="s">
        <v>31</v>
      </c>
      <c r="D1239">
        <v>165</v>
      </c>
      <c r="E1239">
        <v>80</v>
      </c>
      <c r="F1239">
        <v>438.18</v>
      </c>
      <c r="G1239" t="s">
        <v>33</v>
      </c>
      <c r="H1239" s="1">
        <v>45517</v>
      </c>
      <c r="I1239" s="1">
        <v>45543</v>
      </c>
      <c r="J1239" t="s">
        <v>39</v>
      </c>
      <c r="K1239" t="b">
        <f>Table1[[#This Row],[CurrentStock]]&lt;Table1[[#This Row],[ReorderLevel]]</f>
        <v>0</v>
      </c>
      <c r="L1239" s="9">
        <f>Table1[[#This Row],[CurrentStock]]*Table1[[#This Row],[UnitPrice]]</f>
        <v>72299.7</v>
      </c>
      <c r="M1239" t="str">
        <f>IF(Table1[[#This Row],[ReorderLevel]]-Table1[[#This Row],[CurrentStock]]&gt;0,Table1[[#This Row],[ReorderLevel]]-Table1[[#This Row],[CurrentStock]],"")</f>
        <v/>
      </c>
      <c r="N1239" t="str">
        <f>IF(Table1[[#This Row],[CurrentStock]]&gt;Table1[[#This Row],[ReorderLevel]]*3,"Over Stock","Okay")</f>
        <v>Okay</v>
      </c>
      <c r="O1239" t="str">
        <f>IF(Table1[[#This Row],[CurrentStock]]&lt;Table1[[#This Row],[ReorderLevel]],"Reorder","Okay")</f>
        <v>Okay</v>
      </c>
    </row>
    <row r="1240" spans="1:15" x14ac:dyDescent="0.3">
      <c r="A1240">
        <v>72040</v>
      </c>
      <c r="B1240" t="s">
        <v>22</v>
      </c>
      <c r="C1240" t="s">
        <v>27</v>
      </c>
      <c r="D1240">
        <v>222</v>
      </c>
      <c r="E1240">
        <v>40</v>
      </c>
      <c r="F1240">
        <v>228.02</v>
      </c>
      <c r="G1240" t="s">
        <v>36</v>
      </c>
      <c r="H1240" s="1">
        <v>45541</v>
      </c>
      <c r="I1240" s="1">
        <v>45570</v>
      </c>
      <c r="J1240" t="s">
        <v>37</v>
      </c>
      <c r="K1240" t="b">
        <f>Table1[[#This Row],[CurrentStock]]&lt;Table1[[#This Row],[ReorderLevel]]</f>
        <v>0</v>
      </c>
      <c r="L1240" s="9">
        <f>Table1[[#This Row],[CurrentStock]]*Table1[[#This Row],[UnitPrice]]</f>
        <v>50620.44</v>
      </c>
      <c r="M1240" t="str">
        <f>IF(Table1[[#This Row],[ReorderLevel]]-Table1[[#This Row],[CurrentStock]]&gt;0,Table1[[#This Row],[ReorderLevel]]-Table1[[#This Row],[CurrentStock]],"")</f>
        <v/>
      </c>
      <c r="N1240" t="str">
        <f>IF(Table1[[#This Row],[CurrentStock]]&gt;Table1[[#This Row],[ReorderLevel]]*3,"Over Stock","Okay")</f>
        <v>Over Stock</v>
      </c>
      <c r="O1240" t="str">
        <f>IF(Table1[[#This Row],[CurrentStock]]&lt;Table1[[#This Row],[ReorderLevel]],"Reorder","Okay")</f>
        <v>Okay</v>
      </c>
    </row>
    <row r="1241" spans="1:15" x14ac:dyDescent="0.3">
      <c r="A1241">
        <v>46572</v>
      </c>
      <c r="B1241" t="s">
        <v>26</v>
      </c>
      <c r="C1241" t="s">
        <v>30</v>
      </c>
      <c r="D1241">
        <v>246</v>
      </c>
      <c r="E1241">
        <v>100</v>
      </c>
      <c r="F1241">
        <v>215.65</v>
      </c>
      <c r="G1241" t="s">
        <v>35</v>
      </c>
      <c r="H1241" s="1">
        <v>45634</v>
      </c>
      <c r="I1241" s="1">
        <v>45642</v>
      </c>
      <c r="J1241" t="s">
        <v>39</v>
      </c>
      <c r="K1241" t="b">
        <f>Table1[[#This Row],[CurrentStock]]&lt;Table1[[#This Row],[ReorderLevel]]</f>
        <v>0</v>
      </c>
      <c r="L1241" s="9">
        <f>Table1[[#This Row],[CurrentStock]]*Table1[[#This Row],[UnitPrice]]</f>
        <v>53049.9</v>
      </c>
      <c r="M1241" t="str">
        <f>IF(Table1[[#This Row],[ReorderLevel]]-Table1[[#This Row],[CurrentStock]]&gt;0,Table1[[#This Row],[ReorderLevel]]-Table1[[#This Row],[CurrentStock]],"")</f>
        <v/>
      </c>
      <c r="N1241" t="str">
        <f>IF(Table1[[#This Row],[CurrentStock]]&gt;Table1[[#This Row],[ReorderLevel]]*3,"Over Stock","Okay")</f>
        <v>Okay</v>
      </c>
      <c r="O1241" t="str">
        <f>IF(Table1[[#This Row],[CurrentStock]]&lt;Table1[[#This Row],[ReorderLevel]],"Reorder","Okay")</f>
        <v>Okay</v>
      </c>
    </row>
    <row r="1242" spans="1:15" x14ac:dyDescent="0.3">
      <c r="A1242">
        <v>19862</v>
      </c>
      <c r="B1242" t="s">
        <v>17</v>
      </c>
      <c r="C1242" t="s">
        <v>30</v>
      </c>
      <c r="D1242">
        <v>288</v>
      </c>
      <c r="E1242">
        <v>20</v>
      </c>
      <c r="F1242">
        <v>348.45</v>
      </c>
      <c r="G1242" t="s">
        <v>34</v>
      </c>
      <c r="H1242" s="1">
        <v>45543</v>
      </c>
      <c r="I1242" s="1">
        <v>45569</v>
      </c>
      <c r="J1242" t="s">
        <v>37</v>
      </c>
      <c r="K1242" t="b">
        <f>Table1[[#This Row],[CurrentStock]]&lt;Table1[[#This Row],[ReorderLevel]]</f>
        <v>0</v>
      </c>
      <c r="L1242" s="9">
        <f>Table1[[#This Row],[CurrentStock]]*Table1[[#This Row],[UnitPrice]]</f>
        <v>100353.59999999999</v>
      </c>
      <c r="M1242" t="str">
        <f>IF(Table1[[#This Row],[ReorderLevel]]-Table1[[#This Row],[CurrentStock]]&gt;0,Table1[[#This Row],[ReorderLevel]]-Table1[[#This Row],[CurrentStock]],"")</f>
        <v/>
      </c>
      <c r="N1242" t="str">
        <f>IF(Table1[[#This Row],[CurrentStock]]&gt;Table1[[#This Row],[ReorderLevel]]*3,"Over Stock","Okay")</f>
        <v>Over Stock</v>
      </c>
      <c r="O1242" t="str">
        <f>IF(Table1[[#This Row],[CurrentStock]]&lt;Table1[[#This Row],[ReorderLevel]],"Reorder","Okay")</f>
        <v>Okay</v>
      </c>
    </row>
    <row r="1243" spans="1:15" x14ac:dyDescent="0.3">
      <c r="A1243">
        <v>29323</v>
      </c>
      <c r="B1243" t="s">
        <v>20</v>
      </c>
      <c r="C1243" t="s">
        <v>29</v>
      </c>
      <c r="D1243">
        <v>216</v>
      </c>
      <c r="E1243">
        <v>30</v>
      </c>
      <c r="F1243">
        <v>278.95</v>
      </c>
      <c r="G1243" t="s">
        <v>32</v>
      </c>
      <c r="H1243" s="1">
        <v>45547</v>
      </c>
      <c r="I1243" s="1">
        <v>45563</v>
      </c>
      <c r="J1243" t="s">
        <v>39</v>
      </c>
      <c r="K1243" t="b">
        <f>Table1[[#This Row],[CurrentStock]]&lt;Table1[[#This Row],[ReorderLevel]]</f>
        <v>0</v>
      </c>
      <c r="L1243" s="9">
        <f>Table1[[#This Row],[CurrentStock]]*Table1[[#This Row],[UnitPrice]]</f>
        <v>60253.2</v>
      </c>
      <c r="M1243" t="str">
        <f>IF(Table1[[#This Row],[ReorderLevel]]-Table1[[#This Row],[CurrentStock]]&gt;0,Table1[[#This Row],[ReorderLevel]]-Table1[[#This Row],[CurrentStock]],"")</f>
        <v/>
      </c>
      <c r="N1243" t="str">
        <f>IF(Table1[[#This Row],[CurrentStock]]&gt;Table1[[#This Row],[ReorderLevel]]*3,"Over Stock","Okay")</f>
        <v>Over Stock</v>
      </c>
      <c r="O1243" t="str">
        <f>IF(Table1[[#This Row],[CurrentStock]]&lt;Table1[[#This Row],[ReorderLevel]],"Reorder","Okay")</f>
        <v>Okay</v>
      </c>
    </row>
    <row r="1244" spans="1:15" x14ac:dyDescent="0.3">
      <c r="A1244">
        <v>33382</v>
      </c>
      <c r="B1244" t="s">
        <v>26</v>
      </c>
      <c r="C1244" t="s">
        <v>30</v>
      </c>
      <c r="D1244">
        <v>418</v>
      </c>
      <c r="E1244">
        <v>20</v>
      </c>
      <c r="F1244">
        <v>322.95</v>
      </c>
      <c r="G1244" t="s">
        <v>34</v>
      </c>
      <c r="H1244" s="1">
        <v>45355</v>
      </c>
      <c r="I1244" s="1">
        <v>45363</v>
      </c>
      <c r="J1244" t="s">
        <v>38</v>
      </c>
      <c r="K1244" t="b">
        <f>Table1[[#This Row],[CurrentStock]]&lt;Table1[[#This Row],[ReorderLevel]]</f>
        <v>0</v>
      </c>
      <c r="L1244" s="9">
        <f>Table1[[#This Row],[CurrentStock]]*Table1[[#This Row],[UnitPrice]]</f>
        <v>134993.1</v>
      </c>
      <c r="M1244" t="str">
        <f>IF(Table1[[#This Row],[ReorderLevel]]-Table1[[#This Row],[CurrentStock]]&gt;0,Table1[[#This Row],[ReorderLevel]]-Table1[[#This Row],[CurrentStock]],"")</f>
        <v/>
      </c>
      <c r="N1244" t="str">
        <f>IF(Table1[[#This Row],[CurrentStock]]&gt;Table1[[#This Row],[ReorderLevel]]*3,"Over Stock","Okay")</f>
        <v>Over Stock</v>
      </c>
      <c r="O1244" t="str">
        <f>IF(Table1[[#This Row],[CurrentStock]]&lt;Table1[[#This Row],[ReorderLevel]],"Reorder","Okay")</f>
        <v>Okay</v>
      </c>
    </row>
    <row r="1245" spans="1:15" x14ac:dyDescent="0.3">
      <c r="A1245">
        <v>26292</v>
      </c>
      <c r="B1245" t="s">
        <v>10</v>
      </c>
      <c r="C1245" t="s">
        <v>27</v>
      </c>
      <c r="D1245">
        <v>340</v>
      </c>
      <c r="E1245">
        <v>80</v>
      </c>
      <c r="F1245">
        <v>488.97</v>
      </c>
      <c r="G1245" t="s">
        <v>33</v>
      </c>
      <c r="H1245" s="1">
        <v>45471</v>
      </c>
      <c r="I1245" s="1">
        <v>45507</v>
      </c>
      <c r="J1245" t="s">
        <v>38</v>
      </c>
      <c r="K1245" t="b">
        <f>Table1[[#This Row],[CurrentStock]]&lt;Table1[[#This Row],[ReorderLevel]]</f>
        <v>0</v>
      </c>
      <c r="L1245" s="9">
        <f>Table1[[#This Row],[CurrentStock]]*Table1[[#This Row],[UnitPrice]]</f>
        <v>166249.80000000002</v>
      </c>
      <c r="M1245" t="str">
        <f>IF(Table1[[#This Row],[ReorderLevel]]-Table1[[#This Row],[CurrentStock]]&gt;0,Table1[[#This Row],[ReorderLevel]]-Table1[[#This Row],[CurrentStock]],"")</f>
        <v/>
      </c>
      <c r="N1245" t="str">
        <f>IF(Table1[[#This Row],[CurrentStock]]&gt;Table1[[#This Row],[ReorderLevel]]*3,"Over Stock","Okay")</f>
        <v>Over Stock</v>
      </c>
      <c r="O1245" t="str">
        <f>IF(Table1[[#This Row],[CurrentStock]]&lt;Table1[[#This Row],[ReorderLevel]],"Reorder","Okay")</f>
        <v>Okay</v>
      </c>
    </row>
    <row r="1246" spans="1:15" x14ac:dyDescent="0.3">
      <c r="A1246">
        <v>59648</v>
      </c>
      <c r="B1246" t="s">
        <v>10</v>
      </c>
      <c r="C1246" t="s">
        <v>27</v>
      </c>
      <c r="D1246">
        <v>368</v>
      </c>
      <c r="E1246">
        <v>20</v>
      </c>
      <c r="F1246">
        <v>426.81</v>
      </c>
      <c r="G1246" t="s">
        <v>35</v>
      </c>
      <c r="H1246" s="1">
        <v>45361</v>
      </c>
      <c r="I1246" s="1">
        <v>45382</v>
      </c>
      <c r="J1246" t="s">
        <v>37</v>
      </c>
      <c r="K1246" t="b">
        <f>Table1[[#This Row],[CurrentStock]]&lt;Table1[[#This Row],[ReorderLevel]]</f>
        <v>0</v>
      </c>
      <c r="L1246" s="9">
        <f>Table1[[#This Row],[CurrentStock]]*Table1[[#This Row],[UnitPrice]]</f>
        <v>157066.07999999999</v>
      </c>
      <c r="M1246" t="str">
        <f>IF(Table1[[#This Row],[ReorderLevel]]-Table1[[#This Row],[CurrentStock]]&gt;0,Table1[[#This Row],[ReorderLevel]]-Table1[[#This Row],[CurrentStock]],"")</f>
        <v/>
      </c>
      <c r="N1246" t="str">
        <f>IF(Table1[[#This Row],[CurrentStock]]&gt;Table1[[#This Row],[ReorderLevel]]*3,"Over Stock","Okay")</f>
        <v>Over Stock</v>
      </c>
      <c r="O1246" t="str">
        <f>IF(Table1[[#This Row],[CurrentStock]]&lt;Table1[[#This Row],[ReorderLevel]],"Reorder","Okay")</f>
        <v>Okay</v>
      </c>
    </row>
    <row r="1247" spans="1:15" x14ac:dyDescent="0.3">
      <c r="A1247">
        <v>32072</v>
      </c>
      <c r="B1247" t="s">
        <v>20</v>
      </c>
      <c r="C1247" t="s">
        <v>29</v>
      </c>
      <c r="D1247">
        <v>214</v>
      </c>
      <c r="E1247">
        <v>20</v>
      </c>
      <c r="F1247">
        <v>146.9</v>
      </c>
      <c r="G1247" t="s">
        <v>32</v>
      </c>
      <c r="H1247" s="1">
        <v>45497</v>
      </c>
      <c r="I1247" s="1">
        <v>45518</v>
      </c>
      <c r="J1247" t="s">
        <v>37</v>
      </c>
      <c r="K1247" t="b">
        <f>Table1[[#This Row],[CurrentStock]]&lt;Table1[[#This Row],[ReorderLevel]]</f>
        <v>0</v>
      </c>
      <c r="L1247" s="9">
        <f>Table1[[#This Row],[CurrentStock]]*Table1[[#This Row],[UnitPrice]]</f>
        <v>31436.600000000002</v>
      </c>
      <c r="M1247" t="str">
        <f>IF(Table1[[#This Row],[ReorderLevel]]-Table1[[#This Row],[CurrentStock]]&gt;0,Table1[[#This Row],[ReorderLevel]]-Table1[[#This Row],[CurrentStock]],"")</f>
        <v/>
      </c>
      <c r="N1247" t="str">
        <f>IF(Table1[[#This Row],[CurrentStock]]&gt;Table1[[#This Row],[ReorderLevel]]*3,"Over Stock","Okay")</f>
        <v>Over Stock</v>
      </c>
      <c r="O1247" t="str">
        <f>IF(Table1[[#This Row],[CurrentStock]]&lt;Table1[[#This Row],[ReorderLevel]],"Reorder","Okay")</f>
        <v>Okay</v>
      </c>
    </row>
    <row r="1248" spans="1:15" x14ac:dyDescent="0.3">
      <c r="A1248">
        <v>28781</v>
      </c>
      <c r="B1248" t="s">
        <v>18</v>
      </c>
      <c r="C1248" t="s">
        <v>28</v>
      </c>
      <c r="D1248">
        <v>493</v>
      </c>
      <c r="E1248">
        <v>40</v>
      </c>
      <c r="F1248">
        <v>386.39</v>
      </c>
      <c r="G1248" t="s">
        <v>32</v>
      </c>
      <c r="H1248" s="1">
        <v>45297</v>
      </c>
      <c r="I1248" s="1">
        <v>45334</v>
      </c>
      <c r="J1248" t="s">
        <v>38</v>
      </c>
      <c r="K1248" t="b">
        <f>Table1[[#This Row],[CurrentStock]]&lt;Table1[[#This Row],[ReorderLevel]]</f>
        <v>0</v>
      </c>
      <c r="L1248" s="9">
        <f>Table1[[#This Row],[CurrentStock]]*Table1[[#This Row],[UnitPrice]]</f>
        <v>190490.27</v>
      </c>
      <c r="M1248" t="str">
        <f>IF(Table1[[#This Row],[ReorderLevel]]-Table1[[#This Row],[CurrentStock]]&gt;0,Table1[[#This Row],[ReorderLevel]]-Table1[[#This Row],[CurrentStock]],"")</f>
        <v/>
      </c>
      <c r="N1248" t="str">
        <f>IF(Table1[[#This Row],[CurrentStock]]&gt;Table1[[#This Row],[ReorderLevel]]*3,"Over Stock","Okay")</f>
        <v>Over Stock</v>
      </c>
      <c r="O1248" t="str">
        <f>IF(Table1[[#This Row],[CurrentStock]]&lt;Table1[[#This Row],[ReorderLevel]],"Reorder","Okay")</f>
        <v>Okay</v>
      </c>
    </row>
    <row r="1249" spans="1:15" x14ac:dyDescent="0.3">
      <c r="A1249">
        <v>43746</v>
      </c>
      <c r="B1249" t="s">
        <v>25</v>
      </c>
      <c r="C1249" t="s">
        <v>31</v>
      </c>
      <c r="D1249">
        <v>402</v>
      </c>
      <c r="E1249">
        <v>40</v>
      </c>
      <c r="F1249">
        <v>60.86</v>
      </c>
      <c r="G1249" t="s">
        <v>33</v>
      </c>
      <c r="H1249" s="1">
        <v>45359</v>
      </c>
      <c r="I1249" s="1">
        <v>45383</v>
      </c>
      <c r="J1249" t="s">
        <v>38</v>
      </c>
      <c r="K1249" t="b">
        <f>Table1[[#This Row],[CurrentStock]]&lt;Table1[[#This Row],[ReorderLevel]]</f>
        <v>0</v>
      </c>
      <c r="L1249" s="9">
        <f>Table1[[#This Row],[CurrentStock]]*Table1[[#This Row],[UnitPrice]]</f>
        <v>24465.72</v>
      </c>
      <c r="M1249" t="str">
        <f>IF(Table1[[#This Row],[ReorderLevel]]-Table1[[#This Row],[CurrentStock]]&gt;0,Table1[[#This Row],[ReorderLevel]]-Table1[[#This Row],[CurrentStock]],"")</f>
        <v/>
      </c>
      <c r="N1249" t="str">
        <f>IF(Table1[[#This Row],[CurrentStock]]&gt;Table1[[#This Row],[ReorderLevel]]*3,"Over Stock","Okay")</f>
        <v>Over Stock</v>
      </c>
      <c r="O1249" t="str">
        <f>IF(Table1[[#This Row],[CurrentStock]]&lt;Table1[[#This Row],[ReorderLevel]],"Reorder","Okay")</f>
        <v>Okay</v>
      </c>
    </row>
    <row r="1250" spans="1:15" x14ac:dyDescent="0.3">
      <c r="A1250">
        <v>76483</v>
      </c>
      <c r="B1250" t="s">
        <v>12</v>
      </c>
      <c r="C1250" t="s">
        <v>28</v>
      </c>
      <c r="D1250">
        <v>195</v>
      </c>
      <c r="E1250">
        <v>100</v>
      </c>
      <c r="F1250">
        <v>187.2</v>
      </c>
      <c r="G1250" t="s">
        <v>33</v>
      </c>
      <c r="H1250" s="1">
        <v>45403</v>
      </c>
      <c r="I1250" s="1">
        <v>45414</v>
      </c>
      <c r="J1250" t="s">
        <v>39</v>
      </c>
      <c r="K1250" t="b">
        <f>Table1[[#This Row],[CurrentStock]]&lt;Table1[[#This Row],[ReorderLevel]]</f>
        <v>0</v>
      </c>
      <c r="L1250" s="9">
        <f>Table1[[#This Row],[CurrentStock]]*Table1[[#This Row],[UnitPrice]]</f>
        <v>36504</v>
      </c>
      <c r="M1250" t="str">
        <f>IF(Table1[[#This Row],[ReorderLevel]]-Table1[[#This Row],[CurrentStock]]&gt;0,Table1[[#This Row],[ReorderLevel]]-Table1[[#This Row],[CurrentStock]],"")</f>
        <v/>
      </c>
      <c r="N1250" t="str">
        <f>IF(Table1[[#This Row],[CurrentStock]]&gt;Table1[[#This Row],[ReorderLevel]]*3,"Over Stock","Okay")</f>
        <v>Okay</v>
      </c>
      <c r="O1250" t="str">
        <f>IF(Table1[[#This Row],[CurrentStock]]&lt;Table1[[#This Row],[ReorderLevel]],"Reorder","Okay")</f>
        <v>Okay</v>
      </c>
    </row>
    <row r="1251" spans="1:15" x14ac:dyDescent="0.3">
      <c r="A1251">
        <v>28677</v>
      </c>
      <c r="B1251" t="s">
        <v>20</v>
      </c>
      <c r="C1251" t="s">
        <v>29</v>
      </c>
      <c r="D1251">
        <v>316</v>
      </c>
      <c r="E1251">
        <v>50</v>
      </c>
      <c r="F1251">
        <v>262.68</v>
      </c>
      <c r="G1251" t="s">
        <v>35</v>
      </c>
      <c r="H1251" s="1">
        <v>45597</v>
      </c>
      <c r="I1251" s="1">
        <v>45617</v>
      </c>
      <c r="J1251" t="s">
        <v>39</v>
      </c>
      <c r="K1251" t="b">
        <f>Table1[[#This Row],[CurrentStock]]&lt;Table1[[#This Row],[ReorderLevel]]</f>
        <v>0</v>
      </c>
      <c r="L1251" s="9">
        <f>Table1[[#This Row],[CurrentStock]]*Table1[[#This Row],[UnitPrice]]</f>
        <v>83006.880000000005</v>
      </c>
      <c r="M1251" t="str">
        <f>IF(Table1[[#This Row],[ReorderLevel]]-Table1[[#This Row],[CurrentStock]]&gt;0,Table1[[#This Row],[ReorderLevel]]-Table1[[#This Row],[CurrentStock]],"")</f>
        <v/>
      </c>
      <c r="N1251" t="str">
        <f>IF(Table1[[#This Row],[CurrentStock]]&gt;Table1[[#This Row],[ReorderLevel]]*3,"Over Stock","Okay")</f>
        <v>Over Stock</v>
      </c>
      <c r="O1251" t="str">
        <f>IF(Table1[[#This Row],[CurrentStock]]&lt;Table1[[#This Row],[ReorderLevel]],"Reorder","Okay")</f>
        <v>Okay</v>
      </c>
    </row>
    <row r="1252" spans="1:15" x14ac:dyDescent="0.3">
      <c r="A1252">
        <v>59323</v>
      </c>
      <c r="B1252" t="s">
        <v>17</v>
      </c>
      <c r="C1252" t="s">
        <v>30</v>
      </c>
      <c r="D1252">
        <v>9</v>
      </c>
      <c r="E1252">
        <v>20</v>
      </c>
      <c r="F1252">
        <v>76.92</v>
      </c>
      <c r="G1252" t="s">
        <v>35</v>
      </c>
      <c r="H1252" s="1">
        <v>45555</v>
      </c>
      <c r="I1252" s="1">
        <v>45580</v>
      </c>
      <c r="J1252" t="s">
        <v>38</v>
      </c>
      <c r="K1252" t="b">
        <f>Table1[[#This Row],[CurrentStock]]&lt;Table1[[#This Row],[ReorderLevel]]</f>
        <v>1</v>
      </c>
      <c r="L1252" s="9">
        <f>Table1[[#This Row],[CurrentStock]]*Table1[[#This Row],[UnitPrice]]</f>
        <v>692.28</v>
      </c>
      <c r="M1252">
        <f>IF(Table1[[#This Row],[ReorderLevel]]-Table1[[#This Row],[CurrentStock]]&gt;0,Table1[[#This Row],[ReorderLevel]]-Table1[[#This Row],[CurrentStock]],"")</f>
        <v>11</v>
      </c>
      <c r="N1252" t="str">
        <f>IF(Table1[[#This Row],[CurrentStock]]&gt;Table1[[#This Row],[ReorderLevel]]*3,"Over Stock","Okay")</f>
        <v>Okay</v>
      </c>
      <c r="O1252" t="str">
        <f>IF(Table1[[#This Row],[CurrentStock]]&lt;Table1[[#This Row],[ReorderLevel]],"Reorder","Okay")</f>
        <v>Reorder</v>
      </c>
    </row>
    <row r="1253" spans="1:15" x14ac:dyDescent="0.3">
      <c r="A1253">
        <v>76697</v>
      </c>
      <c r="B1253" t="s">
        <v>24</v>
      </c>
      <c r="C1253" t="s">
        <v>31</v>
      </c>
      <c r="D1253">
        <v>349</v>
      </c>
      <c r="E1253">
        <v>50</v>
      </c>
      <c r="F1253">
        <v>476.8</v>
      </c>
      <c r="G1253" t="s">
        <v>32</v>
      </c>
      <c r="H1253" s="1">
        <v>45325</v>
      </c>
      <c r="I1253" s="1">
        <v>45337</v>
      </c>
      <c r="J1253" t="s">
        <v>39</v>
      </c>
      <c r="K1253" t="b">
        <f>Table1[[#This Row],[CurrentStock]]&lt;Table1[[#This Row],[ReorderLevel]]</f>
        <v>0</v>
      </c>
      <c r="L1253" s="9">
        <f>Table1[[#This Row],[CurrentStock]]*Table1[[#This Row],[UnitPrice]]</f>
        <v>166403.20000000001</v>
      </c>
      <c r="M1253" t="str">
        <f>IF(Table1[[#This Row],[ReorderLevel]]-Table1[[#This Row],[CurrentStock]]&gt;0,Table1[[#This Row],[ReorderLevel]]-Table1[[#This Row],[CurrentStock]],"")</f>
        <v/>
      </c>
      <c r="N1253" t="str">
        <f>IF(Table1[[#This Row],[CurrentStock]]&gt;Table1[[#This Row],[ReorderLevel]]*3,"Over Stock","Okay")</f>
        <v>Over Stock</v>
      </c>
      <c r="O1253" t="str">
        <f>IF(Table1[[#This Row],[CurrentStock]]&lt;Table1[[#This Row],[ReorderLevel]],"Reorder","Okay")</f>
        <v>Okay</v>
      </c>
    </row>
    <row r="1254" spans="1:15" x14ac:dyDescent="0.3">
      <c r="A1254">
        <v>68150</v>
      </c>
      <c r="B1254" t="s">
        <v>18</v>
      </c>
      <c r="C1254" t="s">
        <v>28</v>
      </c>
      <c r="D1254">
        <v>401</v>
      </c>
      <c r="E1254">
        <v>100</v>
      </c>
      <c r="F1254">
        <v>357.01</v>
      </c>
      <c r="G1254" t="s">
        <v>36</v>
      </c>
      <c r="H1254" s="1">
        <v>45337</v>
      </c>
      <c r="I1254" s="1">
        <v>45364</v>
      </c>
      <c r="J1254" t="s">
        <v>38</v>
      </c>
      <c r="K1254" t="b">
        <f>Table1[[#This Row],[CurrentStock]]&lt;Table1[[#This Row],[ReorderLevel]]</f>
        <v>0</v>
      </c>
      <c r="L1254" s="9">
        <f>Table1[[#This Row],[CurrentStock]]*Table1[[#This Row],[UnitPrice]]</f>
        <v>143161.01</v>
      </c>
      <c r="M1254" t="str">
        <f>IF(Table1[[#This Row],[ReorderLevel]]-Table1[[#This Row],[CurrentStock]]&gt;0,Table1[[#This Row],[ReorderLevel]]-Table1[[#This Row],[CurrentStock]],"")</f>
        <v/>
      </c>
      <c r="N1254" t="str">
        <f>IF(Table1[[#This Row],[CurrentStock]]&gt;Table1[[#This Row],[ReorderLevel]]*3,"Over Stock","Okay")</f>
        <v>Over Stock</v>
      </c>
      <c r="O1254" t="str">
        <f>IF(Table1[[#This Row],[CurrentStock]]&lt;Table1[[#This Row],[ReorderLevel]],"Reorder","Okay")</f>
        <v>Okay</v>
      </c>
    </row>
    <row r="1255" spans="1:15" x14ac:dyDescent="0.3">
      <c r="A1255">
        <v>15594</v>
      </c>
      <c r="B1255" t="s">
        <v>11</v>
      </c>
      <c r="C1255" t="s">
        <v>27</v>
      </c>
      <c r="D1255">
        <v>15</v>
      </c>
      <c r="E1255">
        <v>150</v>
      </c>
      <c r="F1255">
        <v>413.22</v>
      </c>
      <c r="G1255" t="s">
        <v>36</v>
      </c>
      <c r="H1255" s="1">
        <v>45432</v>
      </c>
      <c r="I1255" s="1">
        <v>45445</v>
      </c>
      <c r="J1255" t="s">
        <v>37</v>
      </c>
      <c r="K1255" t="b">
        <f>Table1[[#This Row],[CurrentStock]]&lt;Table1[[#This Row],[ReorderLevel]]</f>
        <v>1</v>
      </c>
      <c r="L1255" s="9">
        <f>Table1[[#This Row],[CurrentStock]]*Table1[[#This Row],[UnitPrice]]</f>
        <v>6198.3</v>
      </c>
      <c r="M1255">
        <f>IF(Table1[[#This Row],[ReorderLevel]]-Table1[[#This Row],[CurrentStock]]&gt;0,Table1[[#This Row],[ReorderLevel]]-Table1[[#This Row],[CurrentStock]],"")</f>
        <v>135</v>
      </c>
      <c r="N1255" t="str">
        <f>IF(Table1[[#This Row],[CurrentStock]]&gt;Table1[[#This Row],[ReorderLevel]]*3,"Over Stock","Okay")</f>
        <v>Okay</v>
      </c>
      <c r="O1255" t="str">
        <f>IF(Table1[[#This Row],[CurrentStock]]&lt;Table1[[#This Row],[ReorderLevel]],"Reorder","Okay")</f>
        <v>Reorder</v>
      </c>
    </row>
    <row r="1256" spans="1:15" x14ac:dyDescent="0.3">
      <c r="A1256">
        <v>56798</v>
      </c>
      <c r="B1256" t="s">
        <v>15</v>
      </c>
      <c r="C1256" t="s">
        <v>29</v>
      </c>
      <c r="D1256">
        <v>370</v>
      </c>
      <c r="E1256">
        <v>150</v>
      </c>
      <c r="F1256">
        <v>360.63</v>
      </c>
      <c r="G1256" t="s">
        <v>35</v>
      </c>
      <c r="H1256" s="1">
        <v>45559</v>
      </c>
      <c r="I1256" s="1">
        <v>45586</v>
      </c>
      <c r="J1256" t="s">
        <v>37</v>
      </c>
      <c r="K1256" t="b">
        <f>Table1[[#This Row],[CurrentStock]]&lt;Table1[[#This Row],[ReorderLevel]]</f>
        <v>0</v>
      </c>
      <c r="L1256" s="9">
        <f>Table1[[#This Row],[CurrentStock]]*Table1[[#This Row],[UnitPrice]]</f>
        <v>133433.1</v>
      </c>
      <c r="M1256" t="str">
        <f>IF(Table1[[#This Row],[ReorderLevel]]-Table1[[#This Row],[CurrentStock]]&gt;0,Table1[[#This Row],[ReorderLevel]]-Table1[[#This Row],[CurrentStock]],"")</f>
        <v/>
      </c>
      <c r="N1256" t="str">
        <f>IF(Table1[[#This Row],[CurrentStock]]&gt;Table1[[#This Row],[ReorderLevel]]*3,"Over Stock","Okay")</f>
        <v>Okay</v>
      </c>
      <c r="O1256" t="str">
        <f>IF(Table1[[#This Row],[CurrentStock]]&lt;Table1[[#This Row],[ReorderLevel]],"Reorder","Okay")</f>
        <v>Okay</v>
      </c>
    </row>
    <row r="1257" spans="1:15" x14ac:dyDescent="0.3">
      <c r="A1257">
        <v>63365</v>
      </c>
      <c r="B1257" t="s">
        <v>16</v>
      </c>
      <c r="C1257" t="s">
        <v>30</v>
      </c>
      <c r="D1257">
        <v>357</v>
      </c>
      <c r="E1257">
        <v>80</v>
      </c>
      <c r="F1257">
        <v>168.74</v>
      </c>
      <c r="G1257" t="s">
        <v>36</v>
      </c>
      <c r="H1257" s="1">
        <v>45484</v>
      </c>
      <c r="I1257" s="1">
        <v>45493</v>
      </c>
      <c r="J1257" t="s">
        <v>38</v>
      </c>
      <c r="K1257" t="b">
        <f>Table1[[#This Row],[CurrentStock]]&lt;Table1[[#This Row],[ReorderLevel]]</f>
        <v>0</v>
      </c>
      <c r="L1257" s="9">
        <f>Table1[[#This Row],[CurrentStock]]*Table1[[#This Row],[UnitPrice]]</f>
        <v>60240.18</v>
      </c>
      <c r="M1257" t="str">
        <f>IF(Table1[[#This Row],[ReorderLevel]]-Table1[[#This Row],[CurrentStock]]&gt;0,Table1[[#This Row],[ReorderLevel]]-Table1[[#This Row],[CurrentStock]],"")</f>
        <v/>
      </c>
      <c r="N1257" t="str">
        <f>IF(Table1[[#This Row],[CurrentStock]]&gt;Table1[[#This Row],[ReorderLevel]]*3,"Over Stock","Okay")</f>
        <v>Over Stock</v>
      </c>
      <c r="O1257" t="str">
        <f>IF(Table1[[#This Row],[CurrentStock]]&lt;Table1[[#This Row],[ReorderLevel]],"Reorder","Okay")</f>
        <v>Okay</v>
      </c>
    </row>
    <row r="1258" spans="1:15" x14ac:dyDescent="0.3">
      <c r="A1258">
        <v>78247</v>
      </c>
      <c r="B1258" t="s">
        <v>17</v>
      </c>
      <c r="C1258" t="s">
        <v>30</v>
      </c>
      <c r="D1258">
        <v>127</v>
      </c>
      <c r="E1258">
        <v>50</v>
      </c>
      <c r="F1258">
        <v>40.159999999999997</v>
      </c>
      <c r="G1258" t="s">
        <v>36</v>
      </c>
      <c r="H1258" s="1">
        <v>45601</v>
      </c>
      <c r="I1258" s="1">
        <v>45615</v>
      </c>
      <c r="J1258" t="s">
        <v>37</v>
      </c>
      <c r="K1258" t="b">
        <f>Table1[[#This Row],[CurrentStock]]&lt;Table1[[#This Row],[ReorderLevel]]</f>
        <v>0</v>
      </c>
      <c r="L1258" s="9">
        <f>Table1[[#This Row],[CurrentStock]]*Table1[[#This Row],[UnitPrice]]</f>
        <v>5100.32</v>
      </c>
      <c r="M1258" t="str">
        <f>IF(Table1[[#This Row],[ReorderLevel]]-Table1[[#This Row],[CurrentStock]]&gt;0,Table1[[#This Row],[ReorderLevel]]-Table1[[#This Row],[CurrentStock]],"")</f>
        <v/>
      </c>
      <c r="N1258" t="str">
        <f>IF(Table1[[#This Row],[CurrentStock]]&gt;Table1[[#This Row],[ReorderLevel]]*3,"Over Stock","Okay")</f>
        <v>Okay</v>
      </c>
      <c r="O1258" t="str">
        <f>IF(Table1[[#This Row],[CurrentStock]]&lt;Table1[[#This Row],[ReorderLevel]],"Reorder","Okay")</f>
        <v>Okay</v>
      </c>
    </row>
    <row r="1259" spans="1:15" x14ac:dyDescent="0.3">
      <c r="A1259">
        <v>96135</v>
      </c>
      <c r="B1259" t="s">
        <v>11</v>
      </c>
      <c r="C1259" t="s">
        <v>27</v>
      </c>
      <c r="D1259">
        <v>56</v>
      </c>
      <c r="E1259">
        <v>40</v>
      </c>
      <c r="F1259">
        <v>408.08</v>
      </c>
      <c r="G1259" t="s">
        <v>34</v>
      </c>
      <c r="H1259" s="1">
        <v>45441</v>
      </c>
      <c r="I1259" s="1">
        <v>45449</v>
      </c>
      <c r="J1259" t="s">
        <v>38</v>
      </c>
      <c r="K1259" t="b">
        <f>Table1[[#This Row],[CurrentStock]]&lt;Table1[[#This Row],[ReorderLevel]]</f>
        <v>0</v>
      </c>
      <c r="L1259" s="9">
        <f>Table1[[#This Row],[CurrentStock]]*Table1[[#This Row],[UnitPrice]]</f>
        <v>22852.48</v>
      </c>
      <c r="M1259" t="str">
        <f>IF(Table1[[#This Row],[ReorderLevel]]-Table1[[#This Row],[CurrentStock]]&gt;0,Table1[[#This Row],[ReorderLevel]]-Table1[[#This Row],[CurrentStock]],"")</f>
        <v/>
      </c>
      <c r="N1259" t="str">
        <f>IF(Table1[[#This Row],[CurrentStock]]&gt;Table1[[#This Row],[ReorderLevel]]*3,"Over Stock","Okay")</f>
        <v>Okay</v>
      </c>
      <c r="O1259" t="str">
        <f>IF(Table1[[#This Row],[CurrentStock]]&lt;Table1[[#This Row],[ReorderLevel]],"Reorder","Okay")</f>
        <v>Okay</v>
      </c>
    </row>
    <row r="1260" spans="1:15" x14ac:dyDescent="0.3">
      <c r="A1260">
        <v>62800</v>
      </c>
      <c r="B1260" t="s">
        <v>13</v>
      </c>
      <c r="C1260" t="s">
        <v>29</v>
      </c>
      <c r="D1260">
        <v>297</v>
      </c>
      <c r="E1260">
        <v>150</v>
      </c>
      <c r="F1260">
        <v>72.03</v>
      </c>
      <c r="G1260" t="s">
        <v>36</v>
      </c>
      <c r="H1260" s="1">
        <v>45293</v>
      </c>
      <c r="I1260" s="1">
        <v>45321</v>
      </c>
      <c r="J1260" t="s">
        <v>37</v>
      </c>
      <c r="K1260" t="b">
        <f>Table1[[#This Row],[CurrentStock]]&lt;Table1[[#This Row],[ReorderLevel]]</f>
        <v>0</v>
      </c>
      <c r="L1260" s="9">
        <f>Table1[[#This Row],[CurrentStock]]*Table1[[#This Row],[UnitPrice]]</f>
        <v>21392.91</v>
      </c>
      <c r="M1260" t="str">
        <f>IF(Table1[[#This Row],[ReorderLevel]]-Table1[[#This Row],[CurrentStock]]&gt;0,Table1[[#This Row],[ReorderLevel]]-Table1[[#This Row],[CurrentStock]],"")</f>
        <v/>
      </c>
      <c r="N1260" t="str">
        <f>IF(Table1[[#This Row],[CurrentStock]]&gt;Table1[[#This Row],[ReorderLevel]]*3,"Over Stock","Okay")</f>
        <v>Okay</v>
      </c>
      <c r="O1260" t="str">
        <f>IF(Table1[[#This Row],[CurrentStock]]&lt;Table1[[#This Row],[ReorderLevel]],"Reorder","Okay")</f>
        <v>Okay</v>
      </c>
    </row>
    <row r="1261" spans="1:15" x14ac:dyDescent="0.3">
      <c r="A1261">
        <v>63871</v>
      </c>
      <c r="B1261" t="s">
        <v>17</v>
      </c>
      <c r="C1261" t="s">
        <v>30</v>
      </c>
      <c r="D1261">
        <v>246</v>
      </c>
      <c r="E1261">
        <v>30</v>
      </c>
      <c r="F1261">
        <v>266.25</v>
      </c>
      <c r="G1261" t="s">
        <v>35</v>
      </c>
      <c r="H1261" s="1">
        <v>45394</v>
      </c>
      <c r="I1261" s="1">
        <v>45401</v>
      </c>
      <c r="J1261" t="s">
        <v>38</v>
      </c>
      <c r="K1261" t="b">
        <f>Table1[[#This Row],[CurrentStock]]&lt;Table1[[#This Row],[ReorderLevel]]</f>
        <v>0</v>
      </c>
      <c r="L1261" s="9">
        <f>Table1[[#This Row],[CurrentStock]]*Table1[[#This Row],[UnitPrice]]</f>
        <v>65497.5</v>
      </c>
      <c r="M1261" t="str">
        <f>IF(Table1[[#This Row],[ReorderLevel]]-Table1[[#This Row],[CurrentStock]]&gt;0,Table1[[#This Row],[ReorderLevel]]-Table1[[#This Row],[CurrentStock]],"")</f>
        <v/>
      </c>
      <c r="N1261" t="str">
        <f>IF(Table1[[#This Row],[CurrentStock]]&gt;Table1[[#This Row],[ReorderLevel]]*3,"Over Stock","Okay")</f>
        <v>Over Stock</v>
      </c>
      <c r="O1261" t="str">
        <f>IF(Table1[[#This Row],[CurrentStock]]&lt;Table1[[#This Row],[ReorderLevel]],"Reorder","Okay")</f>
        <v>Okay</v>
      </c>
    </row>
    <row r="1262" spans="1:15" x14ac:dyDescent="0.3">
      <c r="A1262">
        <v>65773</v>
      </c>
      <c r="B1262" t="s">
        <v>22</v>
      </c>
      <c r="C1262" t="s">
        <v>27</v>
      </c>
      <c r="D1262">
        <v>442</v>
      </c>
      <c r="E1262">
        <v>150</v>
      </c>
      <c r="F1262">
        <v>431.77</v>
      </c>
      <c r="G1262" t="s">
        <v>35</v>
      </c>
      <c r="H1262" s="1">
        <v>45549</v>
      </c>
      <c r="I1262" s="1">
        <v>45583</v>
      </c>
      <c r="J1262" t="s">
        <v>38</v>
      </c>
      <c r="K1262" t="b">
        <f>Table1[[#This Row],[CurrentStock]]&lt;Table1[[#This Row],[ReorderLevel]]</f>
        <v>0</v>
      </c>
      <c r="L1262" s="9">
        <f>Table1[[#This Row],[CurrentStock]]*Table1[[#This Row],[UnitPrice]]</f>
        <v>190842.34</v>
      </c>
      <c r="M1262" t="str">
        <f>IF(Table1[[#This Row],[ReorderLevel]]-Table1[[#This Row],[CurrentStock]]&gt;0,Table1[[#This Row],[ReorderLevel]]-Table1[[#This Row],[CurrentStock]],"")</f>
        <v/>
      </c>
      <c r="N1262" t="str">
        <f>IF(Table1[[#This Row],[CurrentStock]]&gt;Table1[[#This Row],[ReorderLevel]]*3,"Over Stock","Okay")</f>
        <v>Okay</v>
      </c>
      <c r="O1262" t="str">
        <f>IF(Table1[[#This Row],[CurrentStock]]&lt;Table1[[#This Row],[ReorderLevel]],"Reorder","Okay")</f>
        <v>Okay</v>
      </c>
    </row>
    <row r="1263" spans="1:15" x14ac:dyDescent="0.3">
      <c r="A1263">
        <v>86816</v>
      </c>
      <c r="B1263" t="s">
        <v>17</v>
      </c>
      <c r="C1263" t="s">
        <v>30</v>
      </c>
      <c r="D1263">
        <v>448</v>
      </c>
      <c r="E1263">
        <v>100</v>
      </c>
      <c r="F1263">
        <v>481.07</v>
      </c>
      <c r="G1263" t="s">
        <v>34</v>
      </c>
      <c r="H1263" s="1">
        <v>45429</v>
      </c>
      <c r="I1263" s="1">
        <v>45459</v>
      </c>
      <c r="J1263" t="s">
        <v>37</v>
      </c>
      <c r="K1263" t="b">
        <f>Table1[[#This Row],[CurrentStock]]&lt;Table1[[#This Row],[ReorderLevel]]</f>
        <v>0</v>
      </c>
      <c r="L1263" s="9">
        <f>Table1[[#This Row],[CurrentStock]]*Table1[[#This Row],[UnitPrice]]</f>
        <v>215519.35999999999</v>
      </c>
      <c r="M1263" t="str">
        <f>IF(Table1[[#This Row],[ReorderLevel]]-Table1[[#This Row],[CurrentStock]]&gt;0,Table1[[#This Row],[ReorderLevel]]-Table1[[#This Row],[CurrentStock]],"")</f>
        <v/>
      </c>
      <c r="N1263" t="str">
        <f>IF(Table1[[#This Row],[CurrentStock]]&gt;Table1[[#This Row],[ReorderLevel]]*3,"Over Stock","Okay")</f>
        <v>Over Stock</v>
      </c>
      <c r="O1263" t="str">
        <f>IF(Table1[[#This Row],[CurrentStock]]&lt;Table1[[#This Row],[ReorderLevel]],"Reorder","Okay")</f>
        <v>Okay</v>
      </c>
    </row>
    <row r="1264" spans="1:15" x14ac:dyDescent="0.3">
      <c r="A1264">
        <v>60870</v>
      </c>
      <c r="B1264" t="s">
        <v>22</v>
      </c>
      <c r="C1264" t="s">
        <v>27</v>
      </c>
      <c r="D1264">
        <v>429</v>
      </c>
      <c r="E1264">
        <v>50</v>
      </c>
      <c r="F1264">
        <v>129.88</v>
      </c>
      <c r="G1264" t="s">
        <v>33</v>
      </c>
      <c r="H1264" s="1">
        <v>45388</v>
      </c>
      <c r="I1264" s="1">
        <v>45418</v>
      </c>
      <c r="J1264" t="s">
        <v>37</v>
      </c>
      <c r="K1264" t="b">
        <f>Table1[[#This Row],[CurrentStock]]&lt;Table1[[#This Row],[ReorderLevel]]</f>
        <v>0</v>
      </c>
      <c r="L1264" s="9">
        <f>Table1[[#This Row],[CurrentStock]]*Table1[[#This Row],[UnitPrice]]</f>
        <v>55718.52</v>
      </c>
      <c r="M1264" t="str">
        <f>IF(Table1[[#This Row],[ReorderLevel]]-Table1[[#This Row],[CurrentStock]]&gt;0,Table1[[#This Row],[ReorderLevel]]-Table1[[#This Row],[CurrentStock]],"")</f>
        <v/>
      </c>
      <c r="N1264" t="str">
        <f>IF(Table1[[#This Row],[CurrentStock]]&gt;Table1[[#This Row],[ReorderLevel]]*3,"Over Stock","Okay")</f>
        <v>Over Stock</v>
      </c>
      <c r="O1264" t="str">
        <f>IF(Table1[[#This Row],[CurrentStock]]&lt;Table1[[#This Row],[ReorderLevel]],"Reorder","Okay")</f>
        <v>Okay</v>
      </c>
    </row>
    <row r="1265" spans="1:15" x14ac:dyDescent="0.3">
      <c r="A1265">
        <v>95961</v>
      </c>
      <c r="B1265" t="s">
        <v>15</v>
      </c>
      <c r="C1265" t="s">
        <v>29</v>
      </c>
      <c r="D1265">
        <v>359</v>
      </c>
      <c r="E1265">
        <v>50</v>
      </c>
      <c r="F1265">
        <v>269.29000000000002</v>
      </c>
      <c r="G1265" t="s">
        <v>33</v>
      </c>
      <c r="H1265" s="1">
        <v>45653</v>
      </c>
      <c r="I1265" s="1">
        <v>45662</v>
      </c>
      <c r="J1265" t="s">
        <v>37</v>
      </c>
      <c r="K1265" t="b">
        <f>Table1[[#This Row],[CurrentStock]]&lt;Table1[[#This Row],[ReorderLevel]]</f>
        <v>0</v>
      </c>
      <c r="L1265" s="9">
        <f>Table1[[#This Row],[CurrentStock]]*Table1[[#This Row],[UnitPrice]]</f>
        <v>96675.11</v>
      </c>
      <c r="M1265" t="str">
        <f>IF(Table1[[#This Row],[ReorderLevel]]-Table1[[#This Row],[CurrentStock]]&gt;0,Table1[[#This Row],[ReorderLevel]]-Table1[[#This Row],[CurrentStock]],"")</f>
        <v/>
      </c>
      <c r="N1265" t="str">
        <f>IF(Table1[[#This Row],[CurrentStock]]&gt;Table1[[#This Row],[ReorderLevel]]*3,"Over Stock","Okay")</f>
        <v>Over Stock</v>
      </c>
      <c r="O1265" t="str">
        <f>IF(Table1[[#This Row],[CurrentStock]]&lt;Table1[[#This Row],[ReorderLevel]],"Reorder","Okay")</f>
        <v>Okay</v>
      </c>
    </row>
    <row r="1266" spans="1:15" x14ac:dyDescent="0.3">
      <c r="A1266">
        <v>99062</v>
      </c>
      <c r="B1266" t="s">
        <v>13</v>
      </c>
      <c r="C1266" t="s">
        <v>29</v>
      </c>
      <c r="D1266">
        <v>445</v>
      </c>
      <c r="E1266">
        <v>20</v>
      </c>
      <c r="F1266">
        <v>36.17</v>
      </c>
      <c r="G1266" t="s">
        <v>35</v>
      </c>
      <c r="H1266" s="1">
        <v>45549</v>
      </c>
      <c r="I1266" s="1">
        <v>45555</v>
      </c>
      <c r="J1266" t="s">
        <v>39</v>
      </c>
      <c r="K1266" t="b">
        <f>Table1[[#This Row],[CurrentStock]]&lt;Table1[[#This Row],[ReorderLevel]]</f>
        <v>0</v>
      </c>
      <c r="L1266" s="9">
        <f>Table1[[#This Row],[CurrentStock]]*Table1[[#This Row],[UnitPrice]]</f>
        <v>16095.650000000001</v>
      </c>
      <c r="M1266" t="str">
        <f>IF(Table1[[#This Row],[ReorderLevel]]-Table1[[#This Row],[CurrentStock]]&gt;0,Table1[[#This Row],[ReorderLevel]]-Table1[[#This Row],[CurrentStock]],"")</f>
        <v/>
      </c>
      <c r="N1266" t="str">
        <f>IF(Table1[[#This Row],[CurrentStock]]&gt;Table1[[#This Row],[ReorderLevel]]*3,"Over Stock","Okay")</f>
        <v>Over Stock</v>
      </c>
      <c r="O1266" t="str">
        <f>IF(Table1[[#This Row],[CurrentStock]]&lt;Table1[[#This Row],[ReorderLevel]],"Reorder","Okay")</f>
        <v>Okay</v>
      </c>
    </row>
    <row r="1267" spans="1:15" x14ac:dyDescent="0.3">
      <c r="A1267">
        <v>69004</v>
      </c>
      <c r="B1267" t="s">
        <v>14</v>
      </c>
      <c r="C1267" t="s">
        <v>27</v>
      </c>
      <c r="D1267">
        <v>41</v>
      </c>
      <c r="E1267">
        <v>50</v>
      </c>
      <c r="F1267">
        <v>250.56</v>
      </c>
      <c r="G1267" t="s">
        <v>33</v>
      </c>
      <c r="H1267" s="1">
        <v>45464</v>
      </c>
      <c r="I1267" s="1">
        <v>45479</v>
      </c>
      <c r="J1267" t="s">
        <v>38</v>
      </c>
      <c r="K1267" t="b">
        <f>Table1[[#This Row],[CurrentStock]]&lt;Table1[[#This Row],[ReorderLevel]]</f>
        <v>1</v>
      </c>
      <c r="L1267" s="9">
        <f>Table1[[#This Row],[CurrentStock]]*Table1[[#This Row],[UnitPrice]]</f>
        <v>10272.960000000001</v>
      </c>
      <c r="M1267">
        <f>IF(Table1[[#This Row],[ReorderLevel]]-Table1[[#This Row],[CurrentStock]]&gt;0,Table1[[#This Row],[ReorderLevel]]-Table1[[#This Row],[CurrentStock]],"")</f>
        <v>9</v>
      </c>
      <c r="N1267" t="str">
        <f>IF(Table1[[#This Row],[CurrentStock]]&gt;Table1[[#This Row],[ReorderLevel]]*3,"Over Stock","Okay")</f>
        <v>Okay</v>
      </c>
      <c r="O1267" t="str">
        <f>IF(Table1[[#This Row],[CurrentStock]]&lt;Table1[[#This Row],[ReorderLevel]],"Reorder","Okay")</f>
        <v>Reorder</v>
      </c>
    </row>
    <row r="1268" spans="1:15" x14ac:dyDescent="0.3">
      <c r="A1268">
        <v>30754</v>
      </c>
      <c r="B1268" t="s">
        <v>26</v>
      </c>
      <c r="C1268" t="s">
        <v>30</v>
      </c>
      <c r="D1268">
        <v>304</v>
      </c>
      <c r="E1268">
        <v>50</v>
      </c>
      <c r="F1268">
        <v>203.89</v>
      </c>
      <c r="G1268" t="s">
        <v>35</v>
      </c>
      <c r="H1268" s="1">
        <v>45492</v>
      </c>
      <c r="I1268" s="1">
        <v>45502</v>
      </c>
      <c r="J1268" t="s">
        <v>38</v>
      </c>
      <c r="K1268" t="b">
        <f>Table1[[#This Row],[CurrentStock]]&lt;Table1[[#This Row],[ReorderLevel]]</f>
        <v>0</v>
      </c>
      <c r="L1268" s="9">
        <f>Table1[[#This Row],[CurrentStock]]*Table1[[#This Row],[UnitPrice]]</f>
        <v>61982.559999999998</v>
      </c>
      <c r="M1268" t="str">
        <f>IF(Table1[[#This Row],[ReorderLevel]]-Table1[[#This Row],[CurrentStock]]&gt;0,Table1[[#This Row],[ReorderLevel]]-Table1[[#This Row],[CurrentStock]],"")</f>
        <v/>
      </c>
      <c r="N1268" t="str">
        <f>IF(Table1[[#This Row],[CurrentStock]]&gt;Table1[[#This Row],[ReorderLevel]]*3,"Over Stock","Okay")</f>
        <v>Over Stock</v>
      </c>
      <c r="O1268" t="str">
        <f>IF(Table1[[#This Row],[CurrentStock]]&lt;Table1[[#This Row],[ReorderLevel]],"Reorder","Okay")</f>
        <v>Okay</v>
      </c>
    </row>
    <row r="1269" spans="1:15" x14ac:dyDescent="0.3">
      <c r="A1269">
        <v>11924</v>
      </c>
      <c r="B1269" t="s">
        <v>23</v>
      </c>
      <c r="C1269" t="s">
        <v>30</v>
      </c>
      <c r="D1269">
        <v>464</v>
      </c>
      <c r="E1269">
        <v>40</v>
      </c>
      <c r="F1269">
        <v>90.24</v>
      </c>
      <c r="G1269" t="s">
        <v>34</v>
      </c>
      <c r="H1269" s="1">
        <v>45356</v>
      </c>
      <c r="I1269" s="1">
        <v>45367</v>
      </c>
      <c r="J1269" t="s">
        <v>39</v>
      </c>
      <c r="K1269" t="b">
        <f>Table1[[#This Row],[CurrentStock]]&lt;Table1[[#This Row],[ReorderLevel]]</f>
        <v>0</v>
      </c>
      <c r="L1269" s="9">
        <f>Table1[[#This Row],[CurrentStock]]*Table1[[#This Row],[UnitPrice]]</f>
        <v>41871.360000000001</v>
      </c>
      <c r="M1269" t="str">
        <f>IF(Table1[[#This Row],[ReorderLevel]]-Table1[[#This Row],[CurrentStock]]&gt;0,Table1[[#This Row],[ReorderLevel]]-Table1[[#This Row],[CurrentStock]],"")</f>
        <v/>
      </c>
      <c r="N1269" t="str">
        <f>IF(Table1[[#This Row],[CurrentStock]]&gt;Table1[[#This Row],[ReorderLevel]]*3,"Over Stock","Okay")</f>
        <v>Over Stock</v>
      </c>
      <c r="O1269" t="str">
        <f>IF(Table1[[#This Row],[CurrentStock]]&lt;Table1[[#This Row],[ReorderLevel]],"Reorder","Okay")</f>
        <v>Okay</v>
      </c>
    </row>
    <row r="1270" spans="1:15" x14ac:dyDescent="0.3">
      <c r="A1270">
        <v>10306</v>
      </c>
      <c r="B1270" t="s">
        <v>20</v>
      </c>
      <c r="C1270" t="s">
        <v>29</v>
      </c>
      <c r="D1270">
        <v>228</v>
      </c>
      <c r="E1270">
        <v>50</v>
      </c>
      <c r="F1270">
        <v>103.94</v>
      </c>
      <c r="G1270" t="s">
        <v>36</v>
      </c>
      <c r="H1270" s="1">
        <v>45509</v>
      </c>
      <c r="I1270" s="1">
        <v>45528</v>
      </c>
      <c r="J1270" t="s">
        <v>38</v>
      </c>
      <c r="K1270" t="b">
        <f>Table1[[#This Row],[CurrentStock]]&lt;Table1[[#This Row],[ReorderLevel]]</f>
        <v>0</v>
      </c>
      <c r="L1270" s="9">
        <f>Table1[[#This Row],[CurrentStock]]*Table1[[#This Row],[UnitPrice]]</f>
        <v>23698.32</v>
      </c>
      <c r="M1270" t="str">
        <f>IF(Table1[[#This Row],[ReorderLevel]]-Table1[[#This Row],[CurrentStock]]&gt;0,Table1[[#This Row],[ReorderLevel]]-Table1[[#This Row],[CurrentStock]],"")</f>
        <v/>
      </c>
      <c r="N1270" t="str">
        <f>IF(Table1[[#This Row],[CurrentStock]]&gt;Table1[[#This Row],[ReorderLevel]]*3,"Over Stock","Okay")</f>
        <v>Over Stock</v>
      </c>
      <c r="O1270" t="str">
        <f>IF(Table1[[#This Row],[CurrentStock]]&lt;Table1[[#This Row],[ReorderLevel]],"Reorder","Okay")</f>
        <v>Okay</v>
      </c>
    </row>
    <row r="1271" spans="1:15" x14ac:dyDescent="0.3">
      <c r="A1271">
        <v>55704</v>
      </c>
      <c r="B1271" t="s">
        <v>18</v>
      </c>
      <c r="C1271" t="s">
        <v>28</v>
      </c>
      <c r="D1271">
        <v>414</v>
      </c>
      <c r="E1271">
        <v>20</v>
      </c>
      <c r="F1271">
        <v>61.4</v>
      </c>
      <c r="G1271" t="s">
        <v>32</v>
      </c>
      <c r="H1271" s="1">
        <v>45500</v>
      </c>
      <c r="I1271" s="1">
        <v>45538</v>
      </c>
      <c r="J1271" t="s">
        <v>37</v>
      </c>
      <c r="K1271" t="b">
        <f>Table1[[#This Row],[CurrentStock]]&lt;Table1[[#This Row],[ReorderLevel]]</f>
        <v>0</v>
      </c>
      <c r="L1271" s="9">
        <f>Table1[[#This Row],[CurrentStock]]*Table1[[#This Row],[UnitPrice]]</f>
        <v>25419.599999999999</v>
      </c>
      <c r="M1271" t="str">
        <f>IF(Table1[[#This Row],[ReorderLevel]]-Table1[[#This Row],[CurrentStock]]&gt;0,Table1[[#This Row],[ReorderLevel]]-Table1[[#This Row],[CurrentStock]],"")</f>
        <v/>
      </c>
      <c r="N1271" t="str">
        <f>IF(Table1[[#This Row],[CurrentStock]]&gt;Table1[[#This Row],[ReorderLevel]]*3,"Over Stock","Okay")</f>
        <v>Over Stock</v>
      </c>
      <c r="O1271" t="str">
        <f>IF(Table1[[#This Row],[CurrentStock]]&lt;Table1[[#This Row],[ReorderLevel]],"Reorder","Okay")</f>
        <v>Okay</v>
      </c>
    </row>
    <row r="1272" spans="1:15" x14ac:dyDescent="0.3">
      <c r="A1272">
        <v>88563</v>
      </c>
      <c r="B1272" t="s">
        <v>26</v>
      </c>
      <c r="C1272" t="s">
        <v>30</v>
      </c>
      <c r="D1272">
        <v>332</v>
      </c>
      <c r="E1272">
        <v>20</v>
      </c>
      <c r="F1272">
        <v>408.03</v>
      </c>
      <c r="G1272" t="s">
        <v>34</v>
      </c>
      <c r="H1272" s="1">
        <v>45338</v>
      </c>
      <c r="I1272" s="1">
        <v>45346</v>
      </c>
      <c r="J1272" t="s">
        <v>39</v>
      </c>
      <c r="K1272" t="b">
        <f>Table1[[#This Row],[CurrentStock]]&lt;Table1[[#This Row],[ReorderLevel]]</f>
        <v>0</v>
      </c>
      <c r="L1272" s="9">
        <f>Table1[[#This Row],[CurrentStock]]*Table1[[#This Row],[UnitPrice]]</f>
        <v>135465.96</v>
      </c>
      <c r="M1272" t="str">
        <f>IF(Table1[[#This Row],[ReorderLevel]]-Table1[[#This Row],[CurrentStock]]&gt;0,Table1[[#This Row],[ReorderLevel]]-Table1[[#This Row],[CurrentStock]],"")</f>
        <v/>
      </c>
      <c r="N1272" t="str">
        <f>IF(Table1[[#This Row],[CurrentStock]]&gt;Table1[[#This Row],[ReorderLevel]]*3,"Over Stock","Okay")</f>
        <v>Over Stock</v>
      </c>
      <c r="O1272" t="str">
        <f>IF(Table1[[#This Row],[CurrentStock]]&lt;Table1[[#This Row],[ReorderLevel]],"Reorder","Okay")</f>
        <v>Okay</v>
      </c>
    </row>
    <row r="1273" spans="1:15" x14ac:dyDescent="0.3">
      <c r="A1273">
        <v>14781</v>
      </c>
      <c r="B1273" t="s">
        <v>10</v>
      </c>
      <c r="C1273" t="s">
        <v>27</v>
      </c>
      <c r="D1273">
        <v>125</v>
      </c>
      <c r="E1273">
        <v>100</v>
      </c>
      <c r="F1273">
        <v>51.18</v>
      </c>
      <c r="G1273" t="s">
        <v>35</v>
      </c>
      <c r="H1273" s="1">
        <v>45431</v>
      </c>
      <c r="I1273" s="1">
        <v>45438</v>
      </c>
      <c r="J1273" t="s">
        <v>39</v>
      </c>
      <c r="K1273" t="b">
        <f>Table1[[#This Row],[CurrentStock]]&lt;Table1[[#This Row],[ReorderLevel]]</f>
        <v>0</v>
      </c>
      <c r="L1273" s="9">
        <f>Table1[[#This Row],[CurrentStock]]*Table1[[#This Row],[UnitPrice]]</f>
        <v>6397.5</v>
      </c>
      <c r="M1273" t="str">
        <f>IF(Table1[[#This Row],[ReorderLevel]]-Table1[[#This Row],[CurrentStock]]&gt;0,Table1[[#This Row],[ReorderLevel]]-Table1[[#This Row],[CurrentStock]],"")</f>
        <v/>
      </c>
      <c r="N1273" t="str">
        <f>IF(Table1[[#This Row],[CurrentStock]]&gt;Table1[[#This Row],[ReorderLevel]]*3,"Over Stock","Okay")</f>
        <v>Okay</v>
      </c>
      <c r="O1273" t="str">
        <f>IF(Table1[[#This Row],[CurrentStock]]&lt;Table1[[#This Row],[ReorderLevel]],"Reorder","Okay")</f>
        <v>Okay</v>
      </c>
    </row>
    <row r="1274" spans="1:15" x14ac:dyDescent="0.3">
      <c r="A1274">
        <v>17549</v>
      </c>
      <c r="B1274" t="s">
        <v>14</v>
      </c>
      <c r="C1274" t="s">
        <v>27</v>
      </c>
      <c r="D1274">
        <v>111</v>
      </c>
      <c r="E1274">
        <v>100</v>
      </c>
      <c r="F1274">
        <v>466.76</v>
      </c>
      <c r="G1274" t="s">
        <v>32</v>
      </c>
      <c r="H1274" s="1">
        <v>45401</v>
      </c>
      <c r="I1274" s="1">
        <v>45408</v>
      </c>
      <c r="J1274" t="s">
        <v>38</v>
      </c>
      <c r="K1274" t="b">
        <f>Table1[[#This Row],[CurrentStock]]&lt;Table1[[#This Row],[ReorderLevel]]</f>
        <v>0</v>
      </c>
      <c r="L1274" s="9">
        <f>Table1[[#This Row],[CurrentStock]]*Table1[[#This Row],[UnitPrice]]</f>
        <v>51810.36</v>
      </c>
      <c r="M1274" t="str">
        <f>IF(Table1[[#This Row],[ReorderLevel]]-Table1[[#This Row],[CurrentStock]]&gt;0,Table1[[#This Row],[ReorderLevel]]-Table1[[#This Row],[CurrentStock]],"")</f>
        <v/>
      </c>
      <c r="N1274" t="str">
        <f>IF(Table1[[#This Row],[CurrentStock]]&gt;Table1[[#This Row],[ReorderLevel]]*3,"Over Stock","Okay")</f>
        <v>Okay</v>
      </c>
      <c r="O1274" t="str">
        <f>IF(Table1[[#This Row],[CurrentStock]]&lt;Table1[[#This Row],[ReorderLevel]],"Reorder","Okay")</f>
        <v>Okay</v>
      </c>
    </row>
    <row r="1275" spans="1:15" x14ac:dyDescent="0.3">
      <c r="A1275">
        <v>93402</v>
      </c>
      <c r="B1275" t="s">
        <v>14</v>
      </c>
      <c r="C1275" t="s">
        <v>27</v>
      </c>
      <c r="D1275">
        <v>324</v>
      </c>
      <c r="E1275">
        <v>30</v>
      </c>
      <c r="F1275">
        <v>471.29</v>
      </c>
      <c r="G1275" t="s">
        <v>32</v>
      </c>
      <c r="H1275" s="1">
        <v>45646</v>
      </c>
      <c r="I1275" s="1">
        <v>45682</v>
      </c>
      <c r="J1275" t="s">
        <v>38</v>
      </c>
      <c r="K1275" t="b">
        <f>Table1[[#This Row],[CurrentStock]]&lt;Table1[[#This Row],[ReorderLevel]]</f>
        <v>0</v>
      </c>
      <c r="L1275" s="9">
        <f>Table1[[#This Row],[CurrentStock]]*Table1[[#This Row],[UnitPrice]]</f>
        <v>152697.96000000002</v>
      </c>
      <c r="M1275" t="str">
        <f>IF(Table1[[#This Row],[ReorderLevel]]-Table1[[#This Row],[CurrentStock]]&gt;0,Table1[[#This Row],[ReorderLevel]]-Table1[[#This Row],[CurrentStock]],"")</f>
        <v/>
      </c>
      <c r="N1275" t="str">
        <f>IF(Table1[[#This Row],[CurrentStock]]&gt;Table1[[#This Row],[ReorderLevel]]*3,"Over Stock","Okay")</f>
        <v>Over Stock</v>
      </c>
      <c r="O1275" t="str">
        <f>IF(Table1[[#This Row],[CurrentStock]]&lt;Table1[[#This Row],[ReorderLevel]],"Reorder","Okay")</f>
        <v>Okay</v>
      </c>
    </row>
    <row r="1276" spans="1:15" x14ac:dyDescent="0.3">
      <c r="A1276">
        <v>96839</v>
      </c>
      <c r="B1276" t="s">
        <v>17</v>
      </c>
      <c r="C1276" t="s">
        <v>30</v>
      </c>
      <c r="D1276">
        <v>189</v>
      </c>
      <c r="E1276">
        <v>30</v>
      </c>
      <c r="F1276">
        <v>296.69</v>
      </c>
      <c r="G1276" t="s">
        <v>34</v>
      </c>
      <c r="H1276" s="1">
        <v>45324</v>
      </c>
      <c r="I1276" s="1">
        <v>45341</v>
      </c>
      <c r="J1276" t="s">
        <v>39</v>
      </c>
      <c r="K1276" t="b">
        <f>Table1[[#This Row],[CurrentStock]]&lt;Table1[[#This Row],[ReorderLevel]]</f>
        <v>0</v>
      </c>
      <c r="L1276" s="9">
        <f>Table1[[#This Row],[CurrentStock]]*Table1[[#This Row],[UnitPrice]]</f>
        <v>56074.409999999996</v>
      </c>
      <c r="M1276" t="str">
        <f>IF(Table1[[#This Row],[ReorderLevel]]-Table1[[#This Row],[CurrentStock]]&gt;0,Table1[[#This Row],[ReorderLevel]]-Table1[[#This Row],[CurrentStock]],"")</f>
        <v/>
      </c>
      <c r="N1276" t="str">
        <f>IF(Table1[[#This Row],[CurrentStock]]&gt;Table1[[#This Row],[ReorderLevel]]*3,"Over Stock","Okay")</f>
        <v>Over Stock</v>
      </c>
      <c r="O1276" t="str">
        <f>IF(Table1[[#This Row],[CurrentStock]]&lt;Table1[[#This Row],[ReorderLevel]],"Reorder","Okay")</f>
        <v>Okay</v>
      </c>
    </row>
    <row r="1277" spans="1:15" x14ac:dyDescent="0.3">
      <c r="A1277">
        <v>76266</v>
      </c>
      <c r="B1277" t="s">
        <v>13</v>
      </c>
      <c r="C1277" t="s">
        <v>29</v>
      </c>
      <c r="D1277">
        <v>426</v>
      </c>
      <c r="E1277">
        <v>50</v>
      </c>
      <c r="F1277">
        <v>262.81</v>
      </c>
      <c r="G1277" t="s">
        <v>35</v>
      </c>
      <c r="H1277" s="1">
        <v>45547</v>
      </c>
      <c r="I1277" s="1">
        <v>45563</v>
      </c>
      <c r="J1277" t="s">
        <v>37</v>
      </c>
      <c r="K1277" t="b">
        <f>Table1[[#This Row],[CurrentStock]]&lt;Table1[[#This Row],[ReorderLevel]]</f>
        <v>0</v>
      </c>
      <c r="L1277" s="9">
        <f>Table1[[#This Row],[CurrentStock]]*Table1[[#This Row],[UnitPrice]]</f>
        <v>111957.06</v>
      </c>
      <c r="M1277" t="str">
        <f>IF(Table1[[#This Row],[ReorderLevel]]-Table1[[#This Row],[CurrentStock]]&gt;0,Table1[[#This Row],[ReorderLevel]]-Table1[[#This Row],[CurrentStock]],"")</f>
        <v/>
      </c>
      <c r="N1277" t="str">
        <f>IF(Table1[[#This Row],[CurrentStock]]&gt;Table1[[#This Row],[ReorderLevel]]*3,"Over Stock","Okay")</f>
        <v>Over Stock</v>
      </c>
      <c r="O1277" t="str">
        <f>IF(Table1[[#This Row],[CurrentStock]]&lt;Table1[[#This Row],[ReorderLevel]],"Reorder","Okay")</f>
        <v>Okay</v>
      </c>
    </row>
    <row r="1278" spans="1:15" x14ac:dyDescent="0.3">
      <c r="A1278">
        <v>97977</v>
      </c>
      <c r="B1278" t="s">
        <v>25</v>
      </c>
      <c r="C1278" t="s">
        <v>31</v>
      </c>
      <c r="D1278">
        <v>2</v>
      </c>
      <c r="E1278">
        <v>50</v>
      </c>
      <c r="F1278">
        <v>464.33</v>
      </c>
      <c r="G1278" t="s">
        <v>32</v>
      </c>
      <c r="H1278" s="1">
        <v>45467</v>
      </c>
      <c r="I1278" s="1">
        <v>45474</v>
      </c>
      <c r="J1278" t="s">
        <v>39</v>
      </c>
      <c r="K1278" t="b">
        <f>Table1[[#This Row],[CurrentStock]]&lt;Table1[[#This Row],[ReorderLevel]]</f>
        <v>1</v>
      </c>
      <c r="L1278" s="9">
        <f>Table1[[#This Row],[CurrentStock]]*Table1[[#This Row],[UnitPrice]]</f>
        <v>928.66</v>
      </c>
      <c r="M1278">
        <f>IF(Table1[[#This Row],[ReorderLevel]]-Table1[[#This Row],[CurrentStock]]&gt;0,Table1[[#This Row],[ReorderLevel]]-Table1[[#This Row],[CurrentStock]],"")</f>
        <v>48</v>
      </c>
      <c r="N1278" t="str">
        <f>IF(Table1[[#This Row],[CurrentStock]]&gt;Table1[[#This Row],[ReorderLevel]]*3,"Over Stock","Okay")</f>
        <v>Okay</v>
      </c>
      <c r="O1278" t="str">
        <f>IF(Table1[[#This Row],[CurrentStock]]&lt;Table1[[#This Row],[ReorderLevel]],"Reorder","Okay")</f>
        <v>Reorder</v>
      </c>
    </row>
    <row r="1279" spans="1:15" x14ac:dyDescent="0.3">
      <c r="A1279">
        <v>57445</v>
      </c>
      <c r="B1279" t="s">
        <v>22</v>
      </c>
      <c r="C1279" t="s">
        <v>27</v>
      </c>
      <c r="D1279">
        <v>351</v>
      </c>
      <c r="E1279">
        <v>50</v>
      </c>
      <c r="F1279">
        <v>67.61</v>
      </c>
      <c r="G1279" t="s">
        <v>32</v>
      </c>
      <c r="H1279" s="1">
        <v>45527</v>
      </c>
      <c r="I1279" s="1">
        <v>45544</v>
      </c>
      <c r="J1279" t="s">
        <v>38</v>
      </c>
      <c r="K1279" t="b">
        <f>Table1[[#This Row],[CurrentStock]]&lt;Table1[[#This Row],[ReorderLevel]]</f>
        <v>0</v>
      </c>
      <c r="L1279" s="9">
        <f>Table1[[#This Row],[CurrentStock]]*Table1[[#This Row],[UnitPrice]]</f>
        <v>23731.11</v>
      </c>
      <c r="M1279" t="str">
        <f>IF(Table1[[#This Row],[ReorderLevel]]-Table1[[#This Row],[CurrentStock]]&gt;0,Table1[[#This Row],[ReorderLevel]]-Table1[[#This Row],[CurrentStock]],"")</f>
        <v/>
      </c>
      <c r="N1279" t="str">
        <f>IF(Table1[[#This Row],[CurrentStock]]&gt;Table1[[#This Row],[ReorderLevel]]*3,"Over Stock","Okay")</f>
        <v>Over Stock</v>
      </c>
      <c r="O1279" t="str">
        <f>IF(Table1[[#This Row],[CurrentStock]]&lt;Table1[[#This Row],[ReorderLevel]],"Reorder","Okay")</f>
        <v>Okay</v>
      </c>
    </row>
    <row r="1280" spans="1:15" x14ac:dyDescent="0.3">
      <c r="A1280">
        <v>41704</v>
      </c>
      <c r="B1280" t="s">
        <v>10</v>
      </c>
      <c r="C1280" t="s">
        <v>27</v>
      </c>
      <c r="D1280">
        <v>493</v>
      </c>
      <c r="E1280">
        <v>30</v>
      </c>
      <c r="F1280">
        <v>226.75</v>
      </c>
      <c r="G1280" t="s">
        <v>32</v>
      </c>
      <c r="H1280" s="1">
        <v>45416</v>
      </c>
      <c r="I1280" s="1">
        <v>45441</v>
      </c>
      <c r="J1280" t="s">
        <v>38</v>
      </c>
      <c r="K1280" t="b">
        <f>Table1[[#This Row],[CurrentStock]]&lt;Table1[[#This Row],[ReorderLevel]]</f>
        <v>0</v>
      </c>
      <c r="L1280" s="9">
        <f>Table1[[#This Row],[CurrentStock]]*Table1[[#This Row],[UnitPrice]]</f>
        <v>111787.75</v>
      </c>
      <c r="M1280" t="str">
        <f>IF(Table1[[#This Row],[ReorderLevel]]-Table1[[#This Row],[CurrentStock]]&gt;0,Table1[[#This Row],[ReorderLevel]]-Table1[[#This Row],[CurrentStock]],"")</f>
        <v/>
      </c>
      <c r="N1280" t="str">
        <f>IF(Table1[[#This Row],[CurrentStock]]&gt;Table1[[#This Row],[ReorderLevel]]*3,"Over Stock","Okay")</f>
        <v>Over Stock</v>
      </c>
      <c r="O1280" t="str">
        <f>IF(Table1[[#This Row],[CurrentStock]]&lt;Table1[[#This Row],[ReorderLevel]],"Reorder","Okay")</f>
        <v>Okay</v>
      </c>
    </row>
    <row r="1281" spans="1:15" x14ac:dyDescent="0.3">
      <c r="A1281">
        <v>87338</v>
      </c>
      <c r="B1281" t="s">
        <v>10</v>
      </c>
      <c r="C1281" t="s">
        <v>27</v>
      </c>
      <c r="D1281">
        <v>430</v>
      </c>
      <c r="E1281">
        <v>100</v>
      </c>
      <c r="F1281">
        <v>166.97</v>
      </c>
      <c r="G1281" t="s">
        <v>35</v>
      </c>
      <c r="H1281" s="1">
        <v>45503</v>
      </c>
      <c r="I1281" s="1">
        <v>45526</v>
      </c>
      <c r="J1281" t="s">
        <v>39</v>
      </c>
      <c r="K1281" t="b">
        <f>Table1[[#This Row],[CurrentStock]]&lt;Table1[[#This Row],[ReorderLevel]]</f>
        <v>0</v>
      </c>
      <c r="L1281" s="9">
        <f>Table1[[#This Row],[CurrentStock]]*Table1[[#This Row],[UnitPrice]]</f>
        <v>71797.100000000006</v>
      </c>
      <c r="M1281" t="str">
        <f>IF(Table1[[#This Row],[ReorderLevel]]-Table1[[#This Row],[CurrentStock]]&gt;0,Table1[[#This Row],[ReorderLevel]]-Table1[[#This Row],[CurrentStock]],"")</f>
        <v/>
      </c>
      <c r="N1281" t="str">
        <f>IF(Table1[[#This Row],[CurrentStock]]&gt;Table1[[#This Row],[ReorderLevel]]*3,"Over Stock","Okay")</f>
        <v>Over Stock</v>
      </c>
      <c r="O1281" t="str">
        <f>IF(Table1[[#This Row],[CurrentStock]]&lt;Table1[[#This Row],[ReorderLevel]],"Reorder","Okay")</f>
        <v>Okay</v>
      </c>
    </row>
    <row r="1282" spans="1:15" x14ac:dyDescent="0.3">
      <c r="A1282">
        <v>65415</v>
      </c>
      <c r="B1282" t="s">
        <v>22</v>
      </c>
      <c r="C1282" t="s">
        <v>27</v>
      </c>
      <c r="D1282">
        <v>220</v>
      </c>
      <c r="E1282">
        <v>150</v>
      </c>
      <c r="F1282">
        <v>220.16</v>
      </c>
      <c r="G1282" t="s">
        <v>35</v>
      </c>
      <c r="H1282" s="1">
        <v>45557</v>
      </c>
      <c r="I1282" s="1">
        <v>45576</v>
      </c>
      <c r="J1282" t="s">
        <v>38</v>
      </c>
      <c r="K1282" t="b">
        <f>Table1[[#This Row],[CurrentStock]]&lt;Table1[[#This Row],[ReorderLevel]]</f>
        <v>0</v>
      </c>
      <c r="L1282" s="9">
        <f>Table1[[#This Row],[CurrentStock]]*Table1[[#This Row],[UnitPrice]]</f>
        <v>48435.199999999997</v>
      </c>
      <c r="M1282" t="str">
        <f>IF(Table1[[#This Row],[ReorderLevel]]-Table1[[#This Row],[CurrentStock]]&gt;0,Table1[[#This Row],[ReorderLevel]]-Table1[[#This Row],[CurrentStock]],"")</f>
        <v/>
      </c>
      <c r="N1282" t="str">
        <f>IF(Table1[[#This Row],[CurrentStock]]&gt;Table1[[#This Row],[ReorderLevel]]*3,"Over Stock","Okay")</f>
        <v>Okay</v>
      </c>
      <c r="O1282" t="str">
        <f>IF(Table1[[#This Row],[CurrentStock]]&lt;Table1[[#This Row],[ReorderLevel]],"Reorder","Okay")</f>
        <v>Okay</v>
      </c>
    </row>
    <row r="1283" spans="1:15" x14ac:dyDescent="0.3">
      <c r="A1283">
        <v>80022</v>
      </c>
      <c r="B1283" t="s">
        <v>20</v>
      </c>
      <c r="C1283" t="s">
        <v>29</v>
      </c>
      <c r="D1283">
        <v>324</v>
      </c>
      <c r="E1283">
        <v>30</v>
      </c>
      <c r="F1283">
        <v>148.13999999999999</v>
      </c>
      <c r="G1283" t="s">
        <v>36</v>
      </c>
      <c r="H1283" s="1">
        <v>45363</v>
      </c>
      <c r="I1283" s="1">
        <v>45372</v>
      </c>
      <c r="J1283" t="s">
        <v>37</v>
      </c>
      <c r="K1283" t="b">
        <f>Table1[[#This Row],[CurrentStock]]&lt;Table1[[#This Row],[ReorderLevel]]</f>
        <v>0</v>
      </c>
      <c r="L1283" s="9">
        <f>Table1[[#This Row],[CurrentStock]]*Table1[[#This Row],[UnitPrice]]</f>
        <v>47997.359999999993</v>
      </c>
      <c r="M1283" t="str">
        <f>IF(Table1[[#This Row],[ReorderLevel]]-Table1[[#This Row],[CurrentStock]]&gt;0,Table1[[#This Row],[ReorderLevel]]-Table1[[#This Row],[CurrentStock]],"")</f>
        <v/>
      </c>
      <c r="N1283" t="str">
        <f>IF(Table1[[#This Row],[CurrentStock]]&gt;Table1[[#This Row],[ReorderLevel]]*3,"Over Stock","Okay")</f>
        <v>Over Stock</v>
      </c>
      <c r="O1283" t="str">
        <f>IF(Table1[[#This Row],[CurrentStock]]&lt;Table1[[#This Row],[ReorderLevel]],"Reorder","Okay")</f>
        <v>Okay</v>
      </c>
    </row>
    <row r="1284" spans="1:15" x14ac:dyDescent="0.3">
      <c r="A1284">
        <v>13420</v>
      </c>
      <c r="B1284" t="s">
        <v>11</v>
      </c>
      <c r="C1284" t="s">
        <v>27</v>
      </c>
      <c r="D1284">
        <v>47</v>
      </c>
      <c r="E1284">
        <v>20</v>
      </c>
      <c r="F1284">
        <v>16.739999999999998</v>
      </c>
      <c r="G1284" t="s">
        <v>34</v>
      </c>
      <c r="H1284" s="1">
        <v>45617</v>
      </c>
      <c r="I1284" s="1">
        <v>45637</v>
      </c>
      <c r="J1284" t="s">
        <v>39</v>
      </c>
      <c r="K1284" t="b">
        <f>Table1[[#This Row],[CurrentStock]]&lt;Table1[[#This Row],[ReorderLevel]]</f>
        <v>0</v>
      </c>
      <c r="L1284" s="9">
        <f>Table1[[#This Row],[CurrentStock]]*Table1[[#This Row],[UnitPrice]]</f>
        <v>786.78</v>
      </c>
      <c r="M1284" t="str">
        <f>IF(Table1[[#This Row],[ReorderLevel]]-Table1[[#This Row],[CurrentStock]]&gt;0,Table1[[#This Row],[ReorderLevel]]-Table1[[#This Row],[CurrentStock]],"")</f>
        <v/>
      </c>
      <c r="N1284" t="str">
        <f>IF(Table1[[#This Row],[CurrentStock]]&gt;Table1[[#This Row],[ReorderLevel]]*3,"Over Stock","Okay")</f>
        <v>Okay</v>
      </c>
      <c r="O1284" t="str">
        <f>IF(Table1[[#This Row],[CurrentStock]]&lt;Table1[[#This Row],[ReorderLevel]],"Reorder","Okay")</f>
        <v>Okay</v>
      </c>
    </row>
    <row r="1285" spans="1:15" x14ac:dyDescent="0.3">
      <c r="A1285">
        <v>74973</v>
      </c>
      <c r="B1285" t="s">
        <v>17</v>
      </c>
      <c r="C1285" t="s">
        <v>30</v>
      </c>
      <c r="D1285">
        <v>317</v>
      </c>
      <c r="E1285">
        <v>20</v>
      </c>
      <c r="F1285">
        <v>467.73</v>
      </c>
      <c r="G1285" t="s">
        <v>34</v>
      </c>
      <c r="H1285" s="1">
        <v>45524</v>
      </c>
      <c r="I1285" s="1">
        <v>45557</v>
      </c>
      <c r="J1285" t="s">
        <v>39</v>
      </c>
      <c r="K1285" t="b">
        <f>Table1[[#This Row],[CurrentStock]]&lt;Table1[[#This Row],[ReorderLevel]]</f>
        <v>0</v>
      </c>
      <c r="L1285" s="9">
        <f>Table1[[#This Row],[CurrentStock]]*Table1[[#This Row],[UnitPrice]]</f>
        <v>148270.41</v>
      </c>
      <c r="M1285" t="str">
        <f>IF(Table1[[#This Row],[ReorderLevel]]-Table1[[#This Row],[CurrentStock]]&gt;0,Table1[[#This Row],[ReorderLevel]]-Table1[[#This Row],[CurrentStock]],"")</f>
        <v/>
      </c>
      <c r="N1285" t="str">
        <f>IF(Table1[[#This Row],[CurrentStock]]&gt;Table1[[#This Row],[ReorderLevel]]*3,"Over Stock","Okay")</f>
        <v>Over Stock</v>
      </c>
      <c r="O1285" t="str">
        <f>IF(Table1[[#This Row],[CurrentStock]]&lt;Table1[[#This Row],[ReorderLevel]],"Reorder","Okay")</f>
        <v>Okay</v>
      </c>
    </row>
    <row r="1286" spans="1:15" x14ac:dyDescent="0.3">
      <c r="A1286">
        <v>31326</v>
      </c>
      <c r="B1286" t="s">
        <v>14</v>
      </c>
      <c r="C1286" t="s">
        <v>27</v>
      </c>
      <c r="D1286">
        <v>236</v>
      </c>
      <c r="E1286">
        <v>80</v>
      </c>
      <c r="F1286">
        <v>276.68</v>
      </c>
      <c r="G1286" t="s">
        <v>35</v>
      </c>
      <c r="H1286" s="1">
        <v>45568</v>
      </c>
      <c r="I1286" s="1">
        <v>45588</v>
      </c>
      <c r="J1286" t="s">
        <v>37</v>
      </c>
      <c r="K1286" t="b">
        <f>Table1[[#This Row],[CurrentStock]]&lt;Table1[[#This Row],[ReorderLevel]]</f>
        <v>0</v>
      </c>
      <c r="L1286" s="9">
        <f>Table1[[#This Row],[CurrentStock]]*Table1[[#This Row],[UnitPrice]]</f>
        <v>65296.480000000003</v>
      </c>
      <c r="M1286" t="str">
        <f>IF(Table1[[#This Row],[ReorderLevel]]-Table1[[#This Row],[CurrentStock]]&gt;0,Table1[[#This Row],[ReorderLevel]]-Table1[[#This Row],[CurrentStock]],"")</f>
        <v/>
      </c>
      <c r="N1286" t="str">
        <f>IF(Table1[[#This Row],[CurrentStock]]&gt;Table1[[#This Row],[ReorderLevel]]*3,"Over Stock","Okay")</f>
        <v>Okay</v>
      </c>
      <c r="O1286" t="str">
        <f>IF(Table1[[#This Row],[CurrentStock]]&lt;Table1[[#This Row],[ReorderLevel]],"Reorder","Okay")</f>
        <v>Okay</v>
      </c>
    </row>
    <row r="1287" spans="1:15" x14ac:dyDescent="0.3">
      <c r="A1287">
        <v>67492</v>
      </c>
      <c r="B1287" t="s">
        <v>23</v>
      </c>
      <c r="C1287" t="s">
        <v>30</v>
      </c>
      <c r="D1287">
        <v>229</v>
      </c>
      <c r="E1287">
        <v>40</v>
      </c>
      <c r="F1287">
        <v>472</v>
      </c>
      <c r="G1287" t="s">
        <v>32</v>
      </c>
      <c r="H1287" s="1">
        <v>45327</v>
      </c>
      <c r="I1287" s="1">
        <v>45364</v>
      </c>
      <c r="J1287" t="s">
        <v>38</v>
      </c>
      <c r="K1287" t="b">
        <f>Table1[[#This Row],[CurrentStock]]&lt;Table1[[#This Row],[ReorderLevel]]</f>
        <v>0</v>
      </c>
      <c r="L1287" s="9">
        <f>Table1[[#This Row],[CurrentStock]]*Table1[[#This Row],[UnitPrice]]</f>
        <v>108088</v>
      </c>
      <c r="M1287" t="str">
        <f>IF(Table1[[#This Row],[ReorderLevel]]-Table1[[#This Row],[CurrentStock]]&gt;0,Table1[[#This Row],[ReorderLevel]]-Table1[[#This Row],[CurrentStock]],"")</f>
        <v/>
      </c>
      <c r="N1287" t="str">
        <f>IF(Table1[[#This Row],[CurrentStock]]&gt;Table1[[#This Row],[ReorderLevel]]*3,"Over Stock","Okay")</f>
        <v>Over Stock</v>
      </c>
      <c r="O1287" t="str">
        <f>IF(Table1[[#This Row],[CurrentStock]]&lt;Table1[[#This Row],[ReorderLevel]],"Reorder","Okay")</f>
        <v>Okay</v>
      </c>
    </row>
    <row r="1288" spans="1:15" x14ac:dyDescent="0.3">
      <c r="A1288">
        <v>40314</v>
      </c>
      <c r="B1288" t="s">
        <v>23</v>
      </c>
      <c r="C1288" t="s">
        <v>30</v>
      </c>
      <c r="D1288">
        <v>95</v>
      </c>
      <c r="E1288">
        <v>30</v>
      </c>
      <c r="F1288">
        <v>249.3</v>
      </c>
      <c r="G1288" t="s">
        <v>34</v>
      </c>
      <c r="H1288" s="1">
        <v>45569</v>
      </c>
      <c r="I1288" s="1">
        <v>45590</v>
      </c>
      <c r="J1288" t="s">
        <v>37</v>
      </c>
      <c r="K1288" t="b">
        <f>Table1[[#This Row],[CurrentStock]]&lt;Table1[[#This Row],[ReorderLevel]]</f>
        <v>0</v>
      </c>
      <c r="L1288" s="9">
        <f>Table1[[#This Row],[CurrentStock]]*Table1[[#This Row],[UnitPrice]]</f>
        <v>23683.5</v>
      </c>
      <c r="M1288" t="str">
        <f>IF(Table1[[#This Row],[ReorderLevel]]-Table1[[#This Row],[CurrentStock]]&gt;0,Table1[[#This Row],[ReorderLevel]]-Table1[[#This Row],[CurrentStock]],"")</f>
        <v/>
      </c>
      <c r="N1288" t="str">
        <f>IF(Table1[[#This Row],[CurrentStock]]&gt;Table1[[#This Row],[ReorderLevel]]*3,"Over Stock","Okay")</f>
        <v>Over Stock</v>
      </c>
      <c r="O1288" t="str">
        <f>IF(Table1[[#This Row],[CurrentStock]]&lt;Table1[[#This Row],[ReorderLevel]],"Reorder","Okay")</f>
        <v>Okay</v>
      </c>
    </row>
    <row r="1289" spans="1:15" x14ac:dyDescent="0.3">
      <c r="A1289">
        <v>31946</v>
      </c>
      <c r="B1289" t="s">
        <v>20</v>
      </c>
      <c r="C1289" t="s">
        <v>29</v>
      </c>
      <c r="D1289">
        <v>408</v>
      </c>
      <c r="E1289">
        <v>30</v>
      </c>
      <c r="F1289">
        <v>279.86</v>
      </c>
      <c r="G1289" t="s">
        <v>36</v>
      </c>
      <c r="H1289" s="1">
        <v>45472</v>
      </c>
      <c r="I1289" s="1">
        <v>45493</v>
      </c>
      <c r="J1289" t="s">
        <v>38</v>
      </c>
      <c r="K1289" t="b">
        <f>Table1[[#This Row],[CurrentStock]]&lt;Table1[[#This Row],[ReorderLevel]]</f>
        <v>0</v>
      </c>
      <c r="L1289" s="9">
        <f>Table1[[#This Row],[CurrentStock]]*Table1[[#This Row],[UnitPrice]]</f>
        <v>114182.88</v>
      </c>
      <c r="M1289" t="str">
        <f>IF(Table1[[#This Row],[ReorderLevel]]-Table1[[#This Row],[CurrentStock]]&gt;0,Table1[[#This Row],[ReorderLevel]]-Table1[[#This Row],[CurrentStock]],"")</f>
        <v/>
      </c>
      <c r="N1289" t="str">
        <f>IF(Table1[[#This Row],[CurrentStock]]&gt;Table1[[#This Row],[ReorderLevel]]*3,"Over Stock","Okay")</f>
        <v>Over Stock</v>
      </c>
      <c r="O1289" t="str">
        <f>IF(Table1[[#This Row],[CurrentStock]]&lt;Table1[[#This Row],[ReorderLevel]],"Reorder","Okay")</f>
        <v>Okay</v>
      </c>
    </row>
    <row r="1290" spans="1:15" x14ac:dyDescent="0.3">
      <c r="A1290">
        <v>97938</v>
      </c>
      <c r="B1290" t="s">
        <v>14</v>
      </c>
      <c r="C1290" t="s">
        <v>27</v>
      </c>
      <c r="D1290">
        <v>90</v>
      </c>
      <c r="E1290">
        <v>100</v>
      </c>
      <c r="F1290">
        <v>251.94</v>
      </c>
      <c r="G1290" t="s">
        <v>32</v>
      </c>
      <c r="H1290" s="1">
        <v>45296</v>
      </c>
      <c r="I1290" s="1">
        <v>45318</v>
      </c>
      <c r="J1290" t="s">
        <v>39</v>
      </c>
      <c r="K1290" t="b">
        <f>Table1[[#This Row],[CurrentStock]]&lt;Table1[[#This Row],[ReorderLevel]]</f>
        <v>1</v>
      </c>
      <c r="L1290" s="9">
        <f>Table1[[#This Row],[CurrentStock]]*Table1[[#This Row],[UnitPrice]]</f>
        <v>22674.6</v>
      </c>
      <c r="M1290">
        <f>IF(Table1[[#This Row],[ReorderLevel]]-Table1[[#This Row],[CurrentStock]]&gt;0,Table1[[#This Row],[ReorderLevel]]-Table1[[#This Row],[CurrentStock]],"")</f>
        <v>10</v>
      </c>
      <c r="N1290" t="str">
        <f>IF(Table1[[#This Row],[CurrentStock]]&gt;Table1[[#This Row],[ReorderLevel]]*3,"Over Stock","Okay")</f>
        <v>Okay</v>
      </c>
      <c r="O1290" t="str">
        <f>IF(Table1[[#This Row],[CurrentStock]]&lt;Table1[[#This Row],[ReorderLevel]],"Reorder","Okay")</f>
        <v>Reorder</v>
      </c>
    </row>
    <row r="1291" spans="1:15" x14ac:dyDescent="0.3">
      <c r="A1291">
        <v>46394</v>
      </c>
      <c r="B1291" t="s">
        <v>12</v>
      </c>
      <c r="C1291" t="s">
        <v>28</v>
      </c>
      <c r="D1291">
        <v>114</v>
      </c>
      <c r="E1291">
        <v>150</v>
      </c>
      <c r="F1291">
        <v>93.23</v>
      </c>
      <c r="G1291" t="s">
        <v>32</v>
      </c>
      <c r="H1291" s="1">
        <v>45498</v>
      </c>
      <c r="I1291" s="1">
        <v>45535</v>
      </c>
      <c r="J1291" t="s">
        <v>37</v>
      </c>
      <c r="K1291" t="b">
        <f>Table1[[#This Row],[CurrentStock]]&lt;Table1[[#This Row],[ReorderLevel]]</f>
        <v>1</v>
      </c>
      <c r="L1291" s="9">
        <f>Table1[[#This Row],[CurrentStock]]*Table1[[#This Row],[UnitPrice]]</f>
        <v>10628.220000000001</v>
      </c>
      <c r="M1291">
        <f>IF(Table1[[#This Row],[ReorderLevel]]-Table1[[#This Row],[CurrentStock]]&gt;0,Table1[[#This Row],[ReorderLevel]]-Table1[[#This Row],[CurrentStock]],"")</f>
        <v>36</v>
      </c>
      <c r="N1291" t="str">
        <f>IF(Table1[[#This Row],[CurrentStock]]&gt;Table1[[#This Row],[ReorderLevel]]*3,"Over Stock","Okay")</f>
        <v>Okay</v>
      </c>
      <c r="O1291" t="str">
        <f>IF(Table1[[#This Row],[CurrentStock]]&lt;Table1[[#This Row],[ReorderLevel]],"Reorder","Okay")</f>
        <v>Reorder</v>
      </c>
    </row>
    <row r="1292" spans="1:15" x14ac:dyDescent="0.3">
      <c r="A1292">
        <v>16765</v>
      </c>
      <c r="B1292" t="s">
        <v>18</v>
      </c>
      <c r="C1292" t="s">
        <v>28</v>
      </c>
      <c r="D1292">
        <v>388</v>
      </c>
      <c r="E1292">
        <v>80</v>
      </c>
      <c r="F1292">
        <v>318.18</v>
      </c>
      <c r="G1292" t="s">
        <v>32</v>
      </c>
      <c r="H1292" s="1">
        <v>45408</v>
      </c>
      <c r="I1292" s="1">
        <v>45418</v>
      </c>
      <c r="J1292" t="s">
        <v>37</v>
      </c>
      <c r="K1292" t="b">
        <f>Table1[[#This Row],[CurrentStock]]&lt;Table1[[#This Row],[ReorderLevel]]</f>
        <v>0</v>
      </c>
      <c r="L1292" s="9">
        <f>Table1[[#This Row],[CurrentStock]]*Table1[[#This Row],[UnitPrice]]</f>
        <v>123453.84</v>
      </c>
      <c r="M1292" t="str">
        <f>IF(Table1[[#This Row],[ReorderLevel]]-Table1[[#This Row],[CurrentStock]]&gt;0,Table1[[#This Row],[ReorderLevel]]-Table1[[#This Row],[CurrentStock]],"")</f>
        <v/>
      </c>
      <c r="N1292" t="str">
        <f>IF(Table1[[#This Row],[CurrentStock]]&gt;Table1[[#This Row],[ReorderLevel]]*3,"Over Stock","Okay")</f>
        <v>Over Stock</v>
      </c>
      <c r="O1292" t="str">
        <f>IF(Table1[[#This Row],[CurrentStock]]&lt;Table1[[#This Row],[ReorderLevel]],"Reorder","Okay")</f>
        <v>Okay</v>
      </c>
    </row>
    <row r="1293" spans="1:15" x14ac:dyDescent="0.3">
      <c r="A1293">
        <v>60304</v>
      </c>
      <c r="B1293" t="s">
        <v>20</v>
      </c>
      <c r="C1293" t="s">
        <v>29</v>
      </c>
      <c r="D1293">
        <v>136</v>
      </c>
      <c r="E1293">
        <v>40</v>
      </c>
      <c r="F1293">
        <v>33.86</v>
      </c>
      <c r="G1293" t="s">
        <v>35</v>
      </c>
      <c r="H1293" s="1">
        <v>45462</v>
      </c>
      <c r="I1293" s="1">
        <v>45493</v>
      </c>
      <c r="J1293" t="s">
        <v>37</v>
      </c>
      <c r="K1293" t="b">
        <f>Table1[[#This Row],[CurrentStock]]&lt;Table1[[#This Row],[ReorderLevel]]</f>
        <v>0</v>
      </c>
      <c r="L1293" s="9">
        <f>Table1[[#This Row],[CurrentStock]]*Table1[[#This Row],[UnitPrice]]</f>
        <v>4604.96</v>
      </c>
      <c r="M1293" t="str">
        <f>IF(Table1[[#This Row],[ReorderLevel]]-Table1[[#This Row],[CurrentStock]]&gt;0,Table1[[#This Row],[ReorderLevel]]-Table1[[#This Row],[CurrentStock]],"")</f>
        <v/>
      </c>
      <c r="N1293" t="str">
        <f>IF(Table1[[#This Row],[CurrentStock]]&gt;Table1[[#This Row],[ReorderLevel]]*3,"Over Stock","Okay")</f>
        <v>Over Stock</v>
      </c>
      <c r="O1293" t="str">
        <f>IF(Table1[[#This Row],[CurrentStock]]&lt;Table1[[#This Row],[ReorderLevel]],"Reorder","Okay")</f>
        <v>Okay</v>
      </c>
    </row>
    <row r="1294" spans="1:15" x14ac:dyDescent="0.3">
      <c r="A1294">
        <v>52548</v>
      </c>
      <c r="B1294" t="s">
        <v>13</v>
      </c>
      <c r="C1294" t="s">
        <v>29</v>
      </c>
      <c r="D1294">
        <v>217</v>
      </c>
      <c r="E1294">
        <v>150</v>
      </c>
      <c r="F1294">
        <v>411.99</v>
      </c>
      <c r="G1294" t="s">
        <v>33</v>
      </c>
      <c r="H1294" s="1">
        <v>45637</v>
      </c>
      <c r="I1294" s="1">
        <v>45669</v>
      </c>
      <c r="J1294" t="s">
        <v>37</v>
      </c>
      <c r="K1294" t="b">
        <f>Table1[[#This Row],[CurrentStock]]&lt;Table1[[#This Row],[ReorderLevel]]</f>
        <v>0</v>
      </c>
      <c r="L1294" s="9">
        <f>Table1[[#This Row],[CurrentStock]]*Table1[[#This Row],[UnitPrice]]</f>
        <v>89401.83</v>
      </c>
      <c r="M1294" t="str">
        <f>IF(Table1[[#This Row],[ReorderLevel]]-Table1[[#This Row],[CurrentStock]]&gt;0,Table1[[#This Row],[ReorderLevel]]-Table1[[#This Row],[CurrentStock]],"")</f>
        <v/>
      </c>
      <c r="N1294" t="str">
        <f>IF(Table1[[#This Row],[CurrentStock]]&gt;Table1[[#This Row],[ReorderLevel]]*3,"Over Stock","Okay")</f>
        <v>Okay</v>
      </c>
      <c r="O1294" t="str">
        <f>IF(Table1[[#This Row],[CurrentStock]]&lt;Table1[[#This Row],[ReorderLevel]],"Reorder","Okay")</f>
        <v>Okay</v>
      </c>
    </row>
    <row r="1295" spans="1:15" x14ac:dyDescent="0.3">
      <c r="A1295">
        <v>49846</v>
      </c>
      <c r="B1295" t="s">
        <v>22</v>
      </c>
      <c r="C1295" t="s">
        <v>27</v>
      </c>
      <c r="D1295">
        <v>363</v>
      </c>
      <c r="E1295">
        <v>100</v>
      </c>
      <c r="F1295">
        <v>427.9</v>
      </c>
      <c r="G1295" t="s">
        <v>32</v>
      </c>
      <c r="H1295" s="1">
        <v>45589</v>
      </c>
      <c r="I1295" s="1">
        <v>45620</v>
      </c>
      <c r="J1295" t="s">
        <v>37</v>
      </c>
      <c r="K1295" t="b">
        <f>Table1[[#This Row],[CurrentStock]]&lt;Table1[[#This Row],[ReorderLevel]]</f>
        <v>0</v>
      </c>
      <c r="L1295" s="9">
        <f>Table1[[#This Row],[CurrentStock]]*Table1[[#This Row],[UnitPrice]]</f>
        <v>155327.69999999998</v>
      </c>
      <c r="M1295" t="str">
        <f>IF(Table1[[#This Row],[ReorderLevel]]-Table1[[#This Row],[CurrentStock]]&gt;0,Table1[[#This Row],[ReorderLevel]]-Table1[[#This Row],[CurrentStock]],"")</f>
        <v/>
      </c>
      <c r="N1295" t="str">
        <f>IF(Table1[[#This Row],[CurrentStock]]&gt;Table1[[#This Row],[ReorderLevel]]*3,"Over Stock","Okay")</f>
        <v>Over Stock</v>
      </c>
      <c r="O1295" t="str">
        <f>IF(Table1[[#This Row],[CurrentStock]]&lt;Table1[[#This Row],[ReorderLevel]],"Reorder","Okay")</f>
        <v>Okay</v>
      </c>
    </row>
    <row r="1296" spans="1:15" x14ac:dyDescent="0.3">
      <c r="A1296">
        <v>28996</v>
      </c>
      <c r="B1296" t="s">
        <v>17</v>
      </c>
      <c r="C1296" t="s">
        <v>30</v>
      </c>
      <c r="D1296">
        <v>23</v>
      </c>
      <c r="E1296">
        <v>50</v>
      </c>
      <c r="F1296">
        <v>39.35</v>
      </c>
      <c r="G1296" t="s">
        <v>33</v>
      </c>
      <c r="H1296" s="1">
        <v>45357</v>
      </c>
      <c r="I1296" s="1">
        <v>45375</v>
      </c>
      <c r="J1296" t="s">
        <v>38</v>
      </c>
      <c r="K1296" t="b">
        <f>Table1[[#This Row],[CurrentStock]]&lt;Table1[[#This Row],[ReorderLevel]]</f>
        <v>1</v>
      </c>
      <c r="L1296" s="9">
        <f>Table1[[#This Row],[CurrentStock]]*Table1[[#This Row],[UnitPrice]]</f>
        <v>905.05000000000007</v>
      </c>
      <c r="M1296">
        <f>IF(Table1[[#This Row],[ReorderLevel]]-Table1[[#This Row],[CurrentStock]]&gt;0,Table1[[#This Row],[ReorderLevel]]-Table1[[#This Row],[CurrentStock]],"")</f>
        <v>27</v>
      </c>
      <c r="N1296" t="str">
        <f>IF(Table1[[#This Row],[CurrentStock]]&gt;Table1[[#This Row],[ReorderLevel]]*3,"Over Stock","Okay")</f>
        <v>Okay</v>
      </c>
      <c r="O1296" t="str">
        <f>IF(Table1[[#This Row],[CurrentStock]]&lt;Table1[[#This Row],[ReorderLevel]],"Reorder","Okay")</f>
        <v>Reorder</v>
      </c>
    </row>
    <row r="1297" spans="1:15" x14ac:dyDescent="0.3">
      <c r="A1297">
        <v>37690</v>
      </c>
      <c r="B1297" t="s">
        <v>25</v>
      </c>
      <c r="C1297" t="s">
        <v>31</v>
      </c>
      <c r="D1297">
        <v>103</v>
      </c>
      <c r="E1297">
        <v>80</v>
      </c>
      <c r="F1297">
        <v>390.1</v>
      </c>
      <c r="G1297" t="s">
        <v>32</v>
      </c>
      <c r="H1297" s="1">
        <v>45573</v>
      </c>
      <c r="I1297" s="1">
        <v>45589</v>
      </c>
      <c r="J1297" t="s">
        <v>39</v>
      </c>
      <c r="K1297" t="b">
        <f>Table1[[#This Row],[CurrentStock]]&lt;Table1[[#This Row],[ReorderLevel]]</f>
        <v>0</v>
      </c>
      <c r="L1297" s="9">
        <f>Table1[[#This Row],[CurrentStock]]*Table1[[#This Row],[UnitPrice]]</f>
        <v>40180.300000000003</v>
      </c>
      <c r="M1297" t="str">
        <f>IF(Table1[[#This Row],[ReorderLevel]]-Table1[[#This Row],[CurrentStock]]&gt;0,Table1[[#This Row],[ReorderLevel]]-Table1[[#This Row],[CurrentStock]],"")</f>
        <v/>
      </c>
      <c r="N1297" t="str">
        <f>IF(Table1[[#This Row],[CurrentStock]]&gt;Table1[[#This Row],[ReorderLevel]]*3,"Over Stock","Okay")</f>
        <v>Okay</v>
      </c>
      <c r="O1297" t="str">
        <f>IF(Table1[[#This Row],[CurrentStock]]&lt;Table1[[#This Row],[ReorderLevel]],"Reorder","Okay")</f>
        <v>Okay</v>
      </c>
    </row>
    <row r="1298" spans="1:15" x14ac:dyDescent="0.3">
      <c r="A1298">
        <v>57606</v>
      </c>
      <c r="B1298" t="s">
        <v>15</v>
      </c>
      <c r="C1298" t="s">
        <v>29</v>
      </c>
      <c r="D1298">
        <v>236</v>
      </c>
      <c r="E1298">
        <v>50</v>
      </c>
      <c r="F1298">
        <v>19.59</v>
      </c>
      <c r="G1298" t="s">
        <v>35</v>
      </c>
      <c r="H1298" s="1">
        <v>45406</v>
      </c>
      <c r="I1298" s="1">
        <v>45437</v>
      </c>
      <c r="J1298" t="s">
        <v>38</v>
      </c>
      <c r="K1298" t="b">
        <f>Table1[[#This Row],[CurrentStock]]&lt;Table1[[#This Row],[ReorderLevel]]</f>
        <v>0</v>
      </c>
      <c r="L1298" s="9">
        <f>Table1[[#This Row],[CurrentStock]]*Table1[[#This Row],[UnitPrice]]</f>
        <v>4623.24</v>
      </c>
      <c r="M1298" t="str">
        <f>IF(Table1[[#This Row],[ReorderLevel]]-Table1[[#This Row],[CurrentStock]]&gt;0,Table1[[#This Row],[ReorderLevel]]-Table1[[#This Row],[CurrentStock]],"")</f>
        <v/>
      </c>
      <c r="N1298" t="str">
        <f>IF(Table1[[#This Row],[CurrentStock]]&gt;Table1[[#This Row],[ReorderLevel]]*3,"Over Stock","Okay")</f>
        <v>Over Stock</v>
      </c>
      <c r="O1298" t="str">
        <f>IF(Table1[[#This Row],[CurrentStock]]&lt;Table1[[#This Row],[ReorderLevel]],"Reorder","Okay")</f>
        <v>Okay</v>
      </c>
    </row>
    <row r="1299" spans="1:15" x14ac:dyDescent="0.3">
      <c r="A1299">
        <v>93697</v>
      </c>
      <c r="B1299" t="s">
        <v>25</v>
      </c>
      <c r="C1299" t="s">
        <v>31</v>
      </c>
      <c r="D1299">
        <v>499</v>
      </c>
      <c r="E1299">
        <v>150</v>
      </c>
      <c r="F1299">
        <v>456.68</v>
      </c>
      <c r="G1299" t="s">
        <v>36</v>
      </c>
      <c r="H1299" s="1">
        <v>45358</v>
      </c>
      <c r="I1299" s="1">
        <v>45372</v>
      </c>
      <c r="J1299" t="s">
        <v>37</v>
      </c>
      <c r="K1299" t="b">
        <f>Table1[[#This Row],[CurrentStock]]&lt;Table1[[#This Row],[ReorderLevel]]</f>
        <v>0</v>
      </c>
      <c r="L1299" s="9">
        <f>Table1[[#This Row],[CurrentStock]]*Table1[[#This Row],[UnitPrice]]</f>
        <v>227883.32</v>
      </c>
      <c r="M1299" t="str">
        <f>IF(Table1[[#This Row],[ReorderLevel]]-Table1[[#This Row],[CurrentStock]]&gt;0,Table1[[#This Row],[ReorderLevel]]-Table1[[#This Row],[CurrentStock]],"")</f>
        <v/>
      </c>
      <c r="N1299" t="str">
        <f>IF(Table1[[#This Row],[CurrentStock]]&gt;Table1[[#This Row],[ReorderLevel]]*3,"Over Stock","Okay")</f>
        <v>Over Stock</v>
      </c>
      <c r="O1299" t="str">
        <f>IF(Table1[[#This Row],[CurrentStock]]&lt;Table1[[#This Row],[ReorderLevel]],"Reorder","Okay")</f>
        <v>Okay</v>
      </c>
    </row>
    <row r="1300" spans="1:15" x14ac:dyDescent="0.3">
      <c r="A1300">
        <v>27333</v>
      </c>
      <c r="B1300" t="s">
        <v>16</v>
      </c>
      <c r="C1300" t="s">
        <v>30</v>
      </c>
      <c r="D1300">
        <v>86</v>
      </c>
      <c r="E1300">
        <v>20</v>
      </c>
      <c r="F1300">
        <v>364.86</v>
      </c>
      <c r="G1300" t="s">
        <v>35</v>
      </c>
      <c r="H1300" s="1">
        <v>45505</v>
      </c>
      <c r="I1300" s="1">
        <v>45536</v>
      </c>
      <c r="J1300" t="s">
        <v>38</v>
      </c>
      <c r="K1300" t="b">
        <f>Table1[[#This Row],[CurrentStock]]&lt;Table1[[#This Row],[ReorderLevel]]</f>
        <v>0</v>
      </c>
      <c r="L1300" s="9">
        <f>Table1[[#This Row],[CurrentStock]]*Table1[[#This Row],[UnitPrice]]</f>
        <v>31377.960000000003</v>
      </c>
      <c r="M1300" t="str">
        <f>IF(Table1[[#This Row],[ReorderLevel]]-Table1[[#This Row],[CurrentStock]]&gt;0,Table1[[#This Row],[ReorderLevel]]-Table1[[#This Row],[CurrentStock]],"")</f>
        <v/>
      </c>
      <c r="N1300" t="str">
        <f>IF(Table1[[#This Row],[CurrentStock]]&gt;Table1[[#This Row],[ReorderLevel]]*3,"Over Stock","Okay")</f>
        <v>Over Stock</v>
      </c>
      <c r="O1300" t="str">
        <f>IF(Table1[[#This Row],[CurrentStock]]&lt;Table1[[#This Row],[ReorderLevel]],"Reorder","Okay")</f>
        <v>Okay</v>
      </c>
    </row>
    <row r="1301" spans="1:15" x14ac:dyDescent="0.3">
      <c r="A1301">
        <v>96153</v>
      </c>
      <c r="B1301" t="s">
        <v>15</v>
      </c>
      <c r="C1301" t="s">
        <v>29</v>
      </c>
      <c r="D1301">
        <v>258</v>
      </c>
      <c r="E1301">
        <v>40</v>
      </c>
      <c r="F1301">
        <v>421.55</v>
      </c>
      <c r="G1301" t="s">
        <v>35</v>
      </c>
      <c r="H1301" s="1">
        <v>45482</v>
      </c>
      <c r="I1301" s="1">
        <v>45503</v>
      </c>
      <c r="J1301" t="s">
        <v>39</v>
      </c>
      <c r="K1301" t="b">
        <f>Table1[[#This Row],[CurrentStock]]&lt;Table1[[#This Row],[ReorderLevel]]</f>
        <v>0</v>
      </c>
      <c r="L1301" s="9">
        <f>Table1[[#This Row],[CurrentStock]]*Table1[[#This Row],[UnitPrice]]</f>
        <v>108759.90000000001</v>
      </c>
      <c r="M1301" t="str">
        <f>IF(Table1[[#This Row],[ReorderLevel]]-Table1[[#This Row],[CurrentStock]]&gt;0,Table1[[#This Row],[ReorderLevel]]-Table1[[#This Row],[CurrentStock]],"")</f>
        <v/>
      </c>
      <c r="N1301" t="str">
        <f>IF(Table1[[#This Row],[CurrentStock]]&gt;Table1[[#This Row],[ReorderLevel]]*3,"Over Stock","Okay")</f>
        <v>Over Stock</v>
      </c>
      <c r="O1301" t="str">
        <f>IF(Table1[[#This Row],[CurrentStock]]&lt;Table1[[#This Row],[ReorderLevel]],"Reorder","Okay")</f>
        <v>Okay</v>
      </c>
    </row>
    <row r="1302" spans="1:15" x14ac:dyDescent="0.3">
      <c r="A1302">
        <v>13952</v>
      </c>
      <c r="B1302" t="s">
        <v>18</v>
      </c>
      <c r="C1302" t="s">
        <v>28</v>
      </c>
      <c r="D1302">
        <v>355</v>
      </c>
      <c r="E1302">
        <v>80</v>
      </c>
      <c r="F1302">
        <v>300.33</v>
      </c>
      <c r="G1302" t="s">
        <v>35</v>
      </c>
      <c r="H1302" s="1">
        <v>45636</v>
      </c>
      <c r="I1302" s="1">
        <v>45660</v>
      </c>
      <c r="J1302" t="s">
        <v>39</v>
      </c>
      <c r="K1302" t="b">
        <f>Table1[[#This Row],[CurrentStock]]&lt;Table1[[#This Row],[ReorderLevel]]</f>
        <v>0</v>
      </c>
      <c r="L1302" s="9">
        <f>Table1[[#This Row],[CurrentStock]]*Table1[[#This Row],[UnitPrice]]</f>
        <v>106617.15</v>
      </c>
      <c r="M1302" t="str">
        <f>IF(Table1[[#This Row],[ReorderLevel]]-Table1[[#This Row],[CurrentStock]]&gt;0,Table1[[#This Row],[ReorderLevel]]-Table1[[#This Row],[CurrentStock]],"")</f>
        <v/>
      </c>
      <c r="N1302" t="str">
        <f>IF(Table1[[#This Row],[CurrentStock]]&gt;Table1[[#This Row],[ReorderLevel]]*3,"Over Stock","Okay")</f>
        <v>Over Stock</v>
      </c>
      <c r="O1302" t="str">
        <f>IF(Table1[[#This Row],[CurrentStock]]&lt;Table1[[#This Row],[ReorderLevel]],"Reorder","Okay")</f>
        <v>Okay</v>
      </c>
    </row>
    <row r="1303" spans="1:15" x14ac:dyDescent="0.3">
      <c r="A1303">
        <v>35957</v>
      </c>
      <c r="B1303" t="s">
        <v>17</v>
      </c>
      <c r="C1303" t="s">
        <v>30</v>
      </c>
      <c r="D1303">
        <v>476</v>
      </c>
      <c r="E1303">
        <v>80</v>
      </c>
      <c r="F1303">
        <v>301.10000000000002</v>
      </c>
      <c r="G1303" t="s">
        <v>36</v>
      </c>
      <c r="H1303" s="1">
        <v>45307</v>
      </c>
      <c r="I1303" s="1">
        <v>45341</v>
      </c>
      <c r="J1303" t="s">
        <v>38</v>
      </c>
      <c r="K1303" t="b">
        <f>Table1[[#This Row],[CurrentStock]]&lt;Table1[[#This Row],[ReorderLevel]]</f>
        <v>0</v>
      </c>
      <c r="L1303" s="9">
        <f>Table1[[#This Row],[CurrentStock]]*Table1[[#This Row],[UnitPrice]]</f>
        <v>143323.6</v>
      </c>
      <c r="M1303" t="str">
        <f>IF(Table1[[#This Row],[ReorderLevel]]-Table1[[#This Row],[CurrentStock]]&gt;0,Table1[[#This Row],[ReorderLevel]]-Table1[[#This Row],[CurrentStock]],"")</f>
        <v/>
      </c>
      <c r="N1303" t="str">
        <f>IF(Table1[[#This Row],[CurrentStock]]&gt;Table1[[#This Row],[ReorderLevel]]*3,"Over Stock","Okay")</f>
        <v>Over Stock</v>
      </c>
      <c r="O1303" t="str">
        <f>IF(Table1[[#This Row],[CurrentStock]]&lt;Table1[[#This Row],[ReorderLevel]],"Reorder","Okay")</f>
        <v>Okay</v>
      </c>
    </row>
    <row r="1304" spans="1:15" x14ac:dyDescent="0.3">
      <c r="A1304">
        <v>67757</v>
      </c>
      <c r="B1304" t="s">
        <v>17</v>
      </c>
      <c r="C1304" t="s">
        <v>30</v>
      </c>
      <c r="D1304">
        <v>454</v>
      </c>
      <c r="E1304">
        <v>30</v>
      </c>
      <c r="F1304">
        <v>293.58</v>
      </c>
      <c r="G1304" t="s">
        <v>35</v>
      </c>
      <c r="H1304" s="1">
        <v>45596</v>
      </c>
      <c r="I1304" s="1">
        <v>45613</v>
      </c>
      <c r="J1304" t="s">
        <v>37</v>
      </c>
      <c r="K1304" t="b">
        <f>Table1[[#This Row],[CurrentStock]]&lt;Table1[[#This Row],[ReorderLevel]]</f>
        <v>0</v>
      </c>
      <c r="L1304" s="9">
        <f>Table1[[#This Row],[CurrentStock]]*Table1[[#This Row],[UnitPrice]]</f>
        <v>133285.32</v>
      </c>
      <c r="M1304" t="str">
        <f>IF(Table1[[#This Row],[ReorderLevel]]-Table1[[#This Row],[CurrentStock]]&gt;0,Table1[[#This Row],[ReorderLevel]]-Table1[[#This Row],[CurrentStock]],"")</f>
        <v/>
      </c>
      <c r="N1304" t="str">
        <f>IF(Table1[[#This Row],[CurrentStock]]&gt;Table1[[#This Row],[ReorderLevel]]*3,"Over Stock","Okay")</f>
        <v>Over Stock</v>
      </c>
      <c r="O1304" t="str">
        <f>IF(Table1[[#This Row],[CurrentStock]]&lt;Table1[[#This Row],[ReorderLevel]],"Reorder","Okay")</f>
        <v>Okay</v>
      </c>
    </row>
    <row r="1305" spans="1:15" x14ac:dyDescent="0.3">
      <c r="A1305">
        <v>67732</v>
      </c>
      <c r="B1305" t="s">
        <v>22</v>
      </c>
      <c r="C1305" t="s">
        <v>27</v>
      </c>
      <c r="D1305">
        <v>212</v>
      </c>
      <c r="E1305">
        <v>50</v>
      </c>
      <c r="F1305">
        <v>281.56</v>
      </c>
      <c r="G1305" t="s">
        <v>33</v>
      </c>
      <c r="H1305" s="1">
        <v>45567</v>
      </c>
      <c r="I1305" s="1">
        <v>45605</v>
      </c>
      <c r="J1305" t="s">
        <v>38</v>
      </c>
      <c r="K1305" t="b">
        <f>Table1[[#This Row],[CurrentStock]]&lt;Table1[[#This Row],[ReorderLevel]]</f>
        <v>0</v>
      </c>
      <c r="L1305" s="9">
        <f>Table1[[#This Row],[CurrentStock]]*Table1[[#This Row],[UnitPrice]]</f>
        <v>59690.720000000001</v>
      </c>
      <c r="M1305" t="str">
        <f>IF(Table1[[#This Row],[ReorderLevel]]-Table1[[#This Row],[CurrentStock]]&gt;0,Table1[[#This Row],[ReorderLevel]]-Table1[[#This Row],[CurrentStock]],"")</f>
        <v/>
      </c>
      <c r="N1305" t="str">
        <f>IF(Table1[[#This Row],[CurrentStock]]&gt;Table1[[#This Row],[ReorderLevel]]*3,"Over Stock","Okay")</f>
        <v>Over Stock</v>
      </c>
      <c r="O1305" t="str">
        <f>IF(Table1[[#This Row],[CurrentStock]]&lt;Table1[[#This Row],[ReorderLevel]],"Reorder","Okay")</f>
        <v>Okay</v>
      </c>
    </row>
    <row r="1306" spans="1:15" x14ac:dyDescent="0.3">
      <c r="A1306">
        <v>76299</v>
      </c>
      <c r="B1306" t="s">
        <v>20</v>
      </c>
      <c r="C1306" t="s">
        <v>29</v>
      </c>
      <c r="D1306">
        <v>184</v>
      </c>
      <c r="E1306">
        <v>40</v>
      </c>
      <c r="F1306">
        <v>499.75</v>
      </c>
      <c r="G1306" t="s">
        <v>33</v>
      </c>
      <c r="H1306" s="1">
        <v>45633</v>
      </c>
      <c r="I1306" s="1">
        <v>45657</v>
      </c>
      <c r="J1306" t="s">
        <v>38</v>
      </c>
      <c r="K1306" t="b">
        <f>Table1[[#This Row],[CurrentStock]]&lt;Table1[[#This Row],[ReorderLevel]]</f>
        <v>0</v>
      </c>
      <c r="L1306" s="9">
        <f>Table1[[#This Row],[CurrentStock]]*Table1[[#This Row],[UnitPrice]]</f>
        <v>91954</v>
      </c>
      <c r="M1306" t="str">
        <f>IF(Table1[[#This Row],[ReorderLevel]]-Table1[[#This Row],[CurrentStock]]&gt;0,Table1[[#This Row],[ReorderLevel]]-Table1[[#This Row],[CurrentStock]],"")</f>
        <v/>
      </c>
      <c r="N1306" t="str">
        <f>IF(Table1[[#This Row],[CurrentStock]]&gt;Table1[[#This Row],[ReorderLevel]]*3,"Over Stock","Okay")</f>
        <v>Over Stock</v>
      </c>
      <c r="O1306" t="str">
        <f>IF(Table1[[#This Row],[CurrentStock]]&lt;Table1[[#This Row],[ReorderLevel]],"Reorder","Okay")</f>
        <v>Okay</v>
      </c>
    </row>
    <row r="1307" spans="1:15" x14ac:dyDescent="0.3">
      <c r="A1307">
        <v>19395</v>
      </c>
      <c r="B1307" t="s">
        <v>10</v>
      </c>
      <c r="C1307" t="s">
        <v>27</v>
      </c>
      <c r="D1307">
        <v>302</v>
      </c>
      <c r="E1307">
        <v>50</v>
      </c>
      <c r="F1307">
        <v>485.43</v>
      </c>
      <c r="G1307" t="s">
        <v>35</v>
      </c>
      <c r="H1307" s="1">
        <v>45445</v>
      </c>
      <c r="I1307" s="1">
        <v>45463</v>
      </c>
      <c r="J1307" t="s">
        <v>39</v>
      </c>
      <c r="K1307" t="b">
        <f>Table1[[#This Row],[CurrentStock]]&lt;Table1[[#This Row],[ReorderLevel]]</f>
        <v>0</v>
      </c>
      <c r="L1307" s="9">
        <f>Table1[[#This Row],[CurrentStock]]*Table1[[#This Row],[UnitPrice]]</f>
        <v>146599.86000000002</v>
      </c>
      <c r="M1307" t="str">
        <f>IF(Table1[[#This Row],[ReorderLevel]]-Table1[[#This Row],[CurrentStock]]&gt;0,Table1[[#This Row],[ReorderLevel]]-Table1[[#This Row],[CurrentStock]],"")</f>
        <v/>
      </c>
      <c r="N1307" t="str">
        <f>IF(Table1[[#This Row],[CurrentStock]]&gt;Table1[[#This Row],[ReorderLevel]]*3,"Over Stock","Okay")</f>
        <v>Over Stock</v>
      </c>
      <c r="O1307" t="str">
        <f>IF(Table1[[#This Row],[CurrentStock]]&lt;Table1[[#This Row],[ReorderLevel]],"Reorder","Okay")</f>
        <v>Okay</v>
      </c>
    </row>
    <row r="1308" spans="1:15" x14ac:dyDescent="0.3">
      <c r="A1308">
        <v>13664</v>
      </c>
      <c r="B1308" t="s">
        <v>20</v>
      </c>
      <c r="C1308" t="s">
        <v>29</v>
      </c>
      <c r="D1308">
        <v>59</v>
      </c>
      <c r="E1308">
        <v>30</v>
      </c>
      <c r="F1308">
        <v>193.2</v>
      </c>
      <c r="G1308" t="s">
        <v>35</v>
      </c>
      <c r="H1308" s="1">
        <v>45312</v>
      </c>
      <c r="I1308" s="1">
        <v>45343</v>
      </c>
      <c r="J1308" t="s">
        <v>38</v>
      </c>
      <c r="K1308" t="b">
        <f>Table1[[#This Row],[CurrentStock]]&lt;Table1[[#This Row],[ReorderLevel]]</f>
        <v>0</v>
      </c>
      <c r="L1308" s="9">
        <f>Table1[[#This Row],[CurrentStock]]*Table1[[#This Row],[UnitPrice]]</f>
        <v>11398.8</v>
      </c>
      <c r="M1308" t="str">
        <f>IF(Table1[[#This Row],[ReorderLevel]]-Table1[[#This Row],[CurrentStock]]&gt;0,Table1[[#This Row],[ReorderLevel]]-Table1[[#This Row],[CurrentStock]],"")</f>
        <v/>
      </c>
      <c r="N1308" t="str">
        <f>IF(Table1[[#This Row],[CurrentStock]]&gt;Table1[[#This Row],[ReorderLevel]]*3,"Over Stock","Okay")</f>
        <v>Okay</v>
      </c>
      <c r="O1308" t="str">
        <f>IF(Table1[[#This Row],[CurrentStock]]&lt;Table1[[#This Row],[ReorderLevel]],"Reorder","Okay")</f>
        <v>Okay</v>
      </c>
    </row>
    <row r="1309" spans="1:15" x14ac:dyDescent="0.3">
      <c r="A1309">
        <v>27241</v>
      </c>
      <c r="B1309" t="s">
        <v>21</v>
      </c>
      <c r="C1309" t="s">
        <v>31</v>
      </c>
      <c r="D1309">
        <v>473</v>
      </c>
      <c r="E1309">
        <v>80</v>
      </c>
      <c r="F1309">
        <v>226.87</v>
      </c>
      <c r="G1309" t="s">
        <v>34</v>
      </c>
      <c r="H1309" s="1">
        <v>45423</v>
      </c>
      <c r="I1309" s="1">
        <v>45431</v>
      </c>
      <c r="J1309" t="s">
        <v>37</v>
      </c>
      <c r="K1309" t="b">
        <f>Table1[[#This Row],[CurrentStock]]&lt;Table1[[#This Row],[ReorderLevel]]</f>
        <v>0</v>
      </c>
      <c r="L1309" s="9">
        <f>Table1[[#This Row],[CurrentStock]]*Table1[[#This Row],[UnitPrice]]</f>
        <v>107309.51000000001</v>
      </c>
      <c r="M1309" t="str">
        <f>IF(Table1[[#This Row],[ReorderLevel]]-Table1[[#This Row],[CurrentStock]]&gt;0,Table1[[#This Row],[ReorderLevel]]-Table1[[#This Row],[CurrentStock]],"")</f>
        <v/>
      </c>
      <c r="N1309" t="str">
        <f>IF(Table1[[#This Row],[CurrentStock]]&gt;Table1[[#This Row],[ReorderLevel]]*3,"Over Stock","Okay")</f>
        <v>Over Stock</v>
      </c>
      <c r="O1309" t="str">
        <f>IF(Table1[[#This Row],[CurrentStock]]&lt;Table1[[#This Row],[ReorderLevel]],"Reorder","Okay")</f>
        <v>Okay</v>
      </c>
    </row>
    <row r="1310" spans="1:15" x14ac:dyDescent="0.3">
      <c r="A1310">
        <v>59167</v>
      </c>
      <c r="B1310" t="s">
        <v>12</v>
      </c>
      <c r="C1310" t="s">
        <v>28</v>
      </c>
      <c r="D1310">
        <v>114</v>
      </c>
      <c r="E1310">
        <v>80</v>
      </c>
      <c r="F1310">
        <v>455.09</v>
      </c>
      <c r="G1310" t="s">
        <v>36</v>
      </c>
      <c r="H1310" s="1">
        <v>45528</v>
      </c>
      <c r="I1310" s="1">
        <v>45555</v>
      </c>
      <c r="J1310" t="s">
        <v>39</v>
      </c>
      <c r="K1310" t="b">
        <f>Table1[[#This Row],[CurrentStock]]&lt;Table1[[#This Row],[ReorderLevel]]</f>
        <v>0</v>
      </c>
      <c r="L1310" s="9">
        <f>Table1[[#This Row],[CurrentStock]]*Table1[[#This Row],[UnitPrice]]</f>
        <v>51880.259999999995</v>
      </c>
      <c r="M1310" t="str">
        <f>IF(Table1[[#This Row],[ReorderLevel]]-Table1[[#This Row],[CurrentStock]]&gt;0,Table1[[#This Row],[ReorderLevel]]-Table1[[#This Row],[CurrentStock]],"")</f>
        <v/>
      </c>
      <c r="N1310" t="str">
        <f>IF(Table1[[#This Row],[CurrentStock]]&gt;Table1[[#This Row],[ReorderLevel]]*3,"Over Stock","Okay")</f>
        <v>Okay</v>
      </c>
      <c r="O1310" t="str">
        <f>IF(Table1[[#This Row],[CurrentStock]]&lt;Table1[[#This Row],[ReorderLevel]],"Reorder","Okay")</f>
        <v>Okay</v>
      </c>
    </row>
    <row r="1311" spans="1:15" x14ac:dyDescent="0.3">
      <c r="A1311">
        <v>21826</v>
      </c>
      <c r="B1311" t="s">
        <v>19</v>
      </c>
      <c r="C1311" t="s">
        <v>28</v>
      </c>
      <c r="D1311">
        <v>443</v>
      </c>
      <c r="E1311">
        <v>100</v>
      </c>
      <c r="F1311">
        <v>298.97000000000003</v>
      </c>
      <c r="G1311" t="s">
        <v>35</v>
      </c>
      <c r="H1311" s="1">
        <v>45499</v>
      </c>
      <c r="I1311" s="1">
        <v>45510</v>
      </c>
      <c r="J1311" t="s">
        <v>37</v>
      </c>
      <c r="K1311" t="b">
        <f>Table1[[#This Row],[CurrentStock]]&lt;Table1[[#This Row],[ReorderLevel]]</f>
        <v>0</v>
      </c>
      <c r="L1311" s="9">
        <f>Table1[[#This Row],[CurrentStock]]*Table1[[#This Row],[UnitPrice]]</f>
        <v>132443.71000000002</v>
      </c>
      <c r="M1311" t="str">
        <f>IF(Table1[[#This Row],[ReorderLevel]]-Table1[[#This Row],[CurrentStock]]&gt;0,Table1[[#This Row],[ReorderLevel]]-Table1[[#This Row],[CurrentStock]],"")</f>
        <v/>
      </c>
      <c r="N1311" t="str">
        <f>IF(Table1[[#This Row],[CurrentStock]]&gt;Table1[[#This Row],[ReorderLevel]]*3,"Over Stock","Okay")</f>
        <v>Over Stock</v>
      </c>
      <c r="O1311" t="str">
        <f>IF(Table1[[#This Row],[CurrentStock]]&lt;Table1[[#This Row],[ReorderLevel]],"Reorder","Okay")</f>
        <v>Okay</v>
      </c>
    </row>
    <row r="1312" spans="1:15" x14ac:dyDescent="0.3">
      <c r="A1312">
        <v>93106</v>
      </c>
      <c r="B1312" t="s">
        <v>24</v>
      </c>
      <c r="C1312" t="s">
        <v>31</v>
      </c>
      <c r="D1312">
        <v>377</v>
      </c>
      <c r="E1312">
        <v>150</v>
      </c>
      <c r="F1312">
        <v>337.14</v>
      </c>
      <c r="G1312" t="s">
        <v>35</v>
      </c>
      <c r="H1312" s="1">
        <v>45557</v>
      </c>
      <c r="I1312" s="1">
        <v>45570</v>
      </c>
      <c r="J1312" t="s">
        <v>39</v>
      </c>
      <c r="K1312" t="b">
        <f>Table1[[#This Row],[CurrentStock]]&lt;Table1[[#This Row],[ReorderLevel]]</f>
        <v>0</v>
      </c>
      <c r="L1312" s="9">
        <f>Table1[[#This Row],[CurrentStock]]*Table1[[#This Row],[UnitPrice]]</f>
        <v>127101.78</v>
      </c>
      <c r="M1312" t="str">
        <f>IF(Table1[[#This Row],[ReorderLevel]]-Table1[[#This Row],[CurrentStock]]&gt;0,Table1[[#This Row],[ReorderLevel]]-Table1[[#This Row],[CurrentStock]],"")</f>
        <v/>
      </c>
      <c r="N1312" t="str">
        <f>IF(Table1[[#This Row],[CurrentStock]]&gt;Table1[[#This Row],[ReorderLevel]]*3,"Over Stock","Okay")</f>
        <v>Okay</v>
      </c>
      <c r="O1312" t="str">
        <f>IF(Table1[[#This Row],[CurrentStock]]&lt;Table1[[#This Row],[ReorderLevel]],"Reorder","Okay")</f>
        <v>Okay</v>
      </c>
    </row>
    <row r="1313" spans="1:15" x14ac:dyDescent="0.3">
      <c r="A1313">
        <v>97340</v>
      </c>
      <c r="B1313" t="s">
        <v>11</v>
      </c>
      <c r="C1313" t="s">
        <v>27</v>
      </c>
      <c r="D1313">
        <v>308</v>
      </c>
      <c r="E1313">
        <v>50</v>
      </c>
      <c r="F1313">
        <v>253.17</v>
      </c>
      <c r="G1313" t="s">
        <v>34</v>
      </c>
      <c r="H1313" s="1">
        <v>45530</v>
      </c>
      <c r="I1313" s="1">
        <v>45539</v>
      </c>
      <c r="J1313" t="s">
        <v>38</v>
      </c>
      <c r="K1313" t="b">
        <f>Table1[[#This Row],[CurrentStock]]&lt;Table1[[#This Row],[ReorderLevel]]</f>
        <v>0</v>
      </c>
      <c r="L1313" s="9">
        <f>Table1[[#This Row],[CurrentStock]]*Table1[[#This Row],[UnitPrice]]</f>
        <v>77976.36</v>
      </c>
      <c r="M1313" t="str">
        <f>IF(Table1[[#This Row],[ReorderLevel]]-Table1[[#This Row],[CurrentStock]]&gt;0,Table1[[#This Row],[ReorderLevel]]-Table1[[#This Row],[CurrentStock]],"")</f>
        <v/>
      </c>
      <c r="N1313" t="str">
        <f>IF(Table1[[#This Row],[CurrentStock]]&gt;Table1[[#This Row],[ReorderLevel]]*3,"Over Stock","Okay")</f>
        <v>Over Stock</v>
      </c>
      <c r="O1313" t="str">
        <f>IF(Table1[[#This Row],[CurrentStock]]&lt;Table1[[#This Row],[ReorderLevel]],"Reorder","Okay")</f>
        <v>Okay</v>
      </c>
    </row>
    <row r="1314" spans="1:15" x14ac:dyDescent="0.3">
      <c r="A1314">
        <v>58807</v>
      </c>
      <c r="B1314" t="s">
        <v>26</v>
      </c>
      <c r="C1314" t="s">
        <v>30</v>
      </c>
      <c r="D1314">
        <v>294</v>
      </c>
      <c r="E1314">
        <v>100</v>
      </c>
      <c r="F1314">
        <v>216.71</v>
      </c>
      <c r="G1314" t="s">
        <v>36</v>
      </c>
      <c r="H1314" s="1">
        <v>45586</v>
      </c>
      <c r="I1314" s="1">
        <v>45611</v>
      </c>
      <c r="J1314" t="s">
        <v>38</v>
      </c>
      <c r="K1314" t="b">
        <f>Table1[[#This Row],[CurrentStock]]&lt;Table1[[#This Row],[ReorderLevel]]</f>
        <v>0</v>
      </c>
      <c r="L1314" s="9">
        <f>Table1[[#This Row],[CurrentStock]]*Table1[[#This Row],[UnitPrice]]</f>
        <v>63712.740000000005</v>
      </c>
      <c r="M1314" t="str">
        <f>IF(Table1[[#This Row],[ReorderLevel]]-Table1[[#This Row],[CurrentStock]]&gt;0,Table1[[#This Row],[ReorderLevel]]-Table1[[#This Row],[CurrentStock]],"")</f>
        <v/>
      </c>
      <c r="N1314" t="str">
        <f>IF(Table1[[#This Row],[CurrentStock]]&gt;Table1[[#This Row],[ReorderLevel]]*3,"Over Stock","Okay")</f>
        <v>Okay</v>
      </c>
      <c r="O1314" t="str">
        <f>IF(Table1[[#This Row],[CurrentStock]]&lt;Table1[[#This Row],[ReorderLevel]],"Reorder","Okay")</f>
        <v>Okay</v>
      </c>
    </row>
    <row r="1315" spans="1:15" x14ac:dyDescent="0.3">
      <c r="A1315">
        <v>99521</v>
      </c>
      <c r="B1315" t="s">
        <v>21</v>
      </c>
      <c r="C1315" t="s">
        <v>31</v>
      </c>
      <c r="D1315">
        <v>239</v>
      </c>
      <c r="E1315">
        <v>100</v>
      </c>
      <c r="F1315">
        <v>464.87</v>
      </c>
      <c r="G1315" t="s">
        <v>35</v>
      </c>
      <c r="H1315" s="1">
        <v>45456</v>
      </c>
      <c r="I1315" s="1">
        <v>45475</v>
      </c>
      <c r="J1315" t="s">
        <v>39</v>
      </c>
      <c r="K1315" t="b">
        <f>Table1[[#This Row],[CurrentStock]]&lt;Table1[[#This Row],[ReorderLevel]]</f>
        <v>0</v>
      </c>
      <c r="L1315" s="9">
        <f>Table1[[#This Row],[CurrentStock]]*Table1[[#This Row],[UnitPrice]]</f>
        <v>111103.93000000001</v>
      </c>
      <c r="M1315" t="str">
        <f>IF(Table1[[#This Row],[ReorderLevel]]-Table1[[#This Row],[CurrentStock]]&gt;0,Table1[[#This Row],[ReorderLevel]]-Table1[[#This Row],[CurrentStock]],"")</f>
        <v/>
      </c>
      <c r="N1315" t="str">
        <f>IF(Table1[[#This Row],[CurrentStock]]&gt;Table1[[#This Row],[ReorderLevel]]*3,"Over Stock","Okay")</f>
        <v>Okay</v>
      </c>
      <c r="O1315" t="str">
        <f>IF(Table1[[#This Row],[CurrentStock]]&lt;Table1[[#This Row],[ReorderLevel]],"Reorder","Okay")</f>
        <v>Okay</v>
      </c>
    </row>
    <row r="1316" spans="1:15" x14ac:dyDescent="0.3">
      <c r="A1316">
        <v>26254</v>
      </c>
      <c r="B1316" t="s">
        <v>20</v>
      </c>
      <c r="C1316" t="s">
        <v>29</v>
      </c>
      <c r="D1316">
        <v>299</v>
      </c>
      <c r="E1316">
        <v>150</v>
      </c>
      <c r="F1316">
        <v>479.48</v>
      </c>
      <c r="G1316" t="s">
        <v>35</v>
      </c>
      <c r="H1316" s="1">
        <v>45339</v>
      </c>
      <c r="I1316" s="1">
        <v>45361</v>
      </c>
      <c r="J1316" t="s">
        <v>37</v>
      </c>
      <c r="K1316" t="b">
        <f>Table1[[#This Row],[CurrentStock]]&lt;Table1[[#This Row],[ReorderLevel]]</f>
        <v>0</v>
      </c>
      <c r="L1316" s="9">
        <f>Table1[[#This Row],[CurrentStock]]*Table1[[#This Row],[UnitPrice]]</f>
        <v>143364.52000000002</v>
      </c>
      <c r="M1316" t="str">
        <f>IF(Table1[[#This Row],[ReorderLevel]]-Table1[[#This Row],[CurrentStock]]&gt;0,Table1[[#This Row],[ReorderLevel]]-Table1[[#This Row],[CurrentStock]],"")</f>
        <v/>
      </c>
      <c r="N1316" t="str">
        <f>IF(Table1[[#This Row],[CurrentStock]]&gt;Table1[[#This Row],[ReorderLevel]]*3,"Over Stock","Okay")</f>
        <v>Okay</v>
      </c>
      <c r="O1316" t="str">
        <f>IF(Table1[[#This Row],[CurrentStock]]&lt;Table1[[#This Row],[ReorderLevel]],"Reorder","Okay")</f>
        <v>Okay</v>
      </c>
    </row>
    <row r="1317" spans="1:15" x14ac:dyDescent="0.3">
      <c r="A1317">
        <v>60603</v>
      </c>
      <c r="B1317" t="s">
        <v>16</v>
      </c>
      <c r="C1317" t="s">
        <v>30</v>
      </c>
      <c r="D1317">
        <v>83</v>
      </c>
      <c r="E1317">
        <v>30</v>
      </c>
      <c r="F1317">
        <v>322.94</v>
      </c>
      <c r="G1317" t="s">
        <v>32</v>
      </c>
      <c r="H1317" s="1">
        <v>45407</v>
      </c>
      <c r="I1317" s="1">
        <v>45424</v>
      </c>
      <c r="J1317" t="s">
        <v>39</v>
      </c>
      <c r="K1317" t="b">
        <f>Table1[[#This Row],[CurrentStock]]&lt;Table1[[#This Row],[ReorderLevel]]</f>
        <v>0</v>
      </c>
      <c r="L1317" s="9">
        <f>Table1[[#This Row],[CurrentStock]]*Table1[[#This Row],[UnitPrice]]</f>
        <v>26804.02</v>
      </c>
      <c r="M1317" t="str">
        <f>IF(Table1[[#This Row],[ReorderLevel]]-Table1[[#This Row],[CurrentStock]]&gt;0,Table1[[#This Row],[ReorderLevel]]-Table1[[#This Row],[CurrentStock]],"")</f>
        <v/>
      </c>
      <c r="N1317" t="str">
        <f>IF(Table1[[#This Row],[CurrentStock]]&gt;Table1[[#This Row],[ReorderLevel]]*3,"Over Stock","Okay")</f>
        <v>Okay</v>
      </c>
      <c r="O1317" t="str">
        <f>IF(Table1[[#This Row],[CurrentStock]]&lt;Table1[[#This Row],[ReorderLevel]],"Reorder","Okay")</f>
        <v>Okay</v>
      </c>
    </row>
    <row r="1318" spans="1:15" x14ac:dyDescent="0.3">
      <c r="A1318">
        <v>72820</v>
      </c>
      <c r="B1318" t="s">
        <v>23</v>
      </c>
      <c r="C1318" t="s">
        <v>30</v>
      </c>
      <c r="D1318">
        <v>347</v>
      </c>
      <c r="E1318">
        <v>80</v>
      </c>
      <c r="F1318">
        <v>445.96</v>
      </c>
      <c r="G1318" t="s">
        <v>35</v>
      </c>
      <c r="H1318" s="1">
        <v>45447</v>
      </c>
      <c r="I1318" s="1">
        <v>45453</v>
      </c>
      <c r="J1318" t="s">
        <v>37</v>
      </c>
      <c r="K1318" t="b">
        <f>Table1[[#This Row],[CurrentStock]]&lt;Table1[[#This Row],[ReorderLevel]]</f>
        <v>0</v>
      </c>
      <c r="L1318" s="9">
        <f>Table1[[#This Row],[CurrentStock]]*Table1[[#This Row],[UnitPrice]]</f>
        <v>154748.12</v>
      </c>
      <c r="M1318" t="str">
        <f>IF(Table1[[#This Row],[ReorderLevel]]-Table1[[#This Row],[CurrentStock]]&gt;0,Table1[[#This Row],[ReorderLevel]]-Table1[[#This Row],[CurrentStock]],"")</f>
        <v/>
      </c>
      <c r="N1318" t="str">
        <f>IF(Table1[[#This Row],[CurrentStock]]&gt;Table1[[#This Row],[ReorderLevel]]*3,"Over Stock","Okay")</f>
        <v>Over Stock</v>
      </c>
      <c r="O1318" t="str">
        <f>IF(Table1[[#This Row],[CurrentStock]]&lt;Table1[[#This Row],[ReorderLevel]],"Reorder","Okay")</f>
        <v>Okay</v>
      </c>
    </row>
    <row r="1319" spans="1:15" x14ac:dyDescent="0.3">
      <c r="A1319">
        <v>83802</v>
      </c>
      <c r="B1319" t="s">
        <v>25</v>
      </c>
      <c r="C1319" t="s">
        <v>31</v>
      </c>
      <c r="D1319">
        <v>57</v>
      </c>
      <c r="E1319">
        <v>100</v>
      </c>
      <c r="F1319">
        <v>82.06</v>
      </c>
      <c r="G1319" t="s">
        <v>35</v>
      </c>
      <c r="H1319" s="1">
        <v>45448</v>
      </c>
      <c r="I1319" s="1">
        <v>45487</v>
      </c>
      <c r="J1319" t="s">
        <v>38</v>
      </c>
      <c r="K1319" t="b">
        <f>Table1[[#This Row],[CurrentStock]]&lt;Table1[[#This Row],[ReorderLevel]]</f>
        <v>1</v>
      </c>
      <c r="L1319" s="9">
        <f>Table1[[#This Row],[CurrentStock]]*Table1[[#This Row],[UnitPrice]]</f>
        <v>4677.42</v>
      </c>
      <c r="M1319">
        <f>IF(Table1[[#This Row],[ReorderLevel]]-Table1[[#This Row],[CurrentStock]]&gt;0,Table1[[#This Row],[ReorderLevel]]-Table1[[#This Row],[CurrentStock]],"")</f>
        <v>43</v>
      </c>
      <c r="N1319" t="str">
        <f>IF(Table1[[#This Row],[CurrentStock]]&gt;Table1[[#This Row],[ReorderLevel]]*3,"Over Stock","Okay")</f>
        <v>Okay</v>
      </c>
      <c r="O1319" t="str">
        <f>IF(Table1[[#This Row],[CurrentStock]]&lt;Table1[[#This Row],[ReorderLevel]],"Reorder","Okay")</f>
        <v>Reorder</v>
      </c>
    </row>
    <row r="1320" spans="1:15" x14ac:dyDescent="0.3">
      <c r="A1320">
        <v>79852</v>
      </c>
      <c r="B1320" t="s">
        <v>20</v>
      </c>
      <c r="C1320" t="s">
        <v>29</v>
      </c>
      <c r="D1320">
        <v>77</v>
      </c>
      <c r="E1320">
        <v>150</v>
      </c>
      <c r="F1320">
        <v>303.25</v>
      </c>
      <c r="G1320" t="s">
        <v>32</v>
      </c>
      <c r="H1320" s="1">
        <v>45595</v>
      </c>
      <c r="I1320" s="1">
        <v>45602</v>
      </c>
      <c r="J1320" t="s">
        <v>38</v>
      </c>
      <c r="K1320" t="b">
        <f>Table1[[#This Row],[CurrentStock]]&lt;Table1[[#This Row],[ReorderLevel]]</f>
        <v>1</v>
      </c>
      <c r="L1320" s="9">
        <f>Table1[[#This Row],[CurrentStock]]*Table1[[#This Row],[UnitPrice]]</f>
        <v>23350.25</v>
      </c>
      <c r="M1320">
        <f>IF(Table1[[#This Row],[ReorderLevel]]-Table1[[#This Row],[CurrentStock]]&gt;0,Table1[[#This Row],[ReorderLevel]]-Table1[[#This Row],[CurrentStock]],"")</f>
        <v>73</v>
      </c>
      <c r="N1320" t="str">
        <f>IF(Table1[[#This Row],[CurrentStock]]&gt;Table1[[#This Row],[ReorderLevel]]*3,"Over Stock","Okay")</f>
        <v>Okay</v>
      </c>
      <c r="O1320" t="str">
        <f>IF(Table1[[#This Row],[CurrentStock]]&lt;Table1[[#This Row],[ReorderLevel]],"Reorder","Okay")</f>
        <v>Reorder</v>
      </c>
    </row>
    <row r="1321" spans="1:15" x14ac:dyDescent="0.3">
      <c r="A1321">
        <v>53481</v>
      </c>
      <c r="B1321" t="s">
        <v>11</v>
      </c>
      <c r="C1321" t="s">
        <v>27</v>
      </c>
      <c r="D1321">
        <v>253</v>
      </c>
      <c r="E1321">
        <v>30</v>
      </c>
      <c r="F1321">
        <v>26.83</v>
      </c>
      <c r="G1321" t="s">
        <v>33</v>
      </c>
      <c r="H1321" s="1">
        <v>45506</v>
      </c>
      <c r="I1321" s="1">
        <v>45532</v>
      </c>
      <c r="J1321" t="s">
        <v>38</v>
      </c>
      <c r="K1321" t="b">
        <f>Table1[[#This Row],[CurrentStock]]&lt;Table1[[#This Row],[ReorderLevel]]</f>
        <v>0</v>
      </c>
      <c r="L1321" s="9">
        <f>Table1[[#This Row],[CurrentStock]]*Table1[[#This Row],[UnitPrice]]</f>
        <v>6787.99</v>
      </c>
      <c r="M1321" t="str">
        <f>IF(Table1[[#This Row],[ReorderLevel]]-Table1[[#This Row],[CurrentStock]]&gt;0,Table1[[#This Row],[ReorderLevel]]-Table1[[#This Row],[CurrentStock]],"")</f>
        <v/>
      </c>
      <c r="N1321" t="str">
        <f>IF(Table1[[#This Row],[CurrentStock]]&gt;Table1[[#This Row],[ReorderLevel]]*3,"Over Stock","Okay")</f>
        <v>Over Stock</v>
      </c>
      <c r="O1321" t="str">
        <f>IF(Table1[[#This Row],[CurrentStock]]&lt;Table1[[#This Row],[ReorderLevel]],"Reorder","Okay")</f>
        <v>Okay</v>
      </c>
    </row>
    <row r="1322" spans="1:15" x14ac:dyDescent="0.3">
      <c r="A1322">
        <v>37740</v>
      </c>
      <c r="B1322" t="s">
        <v>19</v>
      </c>
      <c r="C1322" t="s">
        <v>28</v>
      </c>
      <c r="D1322">
        <v>474</v>
      </c>
      <c r="E1322">
        <v>30</v>
      </c>
      <c r="F1322">
        <v>158.44</v>
      </c>
      <c r="G1322" t="s">
        <v>35</v>
      </c>
      <c r="H1322" s="1">
        <v>45357</v>
      </c>
      <c r="I1322" s="1">
        <v>45366</v>
      </c>
      <c r="J1322" t="s">
        <v>39</v>
      </c>
      <c r="K1322" t="b">
        <f>Table1[[#This Row],[CurrentStock]]&lt;Table1[[#This Row],[ReorderLevel]]</f>
        <v>0</v>
      </c>
      <c r="L1322" s="9">
        <f>Table1[[#This Row],[CurrentStock]]*Table1[[#This Row],[UnitPrice]]</f>
        <v>75100.56</v>
      </c>
      <c r="M1322" t="str">
        <f>IF(Table1[[#This Row],[ReorderLevel]]-Table1[[#This Row],[CurrentStock]]&gt;0,Table1[[#This Row],[ReorderLevel]]-Table1[[#This Row],[CurrentStock]],"")</f>
        <v/>
      </c>
      <c r="N1322" t="str">
        <f>IF(Table1[[#This Row],[CurrentStock]]&gt;Table1[[#This Row],[ReorderLevel]]*3,"Over Stock","Okay")</f>
        <v>Over Stock</v>
      </c>
      <c r="O1322" t="str">
        <f>IF(Table1[[#This Row],[CurrentStock]]&lt;Table1[[#This Row],[ReorderLevel]],"Reorder","Okay")</f>
        <v>Okay</v>
      </c>
    </row>
    <row r="1323" spans="1:15" x14ac:dyDescent="0.3">
      <c r="A1323">
        <v>66531</v>
      </c>
      <c r="B1323" t="s">
        <v>14</v>
      </c>
      <c r="C1323" t="s">
        <v>27</v>
      </c>
      <c r="D1323">
        <v>105</v>
      </c>
      <c r="E1323">
        <v>80</v>
      </c>
      <c r="F1323">
        <v>394.21</v>
      </c>
      <c r="G1323" t="s">
        <v>35</v>
      </c>
      <c r="H1323" s="1">
        <v>45605</v>
      </c>
      <c r="I1323" s="1">
        <v>45624</v>
      </c>
      <c r="J1323" t="s">
        <v>38</v>
      </c>
      <c r="K1323" t="b">
        <f>Table1[[#This Row],[CurrentStock]]&lt;Table1[[#This Row],[ReorderLevel]]</f>
        <v>0</v>
      </c>
      <c r="L1323" s="9">
        <f>Table1[[#This Row],[CurrentStock]]*Table1[[#This Row],[UnitPrice]]</f>
        <v>41392.049999999996</v>
      </c>
      <c r="M1323" t="str">
        <f>IF(Table1[[#This Row],[ReorderLevel]]-Table1[[#This Row],[CurrentStock]]&gt;0,Table1[[#This Row],[ReorderLevel]]-Table1[[#This Row],[CurrentStock]],"")</f>
        <v/>
      </c>
      <c r="N1323" t="str">
        <f>IF(Table1[[#This Row],[CurrentStock]]&gt;Table1[[#This Row],[ReorderLevel]]*3,"Over Stock","Okay")</f>
        <v>Okay</v>
      </c>
      <c r="O1323" t="str">
        <f>IF(Table1[[#This Row],[CurrentStock]]&lt;Table1[[#This Row],[ReorderLevel]],"Reorder","Okay")</f>
        <v>Okay</v>
      </c>
    </row>
    <row r="1324" spans="1:15" x14ac:dyDescent="0.3">
      <c r="A1324">
        <v>27881</v>
      </c>
      <c r="B1324" t="s">
        <v>10</v>
      </c>
      <c r="C1324" t="s">
        <v>27</v>
      </c>
      <c r="D1324">
        <v>349</v>
      </c>
      <c r="E1324">
        <v>100</v>
      </c>
      <c r="F1324">
        <v>356.4</v>
      </c>
      <c r="G1324" t="s">
        <v>34</v>
      </c>
      <c r="H1324" s="1">
        <v>45580</v>
      </c>
      <c r="I1324" s="1">
        <v>45610</v>
      </c>
      <c r="J1324" t="s">
        <v>37</v>
      </c>
      <c r="K1324" t="b">
        <f>Table1[[#This Row],[CurrentStock]]&lt;Table1[[#This Row],[ReorderLevel]]</f>
        <v>0</v>
      </c>
      <c r="L1324" s="9">
        <f>Table1[[#This Row],[CurrentStock]]*Table1[[#This Row],[UnitPrice]]</f>
        <v>124383.59999999999</v>
      </c>
      <c r="M1324" t="str">
        <f>IF(Table1[[#This Row],[ReorderLevel]]-Table1[[#This Row],[CurrentStock]]&gt;0,Table1[[#This Row],[ReorderLevel]]-Table1[[#This Row],[CurrentStock]],"")</f>
        <v/>
      </c>
      <c r="N1324" t="str">
        <f>IF(Table1[[#This Row],[CurrentStock]]&gt;Table1[[#This Row],[ReorderLevel]]*3,"Over Stock","Okay")</f>
        <v>Over Stock</v>
      </c>
      <c r="O1324" t="str">
        <f>IF(Table1[[#This Row],[CurrentStock]]&lt;Table1[[#This Row],[ReorderLevel]],"Reorder","Okay")</f>
        <v>Okay</v>
      </c>
    </row>
    <row r="1325" spans="1:15" x14ac:dyDescent="0.3">
      <c r="A1325">
        <v>26350</v>
      </c>
      <c r="B1325" t="s">
        <v>13</v>
      </c>
      <c r="C1325" t="s">
        <v>29</v>
      </c>
      <c r="D1325">
        <v>113</v>
      </c>
      <c r="E1325">
        <v>20</v>
      </c>
      <c r="F1325">
        <v>55.69</v>
      </c>
      <c r="G1325" t="s">
        <v>34</v>
      </c>
      <c r="H1325" s="1">
        <v>45549</v>
      </c>
      <c r="I1325" s="1">
        <v>45554</v>
      </c>
      <c r="J1325" t="s">
        <v>39</v>
      </c>
      <c r="K1325" t="b">
        <f>Table1[[#This Row],[CurrentStock]]&lt;Table1[[#This Row],[ReorderLevel]]</f>
        <v>0</v>
      </c>
      <c r="L1325" s="9">
        <f>Table1[[#This Row],[CurrentStock]]*Table1[[#This Row],[UnitPrice]]</f>
        <v>6292.9699999999993</v>
      </c>
      <c r="M1325" t="str">
        <f>IF(Table1[[#This Row],[ReorderLevel]]-Table1[[#This Row],[CurrentStock]]&gt;0,Table1[[#This Row],[ReorderLevel]]-Table1[[#This Row],[CurrentStock]],"")</f>
        <v/>
      </c>
      <c r="N1325" t="str">
        <f>IF(Table1[[#This Row],[CurrentStock]]&gt;Table1[[#This Row],[ReorderLevel]]*3,"Over Stock","Okay")</f>
        <v>Over Stock</v>
      </c>
      <c r="O1325" t="str">
        <f>IF(Table1[[#This Row],[CurrentStock]]&lt;Table1[[#This Row],[ReorderLevel]],"Reorder","Okay")</f>
        <v>Okay</v>
      </c>
    </row>
    <row r="1326" spans="1:15" x14ac:dyDescent="0.3">
      <c r="A1326">
        <v>46303</v>
      </c>
      <c r="B1326" t="s">
        <v>21</v>
      </c>
      <c r="C1326" t="s">
        <v>31</v>
      </c>
      <c r="D1326">
        <v>430</v>
      </c>
      <c r="E1326">
        <v>20</v>
      </c>
      <c r="F1326">
        <v>129.87</v>
      </c>
      <c r="G1326" t="s">
        <v>32</v>
      </c>
      <c r="H1326" s="1">
        <v>45518</v>
      </c>
      <c r="I1326" s="1">
        <v>45543</v>
      </c>
      <c r="J1326" t="s">
        <v>37</v>
      </c>
      <c r="K1326" t="b">
        <f>Table1[[#This Row],[CurrentStock]]&lt;Table1[[#This Row],[ReorderLevel]]</f>
        <v>0</v>
      </c>
      <c r="L1326" s="9">
        <f>Table1[[#This Row],[CurrentStock]]*Table1[[#This Row],[UnitPrice]]</f>
        <v>55844.1</v>
      </c>
      <c r="M1326" t="str">
        <f>IF(Table1[[#This Row],[ReorderLevel]]-Table1[[#This Row],[CurrentStock]]&gt;0,Table1[[#This Row],[ReorderLevel]]-Table1[[#This Row],[CurrentStock]],"")</f>
        <v/>
      </c>
      <c r="N1326" t="str">
        <f>IF(Table1[[#This Row],[CurrentStock]]&gt;Table1[[#This Row],[ReorderLevel]]*3,"Over Stock","Okay")</f>
        <v>Over Stock</v>
      </c>
      <c r="O1326" t="str">
        <f>IF(Table1[[#This Row],[CurrentStock]]&lt;Table1[[#This Row],[ReorderLevel]],"Reorder","Okay")</f>
        <v>Okay</v>
      </c>
    </row>
    <row r="1327" spans="1:15" x14ac:dyDescent="0.3">
      <c r="A1327">
        <v>64261</v>
      </c>
      <c r="B1327" t="s">
        <v>20</v>
      </c>
      <c r="C1327" t="s">
        <v>29</v>
      </c>
      <c r="D1327">
        <v>460</v>
      </c>
      <c r="E1327">
        <v>30</v>
      </c>
      <c r="F1327">
        <v>213.46</v>
      </c>
      <c r="G1327" t="s">
        <v>34</v>
      </c>
      <c r="H1327" s="1">
        <v>45351</v>
      </c>
      <c r="I1327" s="1">
        <v>45379</v>
      </c>
      <c r="J1327" t="s">
        <v>39</v>
      </c>
      <c r="K1327" t="b">
        <f>Table1[[#This Row],[CurrentStock]]&lt;Table1[[#This Row],[ReorderLevel]]</f>
        <v>0</v>
      </c>
      <c r="L1327" s="9">
        <f>Table1[[#This Row],[CurrentStock]]*Table1[[#This Row],[UnitPrice]]</f>
        <v>98191.6</v>
      </c>
      <c r="M1327" t="str">
        <f>IF(Table1[[#This Row],[ReorderLevel]]-Table1[[#This Row],[CurrentStock]]&gt;0,Table1[[#This Row],[ReorderLevel]]-Table1[[#This Row],[CurrentStock]],"")</f>
        <v/>
      </c>
      <c r="N1327" t="str">
        <f>IF(Table1[[#This Row],[CurrentStock]]&gt;Table1[[#This Row],[ReorderLevel]]*3,"Over Stock","Okay")</f>
        <v>Over Stock</v>
      </c>
      <c r="O1327" t="str">
        <f>IF(Table1[[#This Row],[CurrentStock]]&lt;Table1[[#This Row],[ReorderLevel]],"Reorder","Okay")</f>
        <v>Okay</v>
      </c>
    </row>
    <row r="1328" spans="1:15" x14ac:dyDescent="0.3">
      <c r="A1328">
        <v>54397</v>
      </c>
      <c r="B1328" t="s">
        <v>23</v>
      </c>
      <c r="C1328" t="s">
        <v>30</v>
      </c>
      <c r="D1328">
        <v>65</v>
      </c>
      <c r="E1328">
        <v>100</v>
      </c>
      <c r="F1328">
        <v>370.8</v>
      </c>
      <c r="G1328" t="s">
        <v>33</v>
      </c>
      <c r="H1328" s="1">
        <v>45628</v>
      </c>
      <c r="I1328" s="1">
        <v>45655</v>
      </c>
      <c r="J1328" t="s">
        <v>37</v>
      </c>
      <c r="K1328" t="b">
        <f>Table1[[#This Row],[CurrentStock]]&lt;Table1[[#This Row],[ReorderLevel]]</f>
        <v>1</v>
      </c>
      <c r="L1328" s="9">
        <f>Table1[[#This Row],[CurrentStock]]*Table1[[#This Row],[UnitPrice]]</f>
        <v>24102</v>
      </c>
      <c r="M1328">
        <f>IF(Table1[[#This Row],[ReorderLevel]]-Table1[[#This Row],[CurrentStock]]&gt;0,Table1[[#This Row],[ReorderLevel]]-Table1[[#This Row],[CurrentStock]],"")</f>
        <v>35</v>
      </c>
      <c r="N1328" t="str">
        <f>IF(Table1[[#This Row],[CurrentStock]]&gt;Table1[[#This Row],[ReorderLevel]]*3,"Over Stock","Okay")</f>
        <v>Okay</v>
      </c>
      <c r="O1328" t="str">
        <f>IF(Table1[[#This Row],[CurrentStock]]&lt;Table1[[#This Row],[ReorderLevel]],"Reorder","Okay")</f>
        <v>Reorder</v>
      </c>
    </row>
    <row r="1329" spans="1:15" x14ac:dyDescent="0.3">
      <c r="A1329">
        <v>78476</v>
      </c>
      <c r="B1329" t="s">
        <v>25</v>
      </c>
      <c r="C1329" t="s">
        <v>31</v>
      </c>
      <c r="D1329">
        <v>140</v>
      </c>
      <c r="E1329">
        <v>50</v>
      </c>
      <c r="F1329">
        <v>14.49</v>
      </c>
      <c r="G1329" t="s">
        <v>33</v>
      </c>
      <c r="H1329" s="1">
        <v>45586</v>
      </c>
      <c r="I1329" s="1">
        <v>45614</v>
      </c>
      <c r="J1329" t="s">
        <v>38</v>
      </c>
      <c r="K1329" t="b">
        <f>Table1[[#This Row],[CurrentStock]]&lt;Table1[[#This Row],[ReorderLevel]]</f>
        <v>0</v>
      </c>
      <c r="L1329" s="9">
        <f>Table1[[#This Row],[CurrentStock]]*Table1[[#This Row],[UnitPrice]]</f>
        <v>2028.6000000000001</v>
      </c>
      <c r="M1329" t="str">
        <f>IF(Table1[[#This Row],[ReorderLevel]]-Table1[[#This Row],[CurrentStock]]&gt;0,Table1[[#This Row],[ReorderLevel]]-Table1[[#This Row],[CurrentStock]],"")</f>
        <v/>
      </c>
      <c r="N1329" t="str">
        <f>IF(Table1[[#This Row],[CurrentStock]]&gt;Table1[[#This Row],[ReorderLevel]]*3,"Over Stock","Okay")</f>
        <v>Okay</v>
      </c>
      <c r="O1329" t="str">
        <f>IF(Table1[[#This Row],[CurrentStock]]&lt;Table1[[#This Row],[ReorderLevel]],"Reorder","Okay")</f>
        <v>Okay</v>
      </c>
    </row>
    <row r="1330" spans="1:15" x14ac:dyDescent="0.3">
      <c r="A1330">
        <v>35968</v>
      </c>
      <c r="B1330" t="s">
        <v>26</v>
      </c>
      <c r="C1330" t="s">
        <v>30</v>
      </c>
      <c r="D1330">
        <v>388</v>
      </c>
      <c r="E1330">
        <v>150</v>
      </c>
      <c r="F1330">
        <v>407.85</v>
      </c>
      <c r="G1330" t="s">
        <v>36</v>
      </c>
      <c r="H1330" s="1">
        <v>45342</v>
      </c>
      <c r="I1330" s="1">
        <v>45354</v>
      </c>
      <c r="J1330" t="s">
        <v>37</v>
      </c>
      <c r="K1330" t="b">
        <f>Table1[[#This Row],[CurrentStock]]&lt;Table1[[#This Row],[ReorderLevel]]</f>
        <v>0</v>
      </c>
      <c r="L1330" s="9">
        <f>Table1[[#This Row],[CurrentStock]]*Table1[[#This Row],[UnitPrice]]</f>
        <v>158245.80000000002</v>
      </c>
      <c r="M1330" t="str">
        <f>IF(Table1[[#This Row],[ReorderLevel]]-Table1[[#This Row],[CurrentStock]]&gt;0,Table1[[#This Row],[ReorderLevel]]-Table1[[#This Row],[CurrentStock]],"")</f>
        <v/>
      </c>
      <c r="N1330" t="str">
        <f>IF(Table1[[#This Row],[CurrentStock]]&gt;Table1[[#This Row],[ReorderLevel]]*3,"Over Stock","Okay")</f>
        <v>Okay</v>
      </c>
      <c r="O1330" t="str">
        <f>IF(Table1[[#This Row],[CurrentStock]]&lt;Table1[[#This Row],[ReorderLevel]],"Reorder","Okay")</f>
        <v>Okay</v>
      </c>
    </row>
    <row r="1331" spans="1:15" x14ac:dyDescent="0.3">
      <c r="A1331">
        <v>80423</v>
      </c>
      <c r="B1331" t="s">
        <v>22</v>
      </c>
      <c r="C1331" t="s">
        <v>27</v>
      </c>
      <c r="D1331">
        <v>106</v>
      </c>
      <c r="E1331">
        <v>40</v>
      </c>
      <c r="F1331">
        <v>491.43</v>
      </c>
      <c r="G1331" t="s">
        <v>34</v>
      </c>
      <c r="H1331" s="1">
        <v>45628</v>
      </c>
      <c r="I1331" s="1">
        <v>45658</v>
      </c>
      <c r="J1331" t="s">
        <v>37</v>
      </c>
      <c r="K1331" t="b">
        <f>Table1[[#This Row],[CurrentStock]]&lt;Table1[[#This Row],[ReorderLevel]]</f>
        <v>0</v>
      </c>
      <c r="L1331" s="9">
        <f>Table1[[#This Row],[CurrentStock]]*Table1[[#This Row],[UnitPrice]]</f>
        <v>52091.58</v>
      </c>
      <c r="M1331" t="str">
        <f>IF(Table1[[#This Row],[ReorderLevel]]-Table1[[#This Row],[CurrentStock]]&gt;0,Table1[[#This Row],[ReorderLevel]]-Table1[[#This Row],[CurrentStock]],"")</f>
        <v/>
      </c>
      <c r="N1331" t="str">
        <f>IF(Table1[[#This Row],[CurrentStock]]&gt;Table1[[#This Row],[ReorderLevel]]*3,"Over Stock","Okay")</f>
        <v>Okay</v>
      </c>
      <c r="O1331" t="str">
        <f>IF(Table1[[#This Row],[CurrentStock]]&lt;Table1[[#This Row],[ReorderLevel]],"Reorder","Okay")</f>
        <v>Okay</v>
      </c>
    </row>
    <row r="1332" spans="1:15" x14ac:dyDescent="0.3">
      <c r="A1332">
        <v>90781</v>
      </c>
      <c r="B1332" t="s">
        <v>20</v>
      </c>
      <c r="C1332" t="s">
        <v>29</v>
      </c>
      <c r="D1332">
        <v>12</v>
      </c>
      <c r="E1332">
        <v>80</v>
      </c>
      <c r="F1332">
        <v>196.29</v>
      </c>
      <c r="G1332" t="s">
        <v>35</v>
      </c>
      <c r="H1332" s="1">
        <v>45454</v>
      </c>
      <c r="I1332" s="1">
        <v>45477</v>
      </c>
      <c r="J1332" t="s">
        <v>38</v>
      </c>
      <c r="K1332" t="b">
        <f>Table1[[#This Row],[CurrentStock]]&lt;Table1[[#This Row],[ReorderLevel]]</f>
        <v>1</v>
      </c>
      <c r="L1332" s="9">
        <f>Table1[[#This Row],[CurrentStock]]*Table1[[#This Row],[UnitPrice]]</f>
        <v>2355.48</v>
      </c>
      <c r="M1332">
        <f>IF(Table1[[#This Row],[ReorderLevel]]-Table1[[#This Row],[CurrentStock]]&gt;0,Table1[[#This Row],[ReorderLevel]]-Table1[[#This Row],[CurrentStock]],"")</f>
        <v>68</v>
      </c>
      <c r="N1332" t="str">
        <f>IF(Table1[[#This Row],[CurrentStock]]&gt;Table1[[#This Row],[ReorderLevel]]*3,"Over Stock","Okay")</f>
        <v>Okay</v>
      </c>
      <c r="O1332" t="str">
        <f>IF(Table1[[#This Row],[CurrentStock]]&lt;Table1[[#This Row],[ReorderLevel]],"Reorder","Okay")</f>
        <v>Reorder</v>
      </c>
    </row>
    <row r="1333" spans="1:15" x14ac:dyDescent="0.3">
      <c r="A1333">
        <v>30545</v>
      </c>
      <c r="B1333" t="s">
        <v>10</v>
      </c>
      <c r="C1333" t="s">
        <v>27</v>
      </c>
      <c r="D1333">
        <v>487</v>
      </c>
      <c r="E1333">
        <v>40</v>
      </c>
      <c r="F1333">
        <v>422.52</v>
      </c>
      <c r="G1333" t="s">
        <v>32</v>
      </c>
      <c r="H1333" s="1">
        <v>45613</v>
      </c>
      <c r="I1333" s="1">
        <v>45632</v>
      </c>
      <c r="J1333" t="s">
        <v>37</v>
      </c>
      <c r="K1333" t="b">
        <f>Table1[[#This Row],[CurrentStock]]&lt;Table1[[#This Row],[ReorderLevel]]</f>
        <v>0</v>
      </c>
      <c r="L1333" s="9">
        <f>Table1[[#This Row],[CurrentStock]]*Table1[[#This Row],[UnitPrice]]</f>
        <v>205767.24</v>
      </c>
      <c r="M1333" t="str">
        <f>IF(Table1[[#This Row],[ReorderLevel]]-Table1[[#This Row],[CurrentStock]]&gt;0,Table1[[#This Row],[ReorderLevel]]-Table1[[#This Row],[CurrentStock]],"")</f>
        <v/>
      </c>
      <c r="N1333" t="str">
        <f>IF(Table1[[#This Row],[CurrentStock]]&gt;Table1[[#This Row],[ReorderLevel]]*3,"Over Stock","Okay")</f>
        <v>Over Stock</v>
      </c>
      <c r="O1333" t="str">
        <f>IF(Table1[[#This Row],[CurrentStock]]&lt;Table1[[#This Row],[ReorderLevel]],"Reorder","Okay")</f>
        <v>Okay</v>
      </c>
    </row>
    <row r="1334" spans="1:15" x14ac:dyDescent="0.3">
      <c r="A1334">
        <v>59431</v>
      </c>
      <c r="B1334" t="s">
        <v>25</v>
      </c>
      <c r="C1334" t="s">
        <v>31</v>
      </c>
      <c r="D1334">
        <v>452</v>
      </c>
      <c r="E1334">
        <v>40</v>
      </c>
      <c r="F1334">
        <v>459.54</v>
      </c>
      <c r="G1334" t="s">
        <v>35</v>
      </c>
      <c r="H1334" s="1">
        <v>45469</v>
      </c>
      <c r="I1334" s="1">
        <v>45508</v>
      </c>
      <c r="J1334" t="s">
        <v>39</v>
      </c>
      <c r="K1334" t="b">
        <f>Table1[[#This Row],[CurrentStock]]&lt;Table1[[#This Row],[ReorderLevel]]</f>
        <v>0</v>
      </c>
      <c r="L1334" s="9">
        <f>Table1[[#This Row],[CurrentStock]]*Table1[[#This Row],[UnitPrice]]</f>
        <v>207712.08000000002</v>
      </c>
      <c r="M1334" t="str">
        <f>IF(Table1[[#This Row],[ReorderLevel]]-Table1[[#This Row],[CurrentStock]]&gt;0,Table1[[#This Row],[ReorderLevel]]-Table1[[#This Row],[CurrentStock]],"")</f>
        <v/>
      </c>
      <c r="N1334" t="str">
        <f>IF(Table1[[#This Row],[CurrentStock]]&gt;Table1[[#This Row],[ReorderLevel]]*3,"Over Stock","Okay")</f>
        <v>Over Stock</v>
      </c>
      <c r="O1334" t="str">
        <f>IF(Table1[[#This Row],[CurrentStock]]&lt;Table1[[#This Row],[ReorderLevel]],"Reorder","Okay")</f>
        <v>Okay</v>
      </c>
    </row>
    <row r="1335" spans="1:15" x14ac:dyDescent="0.3">
      <c r="A1335">
        <v>26292</v>
      </c>
      <c r="B1335" t="s">
        <v>25</v>
      </c>
      <c r="C1335" t="s">
        <v>31</v>
      </c>
      <c r="D1335">
        <v>261</v>
      </c>
      <c r="E1335">
        <v>30</v>
      </c>
      <c r="F1335">
        <v>337.77</v>
      </c>
      <c r="G1335" t="s">
        <v>35</v>
      </c>
      <c r="H1335" s="1">
        <v>45326</v>
      </c>
      <c r="I1335" s="1">
        <v>45359</v>
      </c>
      <c r="J1335" t="s">
        <v>39</v>
      </c>
      <c r="K1335" t="b">
        <f>Table1[[#This Row],[CurrentStock]]&lt;Table1[[#This Row],[ReorderLevel]]</f>
        <v>0</v>
      </c>
      <c r="L1335" s="9">
        <f>Table1[[#This Row],[CurrentStock]]*Table1[[#This Row],[UnitPrice]]</f>
        <v>88157.97</v>
      </c>
      <c r="M1335" t="str">
        <f>IF(Table1[[#This Row],[ReorderLevel]]-Table1[[#This Row],[CurrentStock]]&gt;0,Table1[[#This Row],[ReorderLevel]]-Table1[[#This Row],[CurrentStock]],"")</f>
        <v/>
      </c>
      <c r="N1335" t="str">
        <f>IF(Table1[[#This Row],[CurrentStock]]&gt;Table1[[#This Row],[ReorderLevel]]*3,"Over Stock","Okay")</f>
        <v>Over Stock</v>
      </c>
      <c r="O1335" t="str">
        <f>IF(Table1[[#This Row],[CurrentStock]]&lt;Table1[[#This Row],[ReorderLevel]],"Reorder","Okay")</f>
        <v>Okay</v>
      </c>
    </row>
    <row r="1336" spans="1:15" x14ac:dyDescent="0.3">
      <c r="A1336">
        <v>27443</v>
      </c>
      <c r="B1336" t="s">
        <v>25</v>
      </c>
      <c r="C1336" t="s">
        <v>31</v>
      </c>
      <c r="D1336">
        <v>116</v>
      </c>
      <c r="E1336">
        <v>30</v>
      </c>
      <c r="F1336">
        <v>189.82</v>
      </c>
      <c r="G1336" t="s">
        <v>32</v>
      </c>
      <c r="H1336" s="1">
        <v>45543</v>
      </c>
      <c r="I1336" s="1">
        <v>45550</v>
      </c>
      <c r="J1336" t="s">
        <v>38</v>
      </c>
      <c r="K1336" t="b">
        <f>Table1[[#This Row],[CurrentStock]]&lt;Table1[[#This Row],[ReorderLevel]]</f>
        <v>0</v>
      </c>
      <c r="L1336" s="9">
        <f>Table1[[#This Row],[CurrentStock]]*Table1[[#This Row],[UnitPrice]]</f>
        <v>22019.119999999999</v>
      </c>
      <c r="M1336" t="str">
        <f>IF(Table1[[#This Row],[ReorderLevel]]-Table1[[#This Row],[CurrentStock]]&gt;0,Table1[[#This Row],[ReorderLevel]]-Table1[[#This Row],[CurrentStock]],"")</f>
        <v/>
      </c>
      <c r="N1336" t="str">
        <f>IF(Table1[[#This Row],[CurrentStock]]&gt;Table1[[#This Row],[ReorderLevel]]*3,"Over Stock","Okay")</f>
        <v>Over Stock</v>
      </c>
      <c r="O1336" t="str">
        <f>IF(Table1[[#This Row],[CurrentStock]]&lt;Table1[[#This Row],[ReorderLevel]],"Reorder","Okay")</f>
        <v>Okay</v>
      </c>
    </row>
    <row r="1337" spans="1:15" x14ac:dyDescent="0.3">
      <c r="A1337">
        <v>42210</v>
      </c>
      <c r="B1337" t="s">
        <v>12</v>
      </c>
      <c r="C1337" t="s">
        <v>28</v>
      </c>
      <c r="D1337">
        <v>496</v>
      </c>
      <c r="E1337">
        <v>100</v>
      </c>
      <c r="F1337">
        <v>32.86</v>
      </c>
      <c r="G1337" t="s">
        <v>32</v>
      </c>
      <c r="H1337" s="1">
        <v>45335</v>
      </c>
      <c r="I1337" s="1">
        <v>45366</v>
      </c>
      <c r="J1337" t="s">
        <v>39</v>
      </c>
      <c r="K1337" t="b">
        <f>Table1[[#This Row],[CurrentStock]]&lt;Table1[[#This Row],[ReorderLevel]]</f>
        <v>0</v>
      </c>
      <c r="L1337" s="9">
        <f>Table1[[#This Row],[CurrentStock]]*Table1[[#This Row],[UnitPrice]]</f>
        <v>16298.56</v>
      </c>
      <c r="M1337" t="str">
        <f>IF(Table1[[#This Row],[ReorderLevel]]-Table1[[#This Row],[CurrentStock]]&gt;0,Table1[[#This Row],[ReorderLevel]]-Table1[[#This Row],[CurrentStock]],"")</f>
        <v/>
      </c>
      <c r="N1337" t="str">
        <f>IF(Table1[[#This Row],[CurrentStock]]&gt;Table1[[#This Row],[ReorderLevel]]*3,"Over Stock","Okay")</f>
        <v>Over Stock</v>
      </c>
      <c r="O1337" t="str">
        <f>IF(Table1[[#This Row],[CurrentStock]]&lt;Table1[[#This Row],[ReorderLevel]],"Reorder","Okay")</f>
        <v>Okay</v>
      </c>
    </row>
    <row r="1338" spans="1:15" x14ac:dyDescent="0.3">
      <c r="A1338">
        <v>99882</v>
      </c>
      <c r="B1338" t="s">
        <v>16</v>
      </c>
      <c r="C1338" t="s">
        <v>30</v>
      </c>
      <c r="D1338">
        <v>332</v>
      </c>
      <c r="E1338">
        <v>40</v>
      </c>
      <c r="F1338">
        <v>84.16</v>
      </c>
      <c r="G1338" t="s">
        <v>34</v>
      </c>
      <c r="H1338" s="1">
        <v>45312</v>
      </c>
      <c r="I1338" s="1">
        <v>45318</v>
      </c>
      <c r="J1338" t="s">
        <v>39</v>
      </c>
      <c r="K1338" t="b">
        <f>Table1[[#This Row],[CurrentStock]]&lt;Table1[[#This Row],[ReorderLevel]]</f>
        <v>0</v>
      </c>
      <c r="L1338" s="9">
        <f>Table1[[#This Row],[CurrentStock]]*Table1[[#This Row],[UnitPrice]]</f>
        <v>27941.119999999999</v>
      </c>
      <c r="M1338" t="str">
        <f>IF(Table1[[#This Row],[ReorderLevel]]-Table1[[#This Row],[CurrentStock]]&gt;0,Table1[[#This Row],[ReorderLevel]]-Table1[[#This Row],[CurrentStock]],"")</f>
        <v/>
      </c>
      <c r="N1338" t="str">
        <f>IF(Table1[[#This Row],[CurrentStock]]&gt;Table1[[#This Row],[ReorderLevel]]*3,"Over Stock","Okay")</f>
        <v>Over Stock</v>
      </c>
      <c r="O1338" t="str">
        <f>IF(Table1[[#This Row],[CurrentStock]]&lt;Table1[[#This Row],[ReorderLevel]],"Reorder","Okay")</f>
        <v>Okay</v>
      </c>
    </row>
    <row r="1339" spans="1:15" x14ac:dyDescent="0.3">
      <c r="A1339">
        <v>71401</v>
      </c>
      <c r="B1339" t="s">
        <v>26</v>
      </c>
      <c r="C1339" t="s">
        <v>30</v>
      </c>
      <c r="D1339">
        <v>131</v>
      </c>
      <c r="E1339">
        <v>20</v>
      </c>
      <c r="F1339">
        <v>457.65</v>
      </c>
      <c r="G1339" t="s">
        <v>33</v>
      </c>
      <c r="H1339" s="1">
        <v>45304</v>
      </c>
      <c r="I1339" s="1">
        <v>45311</v>
      </c>
      <c r="J1339" t="s">
        <v>39</v>
      </c>
      <c r="K1339" t="b">
        <f>Table1[[#This Row],[CurrentStock]]&lt;Table1[[#This Row],[ReorderLevel]]</f>
        <v>0</v>
      </c>
      <c r="L1339" s="9">
        <f>Table1[[#This Row],[CurrentStock]]*Table1[[#This Row],[UnitPrice]]</f>
        <v>59952.149999999994</v>
      </c>
      <c r="M1339" t="str">
        <f>IF(Table1[[#This Row],[ReorderLevel]]-Table1[[#This Row],[CurrentStock]]&gt;0,Table1[[#This Row],[ReorderLevel]]-Table1[[#This Row],[CurrentStock]],"")</f>
        <v/>
      </c>
      <c r="N1339" t="str">
        <f>IF(Table1[[#This Row],[CurrentStock]]&gt;Table1[[#This Row],[ReorderLevel]]*3,"Over Stock","Okay")</f>
        <v>Over Stock</v>
      </c>
      <c r="O1339" t="str">
        <f>IF(Table1[[#This Row],[CurrentStock]]&lt;Table1[[#This Row],[ReorderLevel]],"Reorder","Okay")</f>
        <v>Okay</v>
      </c>
    </row>
    <row r="1340" spans="1:15" x14ac:dyDescent="0.3">
      <c r="A1340">
        <v>68798</v>
      </c>
      <c r="B1340" t="s">
        <v>20</v>
      </c>
      <c r="C1340" t="s">
        <v>29</v>
      </c>
      <c r="D1340">
        <v>89</v>
      </c>
      <c r="E1340">
        <v>20</v>
      </c>
      <c r="F1340">
        <v>59.15</v>
      </c>
      <c r="G1340" t="s">
        <v>33</v>
      </c>
      <c r="H1340" s="1">
        <v>45486</v>
      </c>
      <c r="I1340" s="1">
        <v>45503</v>
      </c>
      <c r="J1340" t="s">
        <v>39</v>
      </c>
      <c r="K1340" t="b">
        <f>Table1[[#This Row],[CurrentStock]]&lt;Table1[[#This Row],[ReorderLevel]]</f>
        <v>0</v>
      </c>
      <c r="L1340" s="9">
        <f>Table1[[#This Row],[CurrentStock]]*Table1[[#This Row],[UnitPrice]]</f>
        <v>5264.3499999999995</v>
      </c>
      <c r="M1340" t="str">
        <f>IF(Table1[[#This Row],[ReorderLevel]]-Table1[[#This Row],[CurrentStock]]&gt;0,Table1[[#This Row],[ReorderLevel]]-Table1[[#This Row],[CurrentStock]],"")</f>
        <v/>
      </c>
      <c r="N1340" t="str">
        <f>IF(Table1[[#This Row],[CurrentStock]]&gt;Table1[[#This Row],[ReorderLevel]]*3,"Over Stock","Okay")</f>
        <v>Over Stock</v>
      </c>
      <c r="O1340" t="str">
        <f>IF(Table1[[#This Row],[CurrentStock]]&lt;Table1[[#This Row],[ReorderLevel]],"Reorder","Okay")</f>
        <v>Okay</v>
      </c>
    </row>
    <row r="1341" spans="1:15" x14ac:dyDescent="0.3">
      <c r="A1341">
        <v>68215</v>
      </c>
      <c r="B1341" t="s">
        <v>23</v>
      </c>
      <c r="C1341" t="s">
        <v>30</v>
      </c>
      <c r="D1341">
        <v>2</v>
      </c>
      <c r="E1341">
        <v>40</v>
      </c>
      <c r="F1341">
        <v>119.32</v>
      </c>
      <c r="G1341" t="s">
        <v>35</v>
      </c>
      <c r="H1341" s="1">
        <v>45455</v>
      </c>
      <c r="I1341" s="1">
        <v>45460</v>
      </c>
      <c r="J1341" t="s">
        <v>38</v>
      </c>
      <c r="K1341" t="b">
        <f>Table1[[#This Row],[CurrentStock]]&lt;Table1[[#This Row],[ReorderLevel]]</f>
        <v>1</v>
      </c>
      <c r="L1341" s="9">
        <f>Table1[[#This Row],[CurrentStock]]*Table1[[#This Row],[UnitPrice]]</f>
        <v>238.64</v>
      </c>
      <c r="M1341">
        <f>IF(Table1[[#This Row],[ReorderLevel]]-Table1[[#This Row],[CurrentStock]]&gt;0,Table1[[#This Row],[ReorderLevel]]-Table1[[#This Row],[CurrentStock]],"")</f>
        <v>38</v>
      </c>
      <c r="N1341" t="str">
        <f>IF(Table1[[#This Row],[CurrentStock]]&gt;Table1[[#This Row],[ReorderLevel]]*3,"Over Stock","Okay")</f>
        <v>Okay</v>
      </c>
      <c r="O1341" t="str">
        <f>IF(Table1[[#This Row],[CurrentStock]]&lt;Table1[[#This Row],[ReorderLevel]],"Reorder","Okay")</f>
        <v>Reorder</v>
      </c>
    </row>
    <row r="1342" spans="1:15" x14ac:dyDescent="0.3">
      <c r="A1342">
        <v>89311</v>
      </c>
      <c r="B1342" t="s">
        <v>17</v>
      </c>
      <c r="C1342" t="s">
        <v>30</v>
      </c>
      <c r="D1342">
        <v>51</v>
      </c>
      <c r="E1342">
        <v>40</v>
      </c>
      <c r="F1342">
        <v>456.25</v>
      </c>
      <c r="G1342" t="s">
        <v>34</v>
      </c>
      <c r="H1342" s="1">
        <v>45433</v>
      </c>
      <c r="I1342" s="1">
        <v>45459</v>
      </c>
      <c r="J1342" t="s">
        <v>37</v>
      </c>
      <c r="K1342" t="b">
        <f>Table1[[#This Row],[CurrentStock]]&lt;Table1[[#This Row],[ReorderLevel]]</f>
        <v>0</v>
      </c>
      <c r="L1342" s="9">
        <f>Table1[[#This Row],[CurrentStock]]*Table1[[#This Row],[UnitPrice]]</f>
        <v>23268.75</v>
      </c>
      <c r="M1342" t="str">
        <f>IF(Table1[[#This Row],[ReorderLevel]]-Table1[[#This Row],[CurrentStock]]&gt;0,Table1[[#This Row],[ReorderLevel]]-Table1[[#This Row],[CurrentStock]],"")</f>
        <v/>
      </c>
      <c r="N1342" t="str">
        <f>IF(Table1[[#This Row],[CurrentStock]]&gt;Table1[[#This Row],[ReorderLevel]]*3,"Over Stock","Okay")</f>
        <v>Okay</v>
      </c>
      <c r="O1342" t="str">
        <f>IF(Table1[[#This Row],[CurrentStock]]&lt;Table1[[#This Row],[ReorderLevel]],"Reorder","Okay")</f>
        <v>Okay</v>
      </c>
    </row>
    <row r="1343" spans="1:15" x14ac:dyDescent="0.3">
      <c r="A1343">
        <v>98241</v>
      </c>
      <c r="B1343" t="s">
        <v>24</v>
      </c>
      <c r="C1343" t="s">
        <v>31</v>
      </c>
      <c r="D1343">
        <v>493</v>
      </c>
      <c r="E1343">
        <v>30</v>
      </c>
      <c r="F1343">
        <v>112.86</v>
      </c>
      <c r="G1343" t="s">
        <v>36</v>
      </c>
      <c r="H1343" s="1">
        <v>45521</v>
      </c>
      <c r="I1343" s="1">
        <v>45538</v>
      </c>
      <c r="J1343" t="s">
        <v>39</v>
      </c>
      <c r="K1343" t="b">
        <f>Table1[[#This Row],[CurrentStock]]&lt;Table1[[#This Row],[ReorderLevel]]</f>
        <v>0</v>
      </c>
      <c r="L1343" s="9">
        <f>Table1[[#This Row],[CurrentStock]]*Table1[[#This Row],[UnitPrice]]</f>
        <v>55639.98</v>
      </c>
      <c r="M1343" t="str">
        <f>IF(Table1[[#This Row],[ReorderLevel]]-Table1[[#This Row],[CurrentStock]]&gt;0,Table1[[#This Row],[ReorderLevel]]-Table1[[#This Row],[CurrentStock]],"")</f>
        <v/>
      </c>
      <c r="N1343" t="str">
        <f>IF(Table1[[#This Row],[CurrentStock]]&gt;Table1[[#This Row],[ReorderLevel]]*3,"Over Stock","Okay")</f>
        <v>Over Stock</v>
      </c>
      <c r="O1343" t="str">
        <f>IF(Table1[[#This Row],[CurrentStock]]&lt;Table1[[#This Row],[ReorderLevel]],"Reorder","Okay")</f>
        <v>Okay</v>
      </c>
    </row>
    <row r="1344" spans="1:15" x14ac:dyDescent="0.3">
      <c r="A1344">
        <v>72188</v>
      </c>
      <c r="B1344" t="s">
        <v>16</v>
      </c>
      <c r="C1344" t="s">
        <v>30</v>
      </c>
      <c r="D1344">
        <v>35</v>
      </c>
      <c r="E1344">
        <v>150</v>
      </c>
      <c r="F1344">
        <v>89</v>
      </c>
      <c r="G1344" t="s">
        <v>36</v>
      </c>
      <c r="H1344" s="1">
        <v>45591</v>
      </c>
      <c r="I1344" s="1">
        <v>45609</v>
      </c>
      <c r="J1344" t="s">
        <v>39</v>
      </c>
      <c r="K1344" t="b">
        <f>Table1[[#This Row],[CurrentStock]]&lt;Table1[[#This Row],[ReorderLevel]]</f>
        <v>1</v>
      </c>
      <c r="L1344" s="9">
        <f>Table1[[#This Row],[CurrentStock]]*Table1[[#This Row],[UnitPrice]]</f>
        <v>3115</v>
      </c>
      <c r="M1344">
        <f>IF(Table1[[#This Row],[ReorderLevel]]-Table1[[#This Row],[CurrentStock]]&gt;0,Table1[[#This Row],[ReorderLevel]]-Table1[[#This Row],[CurrentStock]],"")</f>
        <v>115</v>
      </c>
      <c r="N1344" t="str">
        <f>IF(Table1[[#This Row],[CurrentStock]]&gt;Table1[[#This Row],[ReorderLevel]]*3,"Over Stock","Okay")</f>
        <v>Okay</v>
      </c>
      <c r="O1344" t="str">
        <f>IF(Table1[[#This Row],[CurrentStock]]&lt;Table1[[#This Row],[ReorderLevel]],"Reorder","Okay")</f>
        <v>Reorder</v>
      </c>
    </row>
    <row r="1345" spans="1:15" x14ac:dyDescent="0.3">
      <c r="A1345">
        <v>60151</v>
      </c>
      <c r="B1345" t="s">
        <v>24</v>
      </c>
      <c r="C1345" t="s">
        <v>31</v>
      </c>
      <c r="D1345">
        <v>455</v>
      </c>
      <c r="E1345">
        <v>100</v>
      </c>
      <c r="F1345">
        <v>85.64</v>
      </c>
      <c r="G1345" t="s">
        <v>35</v>
      </c>
      <c r="H1345" s="1">
        <v>45543</v>
      </c>
      <c r="I1345" s="1">
        <v>45571</v>
      </c>
      <c r="J1345" t="s">
        <v>39</v>
      </c>
      <c r="K1345" t="b">
        <f>Table1[[#This Row],[CurrentStock]]&lt;Table1[[#This Row],[ReorderLevel]]</f>
        <v>0</v>
      </c>
      <c r="L1345" s="9">
        <f>Table1[[#This Row],[CurrentStock]]*Table1[[#This Row],[UnitPrice]]</f>
        <v>38966.199999999997</v>
      </c>
      <c r="M1345" t="str">
        <f>IF(Table1[[#This Row],[ReorderLevel]]-Table1[[#This Row],[CurrentStock]]&gt;0,Table1[[#This Row],[ReorderLevel]]-Table1[[#This Row],[CurrentStock]],"")</f>
        <v/>
      </c>
      <c r="N1345" t="str">
        <f>IF(Table1[[#This Row],[CurrentStock]]&gt;Table1[[#This Row],[ReorderLevel]]*3,"Over Stock","Okay")</f>
        <v>Over Stock</v>
      </c>
      <c r="O1345" t="str">
        <f>IF(Table1[[#This Row],[CurrentStock]]&lt;Table1[[#This Row],[ReorderLevel]],"Reorder","Okay")</f>
        <v>Okay</v>
      </c>
    </row>
    <row r="1346" spans="1:15" x14ac:dyDescent="0.3">
      <c r="A1346">
        <v>36898</v>
      </c>
      <c r="B1346" t="s">
        <v>11</v>
      </c>
      <c r="C1346" t="s">
        <v>27</v>
      </c>
      <c r="D1346">
        <v>267</v>
      </c>
      <c r="E1346">
        <v>40</v>
      </c>
      <c r="F1346">
        <v>375.34</v>
      </c>
      <c r="G1346" t="s">
        <v>33</v>
      </c>
      <c r="H1346" s="1">
        <v>45527</v>
      </c>
      <c r="I1346" s="1">
        <v>45537</v>
      </c>
      <c r="J1346" t="s">
        <v>38</v>
      </c>
      <c r="K1346" t="b">
        <f>Table1[[#This Row],[CurrentStock]]&lt;Table1[[#This Row],[ReorderLevel]]</f>
        <v>0</v>
      </c>
      <c r="L1346" s="9">
        <f>Table1[[#This Row],[CurrentStock]]*Table1[[#This Row],[UnitPrice]]</f>
        <v>100215.78</v>
      </c>
      <c r="M1346" t="str">
        <f>IF(Table1[[#This Row],[ReorderLevel]]-Table1[[#This Row],[CurrentStock]]&gt;0,Table1[[#This Row],[ReorderLevel]]-Table1[[#This Row],[CurrentStock]],"")</f>
        <v/>
      </c>
      <c r="N1346" t="str">
        <f>IF(Table1[[#This Row],[CurrentStock]]&gt;Table1[[#This Row],[ReorderLevel]]*3,"Over Stock","Okay")</f>
        <v>Over Stock</v>
      </c>
      <c r="O1346" t="str">
        <f>IF(Table1[[#This Row],[CurrentStock]]&lt;Table1[[#This Row],[ReorderLevel]],"Reorder","Okay")</f>
        <v>Okay</v>
      </c>
    </row>
    <row r="1347" spans="1:15" x14ac:dyDescent="0.3">
      <c r="A1347">
        <v>89397</v>
      </c>
      <c r="B1347" t="s">
        <v>20</v>
      </c>
      <c r="C1347" t="s">
        <v>29</v>
      </c>
      <c r="D1347">
        <v>328</v>
      </c>
      <c r="E1347">
        <v>150</v>
      </c>
      <c r="F1347">
        <v>200.7</v>
      </c>
      <c r="G1347" t="s">
        <v>34</v>
      </c>
      <c r="H1347" s="1">
        <v>45546</v>
      </c>
      <c r="I1347" s="1">
        <v>45558</v>
      </c>
      <c r="J1347" t="s">
        <v>38</v>
      </c>
      <c r="K1347" t="b">
        <f>Table1[[#This Row],[CurrentStock]]&lt;Table1[[#This Row],[ReorderLevel]]</f>
        <v>0</v>
      </c>
      <c r="L1347" s="9">
        <f>Table1[[#This Row],[CurrentStock]]*Table1[[#This Row],[UnitPrice]]</f>
        <v>65829.599999999991</v>
      </c>
      <c r="M1347" t="str">
        <f>IF(Table1[[#This Row],[ReorderLevel]]-Table1[[#This Row],[CurrentStock]]&gt;0,Table1[[#This Row],[ReorderLevel]]-Table1[[#This Row],[CurrentStock]],"")</f>
        <v/>
      </c>
      <c r="N1347" t="str">
        <f>IF(Table1[[#This Row],[CurrentStock]]&gt;Table1[[#This Row],[ReorderLevel]]*3,"Over Stock","Okay")</f>
        <v>Okay</v>
      </c>
      <c r="O1347" t="str">
        <f>IF(Table1[[#This Row],[CurrentStock]]&lt;Table1[[#This Row],[ReorderLevel]],"Reorder","Okay")</f>
        <v>Okay</v>
      </c>
    </row>
    <row r="1348" spans="1:15" x14ac:dyDescent="0.3">
      <c r="A1348">
        <v>14606</v>
      </c>
      <c r="B1348" t="s">
        <v>18</v>
      </c>
      <c r="C1348" t="s">
        <v>28</v>
      </c>
      <c r="D1348">
        <v>335</v>
      </c>
      <c r="E1348">
        <v>150</v>
      </c>
      <c r="F1348">
        <v>345.54</v>
      </c>
      <c r="G1348" t="s">
        <v>36</v>
      </c>
      <c r="H1348" s="1">
        <v>45473</v>
      </c>
      <c r="I1348" s="1">
        <v>45491</v>
      </c>
      <c r="J1348" t="s">
        <v>37</v>
      </c>
      <c r="K1348" t="b">
        <f>Table1[[#This Row],[CurrentStock]]&lt;Table1[[#This Row],[ReorderLevel]]</f>
        <v>0</v>
      </c>
      <c r="L1348" s="9">
        <f>Table1[[#This Row],[CurrentStock]]*Table1[[#This Row],[UnitPrice]]</f>
        <v>115755.90000000001</v>
      </c>
      <c r="M1348" t="str">
        <f>IF(Table1[[#This Row],[ReorderLevel]]-Table1[[#This Row],[CurrentStock]]&gt;0,Table1[[#This Row],[ReorderLevel]]-Table1[[#This Row],[CurrentStock]],"")</f>
        <v/>
      </c>
      <c r="N1348" t="str">
        <f>IF(Table1[[#This Row],[CurrentStock]]&gt;Table1[[#This Row],[ReorderLevel]]*3,"Over Stock","Okay")</f>
        <v>Okay</v>
      </c>
      <c r="O1348" t="str">
        <f>IF(Table1[[#This Row],[CurrentStock]]&lt;Table1[[#This Row],[ReorderLevel]],"Reorder","Okay")</f>
        <v>Okay</v>
      </c>
    </row>
    <row r="1349" spans="1:15" x14ac:dyDescent="0.3">
      <c r="A1349">
        <v>52853</v>
      </c>
      <c r="B1349" t="s">
        <v>10</v>
      </c>
      <c r="C1349" t="s">
        <v>27</v>
      </c>
      <c r="D1349">
        <v>241</v>
      </c>
      <c r="E1349">
        <v>50</v>
      </c>
      <c r="F1349">
        <v>174.05</v>
      </c>
      <c r="G1349" t="s">
        <v>34</v>
      </c>
      <c r="H1349" s="1">
        <v>45413</v>
      </c>
      <c r="I1349" s="1">
        <v>45420</v>
      </c>
      <c r="J1349" t="s">
        <v>38</v>
      </c>
      <c r="K1349" t="b">
        <f>Table1[[#This Row],[CurrentStock]]&lt;Table1[[#This Row],[ReorderLevel]]</f>
        <v>0</v>
      </c>
      <c r="L1349" s="9">
        <f>Table1[[#This Row],[CurrentStock]]*Table1[[#This Row],[UnitPrice]]</f>
        <v>41946.05</v>
      </c>
      <c r="M1349" t="str">
        <f>IF(Table1[[#This Row],[ReorderLevel]]-Table1[[#This Row],[CurrentStock]]&gt;0,Table1[[#This Row],[ReorderLevel]]-Table1[[#This Row],[CurrentStock]],"")</f>
        <v/>
      </c>
      <c r="N1349" t="str">
        <f>IF(Table1[[#This Row],[CurrentStock]]&gt;Table1[[#This Row],[ReorderLevel]]*3,"Over Stock","Okay")</f>
        <v>Over Stock</v>
      </c>
      <c r="O1349" t="str">
        <f>IF(Table1[[#This Row],[CurrentStock]]&lt;Table1[[#This Row],[ReorderLevel]],"Reorder","Okay")</f>
        <v>Okay</v>
      </c>
    </row>
    <row r="1350" spans="1:15" x14ac:dyDescent="0.3">
      <c r="A1350">
        <v>49994</v>
      </c>
      <c r="B1350" t="s">
        <v>21</v>
      </c>
      <c r="C1350" t="s">
        <v>31</v>
      </c>
      <c r="D1350">
        <v>256</v>
      </c>
      <c r="E1350">
        <v>20</v>
      </c>
      <c r="F1350">
        <v>102.71</v>
      </c>
      <c r="G1350" t="s">
        <v>35</v>
      </c>
      <c r="H1350" s="1">
        <v>45540</v>
      </c>
      <c r="I1350" s="1">
        <v>45553</v>
      </c>
      <c r="J1350" t="s">
        <v>38</v>
      </c>
      <c r="K1350" t="b">
        <f>Table1[[#This Row],[CurrentStock]]&lt;Table1[[#This Row],[ReorderLevel]]</f>
        <v>0</v>
      </c>
      <c r="L1350" s="9">
        <f>Table1[[#This Row],[CurrentStock]]*Table1[[#This Row],[UnitPrice]]</f>
        <v>26293.759999999998</v>
      </c>
      <c r="M1350" t="str">
        <f>IF(Table1[[#This Row],[ReorderLevel]]-Table1[[#This Row],[CurrentStock]]&gt;0,Table1[[#This Row],[ReorderLevel]]-Table1[[#This Row],[CurrentStock]],"")</f>
        <v/>
      </c>
      <c r="N1350" t="str">
        <f>IF(Table1[[#This Row],[CurrentStock]]&gt;Table1[[#This Row],[ReorderLevel]]*3,"Over Stock","Okay")</f>
        <v>Over Stock</v>
      </c>
      <c r="O1350" t="str">
        <f>IF(Table1[[#This Row],[CurrentStock]]&lt;Table1[[#This Row],[ReorderLevel]],"Reorder","Okay")</f>
        <v>Okay</v>
      </c>
    </row>
    <row r="1351" spans="1:15" x14ac:dyDescent="0.3">
      <c r="A1351">
        <v>31395</v>
      </c>
      <c r="B1351" t="s">
        <v>19</v>
      </c>
      <c r="C1351" t="s">
        <v>28</v>
      </c>
      <c r="D1351">
        <v>321</v>
      </c>
      <c r="E1351">
        <v>40</v>
      </c>
      <c r="F1351">
        <v>111.21</v>
      </c>
      <c r="G1351" t="s">
        <v>32</v>
      </c>
      <c r="H1351" s="1">
        <v>45474</v>
      </c>
      <c r="I1351" s="1">
        <v>45510</v>
      </c>
      <c r="J1351" t="s">
        <v>39</v>
      </c>
      <c r="K1351" t="b">
        <f>Table1[[#This Row],[CurrentStock]]&lt;Table1[[#This Row],[ReorderLevel]]</f>
        <v>0</v>
      </c>
      <c r="L1351" s="9">
        <f>Table1[[#This Row],[CurrentStock]]*Table1[[#This Row],[UnitPrice]]</f>
        <v>35698.409999999996</v>
      </c>
      <c r="M1351" t="str">
        <f>IF(Table1[[#This Row],[ReorderLevel]]-Table1[[#This Row],[CurrentStock]]&gt;0,Table1[[#This Row],[ReorderLevel]]-Table1[[#This Row],[CurrentStock]],"")</f>
        <v/>
      </c>
      <c r="N1351" t="str">
        <f>IF(Table1[[#This Row],[CurrentStock]]&gt;Table1[[#This Row],[ReorderLevel]]*3,"Over Stock","Okay")</f>
        <v>Over Stock</v>
      </c>
      <c r="O1351" t="str">
        <f>IF(Table1[[#This Row],[CurrentStock]]&lt;Table1[[#This Row],[ReorderLevel]],"Reorder","Okay")</f>
        <v>Okay</v>
      </c>
    </row>
    <row r="1352" spans="1:15" x14ac:dyDescent="0.3">
      <c r="A1352">
        <v>47190</v>
      </c>
      <c r="B1352" t="s">
        <v>19</v>
      </c>
      <c r="C1352" t="s">
        <v>28</v>
      </c>
      <c r="D1352">
        <v>289</v>
      </c>
      <c r="E1352">
        <v>20</v>
      </c>
      <c r="F1352">
        <v>96.68</v>
      </c>
      <c r="G1352" t="s">
        <v>33</v>
      </c>
      <c r="H1352" s="1">
        <v>45411</v>
      </c>
      <c r="I1352" s="1">
        <v>45434</v>
      </c>
      <c r="J1352" t="s">
        <v>39</v>
      </c>
      <c r="K1352" t="b">
        <f>Table1[[#This Row],[CurrentStock]]&lt;Table1[[#This Row],[ReorderLevel]]</f>
        <v>0</v>
      </c>
      <c r="L1352" s="9">
        <f>Table1[[#This Row],[CurrentStock]]*Table1[[#This Row],[UnitPrice]]</f>
        <v>27940.52</v>
      </c>
      <c r="M1352" t="str">
        <f>IF(Table1[[#This Row],[ReorderLevel]]-Table1[[#This Row],[CurrentStock]]&gt;0,Table1[[#This Row],[ReorderLevel]]-Table1[[#This Row],[CurrentStock]],"")</f>
        <v/>
      </c>
      <c r="N1352" t="str">
        <f>IF(Table1[[#This Row],[CurrentStock]]&gt;Table1[[#This Row],[ReorderLevel]]*3,"Over Stock","Okay")</f>
        <v>Over Stock</v>
      </c>
      <c r="O1352" t="str">
        <f>IF(Table1[[#This Row],[CurrentStock]]&lt;Table1[[#This Row],[ReorderLevel]],"Reorder","Okay")</f>
        <v>Okay</v>
      </c>
    </row>
    <row r="1353" spans="1:15" x14ac:dyDescent="0.3">
      <c r="A1353">
        <v>99196</v>
      </c>
      <c r="B1353" t="s">
        <v>10</v>
      </c>
      <c r="C1353" t="s">
        <v>27</v>
      </c>
      <c r="D1353">
        <v>378</v>
      </c>
      <c r="E1353">
        <v>50</v>
      </c>
      <c r="F1353">
        <v>185.8</v>
      </c>
      <c r="G1353" t="s">
        <v>35</v>
      </c>
      <c r="H1353" s="1">
        <v>45605</v>
      </c>
      <c r="I1353" s="1">
        <v>45629</v>
      </c>
      <c r="J1353" t="s">
        <v>39</v>
      </c>
      <c r="K1353" t="b">
        <f>Table1[[#This Row],[CurrentStock]]&lt;Table1[[#This Row],[ReorderLevel]]</f>
        <v>0</v>
      </c>
      <c r="L1353" s="9">
        <f>Table1[[#This Row],[CurrentStock]]*Table1[[#This Row],[UnitPrice]]</f>
        <v>70232.400000000009</v>
      </c>
      <c r="M1353" t="str">
        <f>IF(Table1[[#This Row],[ReorderLevel]]-Table1[[#This Row],[CurrentStock]]&gt;0,Table1[[#This Row],[ReorderLevel]]-Table1[[#This Row],[CurrentStock]],"")</f>
        <v/>
      </c>
      <c r="N1353" t="str">
        <f>IF(Table1[[#This Row],[CurrentStock]]&gt;Table1[[#This Row],[ReorderLevel]]*3,"Over Stock","Okay")</f>
        <v>Over Stock</v>
      </c>
      <c r="O1353" t="str">
        <f>IF(Table1[[#This Row],[CurrentStock]]&lt;Table1[[#This Row],[ReorderLevel]],"Reorder","Okay")</f>
        <v>Okay</v>
      </c>
    </row>
    <row r="1354" spans="1:15" x14ac:dyDescent="0.3">
      <c r="A1354">
        <v>82328</v>
      </c>
      <c r="B1354" t="s">
        <v>10</v>
      </c>
      <c r="C1354" t="s">
        <v>27</v>
      </c>
      <c r="D1354">
        <v>419</v>
      </c>
      <c r="E1354">
        <v>80</v>
      </c>
      <c r="F1354">
        <v>109.52</v>
      </c>
      <c r="G1354" t="s">
        <v>34</v>
      </c>
      <c r="H1354" s="1">
        <v>45579</v>
      </c>
      <c r="I1354" s="1">
        <v>45584</v>
      </c>
      <c r="J1354" t="s">
        <v>37</v>
      </c>
      <c r="K1354" t="b">
        <f>Table1[[#This Row],[CurrentStock]]&lt;Table1[[#This Row],[ReorderLevel]]</f>
        <v>0</v>
      </c>
      <c r="L1354" s="9">
        <f>Table1[[#This Row],[CurrentStock]]*Table1[[#This Row],[UnitPrice]]</f>
        <v>45888.88</v>
      </c>
      <c r="M1354" t="str">
        <f>IF(Table1[[#This Row],[ReorderLevel]]-Table1[[#This Row],[CurrentStock]]&gt;0,Table1[[#This Row],[ReorderLevel]]-Table1[[#This Row],[CurrentStock]],"")</f>
        <v/>
      </c>
      <c r="N1354" t="str">
        <f>IF(Table1[[#This Row],[CurrentStock]]&gt;Table1[[#This Row],[ReorderLevel]]*3,"Over Stock","Okay")</f>
        <v>Over Stock</v>
      </c>
      <c r="O1354" t="str">
        <f>IF(Table1[[#This Row],[CurrentStock]]&lt;Table1[[#This Row],[ReorderLevel]],"Reorder","Okay")</f>
        <v>Okay</v>
      </c>
    </row>
    <row r="1355" spans="1:15" x14ac:dyDescent="0.3">
      <c r="A1355">
        <v>76555</v>
      </c>
      <c r="B1355" t="s">
        <v>24</v>
      </c>
      <c r="C1355" t="s">
        <v>31</v>
      </c>
      <c r="D1355">
        <v>264</v>
      </c>
      <c r="E1355">
        <v>100</v>
      </c>
      <c r="F1355">
        <v>357.45</v>
      </c>
      <c r="G1355" t="s">
        <v>35</v>
      </c>
      <c r="H1355" s="1">
        <v>45607</v>
      </c>
      <c r="I1355" s="1">
        <v>45612</v>
      </c>
      <c r="J1355" t="s">
        <v>37</v>
      </c>
      <c r="K1355" t="b">
        <f>Table1[[#This Row],[CurrentStock]]&lt;Table1[[#This Row],[ReorderLevel]]</f>
        <v>0</v>
      </c>
      <c r="L1355" s="9">
        <f>Table1[[#This Row],[CurrentStock]]*Table1[[#This Row],[UnitPrice]]</f>
        <v>94366.8</v>
      </c>
      <c r="M1355" t="str">
        <f>IF(Table1[[#This Row],[ReorderLevel]]-Table1[[#This Row],[CurrentStock]]&gt;0,Table1[[#This Row],[ReorderLevel]]-Table1[[#This Row],[CurrentStock]],"")</f>
        <v/>
      </c>
      <c r="N1355" t="str">
        <f>IF(Table1[[#This Row],[CurrentStock]]&gt;Table1[[#This Row],[ReorderLevel]]*3,"Over Stock","Okay")</f>
        <v>Okay</v>
      </c>
      <c r="O1355" t="str">
        <f>IF(Table1[[#This Row],[CurrentStock]]&lt;Table1[[#This Row],[ReorderLevel]],"Reorder","Okay")</f>
        <v>Okay</v>
      </c>
    </row>
    <row r="1356" spans="1:15" x14ac:dyDescent="0.3">
      <c r="A1356">
        <v>42963</v>
      </c>
      <c r="B1356" t="s">
        <v>20</v>
      </c>
      <c r="C1356" t="s">
        <v>29</v>
      </c>
      <c r="D1356">
        <v>333</v>
      </c>
      <c r="E1356">
        <v>20</v>
      </c>
      <c r="F1356">
        <v>104</v>
      </c>
      <c r="G1356" t="s">
        <v>35</v>
      </c>
      <c r="H1356" s="1">
        <v>45423</v>
      </c>
      <c r="I1356" s="1">
        <v>45441</v>
      </c>
      <c r="J1356" t="s">
        <v>39</v>
      </c>
      <c r="K1356" t="b">
        <f>Table1[[#This Row],[CurrentStock]]&lt;Table1[[#This Row],[ReorderLevel]]</f>
        <v>0</v>
      </c>
      <c r="L1356" s="9">
        <f>Table1[[#This Row],[CurrentStock]]*Table1[[#This Row],[UnitPrice]]</f>
        <v>34632</v>
      </c>
      <c r="M1356" t="str">
        <f>IF(Table1[[#This Row],[ReorderLevel]]-Table1[[#This Row],[CurrentStock]]&gt;0,Table1[[#This Row],[ReorderLevel]]-Table1[[#This Row],[CurrentStock]],"")</f>
        <v/>
      </c>
      <c r="N1356" t="str">
        <f>IF(Table1[[#This Row],[CurrentStock]]&gt;Table1[[#This Row],[ReorderLevel]]*3,"Over Stock","Okay")</f>
        <v>Over Stock</v>
      </c>
      <c r="O1356" t="str">
        <f>IF(Table1[[#This Row],[CurrentStock]]&lt;Table1[[#This Row],[ReorderLevel]],"Reorder","Okay")</f>
        <v>Okay</v>
      </c>
    </row>
    <row r="1357" spans="1:15" x14ac:dyDescent="0.3">
      <c r="A1357">
        <v>92641</v>
      </c>
      <c r="B1357" t="s">
        <v>13</v>
      </c>
      <c r="C1357" t="s">
        <v>29</v>
      </c>
      <c r="D1357">
        <v>134</v>
      </c>
      <c r="E1357">
        <v>30</v>
      </c>
      <c r="F1357">
        <v>298.91000000000003</v>
      </c>
      <c r="G1357" t="s">
        <v>32</v>
      </c>
      <c r="H1357" s="1">
        <v>45334</v>
      </c>
      <c r="I1357" s="1">
        <v>45352</v>
      </c>
      <c r="J1357" t="s">
        <v>39</v>
      </c>
      <c r="K1357" t="b">
        <f>Table1[[#This Row],[CurrentStock]]&lt;Table1[[#This Row],[ReorderLevel]]</f>
        <v>0</v>
      </c>
      <c r="L1357" s="9">
        <f>Table1[[#This Row],[CurrentStock]]*Table1[[#This Row],[UnitPrice]]</f>
        <v>40053.94</v>
      </c>
      <c r="M1357" t="str">
        <f>IF(Table1[[#This Row],[ReorderLevel]]-Table1[[#This Row],[CurrentStock]]&gt;0,Table1[[#This Row],[ReorderLevel]]-Table1[[#This Row],[CurrentStock]],"")</f>
        <v/>
      </c>
      <c r="N1357" t="str">
        <f>IF(Table1[[#This Row],[CurrentStock]]&gt;Table1[[#This Row],[ReorderLevel]]*3,"Over Stock","Okay")</f>
        <v>Over Stock</v>
      </c>
      <c r="O1357" t="str">
        <f>IF(Table1[[#This Row],[CurrentStock]]&lt;Table1[[#This Row],[ReorderLevel]],"Reorder","Okay")</f>
        <v>Okay</v>
      </c>
    </row>
    <row r="1358" spans="1:15" x14ac:dyDescent="0.3">
      <c r="A1358">
        <v>44019</v>
      </c>
      <c r="B1358" t="s">
        <v>16</v>
      </c>
      <c r="C1358" t="s">
        <v>30</v>
      </c>
      <c r="D1358">
        <v>70</v>
      </c>
      <c r="E1358">
        <v>50</v>
      </c>
      <c r="F1358">
        <v>15.97</v>
      </c>
      <c r="G1358" t="s">
        <v>36</v>
      </c>
      <c r="H1358" s="1">
        <v>45381</v>
      </c>
      <c r="I1358" s="1">
        <v>45389</v>
      </c>
      <c r="J1358" t="s">
        <v>39</v>
      </c>
      <c r="K1358" t="b">
        <f>Table1[[#This Row],[CurrentStock]]&lt;Table1[[#This Row],[ReorderLevel]]</f>
        <v>0</v>
      </c>
      <c r="L1358" s="9">
        <f>Table1[[#This Row],[CurrentStock]]*Table1[[#This Row],[UnitPrice]]</f>
        <v>1117.9000000000001</v>
      </c>
      <c r="M1358" t="str">
        <f>IF(Table1[[#This Row],[ReorderLevel]]-Table1[[#This Row],[CurrentStock]]&gt;0,Table1[[#This Row],[ReorderLevel]]-Table1[[#This Row],[CurrentStock]],"")</f>
        <v/>
      </c>
      <c r="N1358" t="str">
        <f>IF(Table1[[#This Row],[CurrentStock]]&gt;Table1[[#This Row],[ReorderLevel]]*3,"Over Stock","Okay")</f>
        <v>Okay</v>
      </c>
      <c r="O1358" t="str">
        <f>IF(Table1[[#This Row],[CurrentStock]]&lt;Table1[[#This Row],[ReorderLevel]],"Reorder","Okay")</f>
        <v>Okay</v>
      </c>
    </row>
    <row r="1359" spans="1:15" x14ac:dyDescent="0.3">
      <c r="A1359">
        <v>52425</v>
      </c>
      <c r="B1359" t="s">
        <v>23</v>
      </c>
      <c r="C1359" t="s">
        <v>30</v>
      </c>
      <c r="D1359">
        <v>245</v>
      </c>
      <c r="E1359">
        <v>150</v>
      </c>
      <c r="F1359">
        <v>249.52</v>
      </c>
      <c r="G1359" t="s">
        <v>34</v>
      </c>
      <c r="H1359" s="1">
        <v>45407</v>
      </c>
      <c r="I1359" s="1">
        <v>45429</v>
      </c>
      <c r="J1359" t="s">
        <v>37</v>
      </c>
      <c r="K1359" t="b">
        <f>Table1[[#This Row],[CurrentStock]]&lt;Table1[[#This Row],[ReorderLevel]]</f>
        <v>0</v>
      </c>
      <c r="L1359" s="9">
        <f>Table1[[#This Row],[CurrentStock]]*Table1[[#This Row],[UnitPrice]]</f>
        <v>61132.4</v>
      </c>
      <c r="M1359" t="str">
        <f>IF(Table1[[#This Row],[ReorderLevel]]-Table1[[#This Row],[CurrentStock]]&gt;0,Table1[[#This Row],[ReorderLevel]]-Table1[[#This Row],[CurrentStock]],"")</f>
        <v/>
      </c>
      <c r="N1359" t="str">
        <f>IF(Table1[[#This Row],[CurrentStock]]&gt;Table1[[#This Row],[ReorderLevel]]*3,"Over Stock","Okay")</f>
        <v>Okay</v>
      </c>
      <c r="O1359" t="str">
        <f>IF(Table1[[#This Row],[CurrentStock]]&lt;Table1[[#This Row],[ReorderLevel]],"Reorder","Okay")</f>
        <v>Okay</v>
      </c>
    </row>
    <row r="1360" spans="1:15" x14ac:dyDescent="0.3">
      <c r="A1360">
        <v>20857</v>
      </c>
      <c r="B1360" t="s">
        <v>12</v>
      </c>
      <c r="C1360" t="s">
        <v>28</v>
      </c>
      <c r="D1360">
        <v>55</v>
      </c>
      <c r="E1360">
        <v>150</v>
      </c>
      <c r="F1360">
        <v>448.23</v>
      </c>
      <c r="G1360" t="s">
        <v>36</v>
      </c>
      <c r="H1360" s="1">
        <v>45484</v>
      </c>
      <c r="I1360" s="1">
        <v>45493</v>
      </c>
      <c r="J1360" t="s">
        <v>39</v>
      </c>
      <c r="K1360" t="b">
        <f>Table1[[#This Row],[CurrentStock]]&lt;Table1[[#This Row],[ReorderLevel]]</f>
        <v>1</v>
      </c>
      <c r="L1360" s="9">
        <f>Table1[[#This Row],[CurrentStock]]*Table1[[#This Row],[UnitPrice]]</f>
        <v>24652.65</v>
      </c>
      <c r="M1360">
        <f>IF(Table1[[#This Row],[ReorderLevel]]-Table1[[#This Row],[CurrentStock]]&gt;0,Table1[[#This Row],[ReorderLevel]]-Table1[[#This Row],[CurrentStock]],"")</f>
        <v>95</v>
      </c>
      <c r="N1360" t="str">
        <f>IF(Table1[[#This Row],[CurrentStock]]&gt;Table1[[#This Row],[ReorderLevel]]*3,"Over Stock","Okay")</f>
        <v>Okay</v>
      </c>
      <c r="O1360" t="str">
        <f>IF(Table1[[#This Row],[CurrentStock]]&lt;Table1[[#This Row],[ReorderLevel]],"Reorder","Okay")</f>
        <v>Reorder</v>
      </c>
    </row>
    <row r="1361" spans="1:15" x14ac:dyDescent="0.3">
      <c r="A1361">
        <v>44866</v>
      </c>
      <c r="B1361" t="s">
        <v>26</v>
      </c>
      <c r="C1361" t="s">
        <v>30</v>
      </c>
      <c r="D1361">
        <v>399</v>
      </c>
      <c r="E1361">
        <v>150</v>
      </c>
      <c r="F1361">
        <v>182.46</v>
      </c>
      <c r="G1361" t="s">
        <v>33</v>
      </c>
      <c r="H1361" s="1">
        <v>45611</v>
      </c>
      <c r="I1361" s="1">
        <v>45647</v>
      </c>
      <c r="J1361" t="s">
        <v>39</v>
      </c>
      <c r="K1361" t="b">
        <f>Table1[[#This Row],[CurrentStock]]&lt;Table1[[#This Row],[ReorderLevel]]</f>
        <v>0</v>
      </c>
      <c r="L1361" s="9">
        <f>Table1[[#This Row],[CurrentStock]]*Table1[[#This Row],[UnitPrice]]</f>
        <v>72801.540000000008</v>
      </c>
      <c r="M1361" t="str">
        <f>IF(Table1[[#This Row],[ReorderLevel]]-Table1[[#This Row],[CurrentStock]]&gt;0,Table1[[#This Row],[ReorderLevel]]-Table1[[#This Row],[CurrentStock]],"")</f>
        <v/>
      </c>
      <c r="N1361" t="str">
        <f>IF(Table1[[#This Row],[CurrentStock]]&gt;Table1[[#This Row],[ReorderLevel]]*3,"Over Stock","Okay")</f>
        <v>Okay</v>
      </c>
      <c r="O1361" t="str">
        <f>IF(Table1[[#This Row],[CurrentStock]]&lt;Table1[[#This Row],[ReorderLevel]],"Reorder","Okay")</f>
        <v>Okay</v>
      </c>
    </row>
    <row r="1362" spans="1:15" x14ac:dyDescent="0.3">
      <c r="A1362">
        <v>80726</v>
      </c>
      <c r="B1362" t="s">
        <v>14</v>
      </c>
      <c r="C1362" t="s">
        <v>27</v>
      </c>
      <c r="D1362">
        <v>62</v>
      </c>
      <c r="E1362">
        <v>50</v>
      </c>
      <c r="F1362">
        <v>396.04</v>
      </c>
      <c r="G1362" t="s">
        <v>35</v>
      </c>
      <c r="H1362" s="1">
        <v>45372</v>
      </c>
      <c r="I1362" s="1">
        <v>45404</v>
      </c>
      <c r="J1362" t="s">
        <v>39</v>
      </c>
      <c r="K1362" t="b">
        <f>Table1[[#This Row],[CurrentStock]]&lt;Table1[[#This Row],[ReorderLevel]]</f>
        <v>0</v>
      </c>
      <c r="L1362" s="9">
        <f>Table1[[#This Row],[CurrentStock]]*Table1[[#This Row],[UnitPrice]]</f>
        <v>24554.48</v>
      </c>
      <c r="M1362" t="str">
        <f>IF(Table1[[#This Row],[ReorderLevel]]-Table1[[#This Row],[CurrentStock]]&gt;0,Table1[[#This Row],[ReorderLevel]]-Table1[[#This Row],[CurrentStock]],"")</f>
        <v/>
      </c>
      <c r="N1362" t="str">
        <f>IF(Table1[[#This Row],[CurrentStock]]&gt;Table1[[#This Row],[ReorderLevel]]*3,"Over Stock","Okay")</f>
        <v>Okay</v>
      </c>
      <c r="O1362" t="str">
        <f>IF(Table1[[#This Row],[CurrentStock]]&lt;Table1[[#This Row],[ReorderLevel]],"Reorder","Okay")</f>
        <v>Okay</v>
      </c>
    </row>
    <row r="1363" spans="1:15" x14ac:dyDescent="0.3">
      <c r="A1363">
        <v>33437</v>
      </c>
      <c r="B1363" t="s">
        <v>24</v>
      </c>
      <c r="C1363" t="s">
        <v>31</v>
      </c>
      <c r="D1363">
        <v>139</v>
      </c>
      <c r="E1363">
        <v>150</v>
      </c>
      <c r="F1363">
        <v>420.06</v>
      </c>
      <c r="G1363" t="s">
        <v>33</v>
      </c>
      <c r="H1363" s="1">
        <v>45370</v>
      </c>
      <c r="I1363" s="1">
        <v>45395</v>
      </c>
      <c r="J1363" t="s">
        <v>38</v>
      </c>
      <c r="K1363" t="b">
        <f>Table1[[#This Row],[CurrentStock]]&lt;Table1[[#This Row],[ReorderLevel]]</f>
        <v>1</v>
      </c>
      <c r="L1363" s="9">
        <f>Table1[[#This Row],[CurrentStock]]*Table1[[#This Row],[UnitPrice]]</f>
        <v>58388.340000000004</v>
      </c>
      <c r="M1363">
        <f>IF(Table1[[#This Row],[ReorderLevel]]-Table1[[#This Row],[CurrentStock]]&gt;0,Table1[[#This Row],[ReorderLevel]]-Table1[[#This Row],[CurrentStock]],"")</f>
        <v>11</v>
      </c>
      <c r="N1363" t="str">
        <f>IF(Table1[[#This Row],[CurrentStock]]&gt;Table1[[#This Row],[ReorderLevel]]*3,"Over Stock","Okay")</f>
        <v>Okay</v>
      </c>
      <c r="O1363" t="str">
        <f>IF(Table1[[#This Row],[CurrentStock]]&lt;Table1[[#This Row],[ReorderLevel]],"Reorder","Okay")</f>
        <v>Reorder</v>
      </c>
    </row>
    <row r="1364" spans="1:15" x14ac:dyDescent="0.3">
      <c r="A1364">
        <v>49293</v>
      </c>
      <c r="B1364" t="s">
        <v>16</v>
      </c>
      <c r="C1364" t="s">
        <v>30</v>
      </c>
      <c r="D1364">
        <v>453</v>
      </c>
      <c r="E1364">
        <v>80</v>
      </c>
      <c r="F1364">
        <v>425.27</v>
      </c>
      <c r="G1364" t="s">
        <v>35</v>
      </c>
      <c r="H1364" s="1">
        <v>45553</v>
      </c>
      <c r="I1364" s="1">
        <v>45583</v>
      </c>
      <c r="J1364" t="s">
        <v>37</v>
      </c>
      <c r="K1364" t="b">
        <f>Table1[[#This Row],[CurrentStock]]&lt;Table1[[#This Row],[ReorderLevel]]</f>
        <v>0</v>
      </c>
      <c r="L1364" s="9">
        <f>Table1[[#This Row],[CurrentStock]]*Table1[[#This Row],[UnitPrice]]</f>
        <v>192647.31</v>
      </c>
      <c r="M1364" t="str">
        <f>IF(Table1[[#This Row],[ReorderLevel]]-Table1[[#This Row],[CurrentStock]]&gt;0,Table1[[#This Row],[ReorderLevel]]-Table1[[#This Row],[CurrentStock]],"")</f>
        <v/>
      </c>
      <c r="N1364" t="str">
        <f>IF(Table1[[#This Row],[CurrentStock]]&gt;Table1[[#This Row],[ReorderLevel]]*3,"Over Stock","Okay")</f>
        <v>Over Stock</v>
      </c>
      <c r="O1364" t="str">
        <f>IF(Table1[[#This Row],[CurrentStock]]&lt;Table1[[#This Row],[ReorderLevel]],"Reorder","Okay")</f>
        <v>Okay</v>
      </c>
    </row>
    <row r="1365" spans="1:15" x14ac:dyDescent="0.3">
      <c r="A1365">
        <v>56009</v>
      </c>
      <c r="B1365" t="s">
        <v>17</v>
      </c>
      <c r="C1365" t="s">
        <v>30</v>
      </c>
      <c r="D1365">
        <v>230</v>
      </c>
      <c r="E1365">
        <v>80</v>
      </c>
      <c r="F1365">
        <v>147.62</v>
      </c>
      <c r="G1365" t="s">
        <v>33</v>
      </c>
      <c r="H1365" s="1">
        <v>45398</v>
      </c>
      <c r="I1365" s="1">
        <v>45430</v>
      </c>
      <c r="J1365" t="s">
        <v>37</v>
      </c>
      <c r="K1365" t="b">
        <f>Table1[[#This Row],[CurrentStock]]&lt;Table1[[#This Row],[ReorderLevel]]</f>
        <v>0</v>
      </c>
      <c r="L1365" s="9">
        <f>Table1[[#This Row],[CurrentStock]]*Table1[[#This Row],[UnitPrice]]</f>
        <v>33952.6</v>
      </c>
      <c r="M1365" t="str">
        <f>IF(Table1[[#This Row],[ReorderLevel]]-Table1[[#This Row],[CurrentStock]]&gt;0,Table1[[#This Row],[ReorderLevel]]-Table1[[#This Row],[CurrentStock]],"")</f>
        <v/>
      </c>
      <c r="N1365" t="str">
        <f>IF(Table1[[#This Row],[CurrentStock]]&gt;Table1[[#This Row],[ReorderLevel]]*3,"Over Stock","Okay")</f>
        <v>Okay</v>
      </c>
      <c r="O1365" t="str">
        <f>IF(Table1[[#This Row],[CurrentStock]]&lt;Table1[[#This Row],[ReorderLevel]],"Reorder","Okay")</f>
        <v>Okay</v>
      </c>
    </row>
    <row r="1366" spans="1:15" x14ac:dyDescent="0.3">
      <c r="A1366">
        <v>49643</v>
      </c>
      <c r="B1366" t="s">
        <v>15</v>
      </c>
      <c r="C1366" t="s">
        <v>29</v>
      </c>
      <c r="D1366">
        <v>287</v>
      </c>
      <c r="E1366">
        <v>100</v>
      </c>
      <c r="F1366">
        <v>301.55</v>
      </c>
      <c r="G1366" t="s">
        <v>33</v>
      </c>
      <c r="H1366" s="1">
        <v>45506</v>
      </c>
      <c r="I1366" s="1">
        <v>45535</v>
      </c>
      <c r="J1366" t="s">
        <v>38</v>
      </c>
      <c r="K1366" t="b">
        <f>Table1[[#This Row],[CurrentStock]]&lt;Table1[[#This Row],[ReorderLevel]]</f>
        <v>0</v>
      </c>
      <c r="L1366" s="9">
        <f>Table1[[#This Row],[CurrentStock]]*Table1[[#This Row],[UnitPrice]]</f>
        <v>86544.85</v>
      </c>
      <c r="M1366" t="str">
        <f>IF(Table1[[#This Row],[ReorderLevel]]-Table1[[#This Row],[CurrentStock]]&gt;0,Table1[[#This Row],[ReorderLevel]]-Table1[[#This Row],[CurrentStock]],"")</f>
        <v/>
      </c>
      <c r="N1366" t="str">
        <f>IF(Table1[[#This Row],[CurrentStock]]&gt;Table1[[#This Row],[ReorderLevel]]*3,"Over Stock","Okay")</f>
        <v>Okay</v>
      </c>
      <c r="O1366" t="str">
        <f>IF(Table1[[#This Row],[CurrentStock]]&lt;Table1[[#This Row],[ReorderLevel]],"Reorder","Okay")</f>
        <v>Okay</v>
      </c>
    </row>
    <row r="1367" spans="1:15" x14ac:dyDescent="0.3">
      <c r="A1367">
        <v>94292</v>
      </c>
      <c r="B1367" t="s">
        <v>12</v>
      </c>
      <c r="C1367" t="s">
        <v>28</v>
      </c>
      <c r="D1367">
        <v>157</v>
      </c>
      <c r="E1367">
        <v>20</v>
      </c>
      <c r="F1367">
        <v>412.03</v>
      </c>
      <c r="G1367" t="s">
        <v>32</v>
      </c>
      <c r="H1367" s="1">
        <v>45393</v>
      </c>
      <c r="I1367" s="1">
        <v>45419</v>
      </c>
      <c r="J1367" t="s">
        <v>37</v>
      </c>
      <c r="K1367" t="b">
        <f>Table1[[#This Row],[CurrentStock]]&lt;Table1[[#This Row],[ReorderLevel]]</f>
        <v>0</v>
      </c>
      <c r="L1367" s="9">
        <f>Table1[[#This Row],[CurrentStock]]*Table1[[#This Row],[UnitPrice]]</f>
        <v>64688.71</v>
      </c>
      <c r="M1367" t="str">
        <f>IF(Table1[[#This Row],[ReorderLevel]]-Table1[[#This Row],[CurrentStock]]&gt;0,Table1[[#This Row],[ReorderLevel]]-Table1[[#This Row],[CurrentStock]],"")</f>
        <v/>
      </c>
      <c r="N1367" t="str">
        <f>IF(Table1[[#This Row],[CurrentStock]]&gt;Table1[[#This Row],[ReorderLevel]]*3,"Over Stock","Okay")</f>
        <v>Over Stock</v>
      </c>
      <c r="O1367" t="str">
        <f>IF(Table1[[#This Row],[CurrentStock]]&lt;Table1[[#This Row],[ReorderLevel]],"Reorder","Okay")</f>
        <v>Okay</v>
      </c>
    </row>
    <row r="1368" spans="1:15" x14ac:dyDescent="0.3">
      <c r="A1368">
        <v>59485</v>
      </c>
      <c r="B1368" t="s">
        <v>25</v>
      </c>
      <c r="C1368" t="s">
        <v>31</v>
      </c>
      <c r="D1368">
        <v>371</v>
      </c>
      <c r="E1368">
        <v>150</v>
      </c>
      <c r="F1368">
        <v>96.1</v>
      </c>
      <c r="G1368" t="s">
        <v>33</v>
      </c>
      <c r="H1368" s="1">
        <v>45378</v>
      </c>
      <c r="I1368" s="1">
        <v>45394</v>
      </c>
      <c r="J1368" t="s">
        <v>38</v>
      </c>
      <c r="K1368" t="b">
        <f>Table1[[#This Row],[CurrentStock]]&lt;Table1[[#This Row],[ReorderLevel]]</f>
        <v>0</v>
      </c>
      <c r="L1368" s="9">
        <f>Table1[[#This Row],[CurrentStock]]*Table1[[#This Row],[UnitPrice]]</f>
        <v>35653.1</v>
      </c>
      <c r="M1368" t="str">
        <f>IF(Table1[[#This Row],[ReorderLevel]]-Table1[[#This Row],[CurrentStock]]&gt;0,Table1[[#This Row],[ReorderLevel]]-Table1[[#This Row],[CurrentStock]],"")</f>
        <v/>
      </c>
      <c r="N1368" t="str">
        <f>IF(Table1[[#This Row],[CurrentStock]]&gt;Table1[[#This Row],[ReorderLevel]]*3,"Over Stock","Okay")</f>
        <v>Okay</v>
      </c>
      <c r="O1368" t="str">
        <f>IF(Table1[[#This Row],[CurrentStock]]&lt;Table1[[#This Row],[ReorderLevel]],"Reorder","Okay")</f>
        <v>Okay</v>
      </c>
    </row>
    <row r="1369" spans="1:15" x14ac:dyDescent="0.3">
      <c r="A1369">
        <v>97579</v>
      </c>
      <c r="B1369" t="s">
        <v>14</v>
      </c>
      <c r="C1369" t="s">
        <v>27</v>
      </c>
      <c r="D1369">
        <v>79</v>
      </c>
      <c r="E1369">
        <v>50</v>
      </c>
      <c r="F1369">
        <v>54.62</v>
      </c>
      <c r="G1369" t="s">
        <v>35</v>
      </c>
      <c r="H1369" s="1">
        <v>45512</v>
      </c>
      <c r="I1369" s="1">
        <v>45525</v>
      </c>
      <c r="J1369" t="s">
        <v>37</v>
      </c>
      <c r="K1369" t="b">
        <f>Table1[[#This Row],[CurrentStock]]&lt;Table1[[#This Row],[ReorderLevel]]</f>
        <v>0</v>
      </c>
      <c r="L1369" s="9">
        <f>Table1[[#This Row],[CurrentStock]]*Table1[[#This Row],[UnitPrice]]</f>
        <v>4314.9799999999996</v>
      </c>
      <c r="M1369" t="str">
        <f>IF(Table1[[#This Row],[ReorderLevel]]-Table1[[#This Row],[CurrentStock]]&gt;0,Table1[[#This Row],[ReorderLevel]]-Table1[[#This Row],[CurrentStock]],"")</f>
        <v/>
      </c>
      <c r="N1369" t="str">
        <f>IF(Table1[[#This Row],[CurrentStock]]&gt;Table1[[#This Row],[ReorderLevel]]*3,"Over Stock","Okay")</f>
        <v>Okay</v>
      </c>
      <c r="O1369" t="str">
        <f>IF(Table1[[#This Row],[CurrentStock]]&lt;Table1[[#This Row],[ReorderLevel]],"Reorder","Okay")</f>
        <v>Okay</v>
      </c>
    </row>
    <row r="1370" spans="1:15" x14ac:dyDescent="0.3">
      <c r="A1370">
        <v>10997</v>
      </c>
      <c r="B1370" t="s">
        <v>17</v>
      </c>
      <c r="C1370" t="s">
        <v>30</v>
      </c>
      <c r="D1370">
        <v>8</v>
      </c>
      <c r="E1370">
        <v>150</v>
      </c>
      <c r="F1370">
        <v>239.42</v>
      </c>
      <c r="G1370" t="s">
        <v>32</v>
      </c>
      <c r="H1370" s="1">
        <v>45367</v>
      </c>
      <c r="I1370" s="1">
        <v>45403</v>
      </c>
      <c r="J1370" t="s">
        <v>39</v>
      </c>
      <c r="K1370" t="b">
        <f>Table1[[#This Row],[CurrentStock]]&lt;Table1[[#This Row],[ReorderLevel]]</f>
        <v>1</v>
      </c>
      <c r="L1370" s="9">
        <f>Table1[[#This Row],[CurrentStock]]*Table1[[#This Row],[UnitPrice]]</f>
        <v>1915.36</v>
      </c>
      <c r="M1370">
        <f>IF(Table1[[#This Row],[ReorderLevel]]-Table1[[#This Row],[CurrentStock]]&gt;0,Table1[[#This Row],[ReorderLevel]]-Table1[[#This Row],[CurrentStock]],"")</f>
        <v>142</v>
      </c>
      <c r="N1370" t="str">
        <f>IF(Table1[[#This Row],[CurrentStock]]&gt;Table1[[#This Row],[ReorderLevel]]*3,"Over Stock","Okay")</f>
        <v>Okay</v>
      </c>
      <c r="O1370" t="str">
        <f>IF(Table1[[#This Row],[CurrentStock]]&lt;Table1[[#This Row],[ReorderLevel]],"Reorder","Okay")</f>
        <v>Reorder</v>
      </c>
    </row>
    <row r="1371" spans="1:15" x14ac:dyDescent="0.3">
      <c r="A1371">
        <v>82976</v>
      </c>
      <c r="B1371" t="s">
        <v>12</v>
      </c>
      <c r="C1371" t="s">
        <v>28</v>
      </c>
      <c r="D1371">
        <v>371</v>
      </c>
      <c r="E1371">
        <v>100</v>
      </c>
      <c r="F1371">
        <v>20.059999999999999</v>
      </c>
      <c r="G1371" t="s">
        <v>32</v>
      </c>
      <c r="H1371" s="1">
        <v>45347</v>
      </c>
      <c r="I1371" s="1">
        <v>45374</v>
      </c>
      <c r="J1371" t="s">
        <v>39</v>
      </c>
      <c r="K1371" t="b">
        <f>Table1[[#This Row],[CurrentStock]]&lt;Table1[[#This Row],[ReorderLevel]]</f>
        <v>0</v>
      </c>
      <c r="L1371" s="9">
        <f>Table1[[#This Row],[CurrentStock]]*Table1[[#This Row],[UnitPrice]]</f>
        <v>7442.2599999999993</v>
      </c>
      <c r="M1371" t="str">
        <f>IF(Table1[[#This Row],[ReorderLevel]]-Table1[[#This Row],[CurrentStock]]&gt;0,Table1[[#This Row],[ReorderLevel]]-Table1[[#This Row],[CurrentStock]],"")</f>
        <v/>
      </c>
      <c r="N1371" t="str">
        <f>IF(Table1[[#This Row],[CurrentStock]]&gt;Table1[[#This Row],[ReorderLevel]]*3,"Over Stock","Okay")</f>
        <v>Over Stock</v>
      </c>
      <c r="O1371" t="str">
        <f>IF(Table1[[#This Row],[CurrentStock]]&lt;Table1[[#This Row],[ReorderLevel]],"Reorder","Okay")</f>
        <v>Okay</v>
      </c>
    </row>
    <row r="1372" spans="1:15" x14ac:dyDescent="0.3">
      <c r="A1372">
        <v>34945</v>
      </c>
      <c r="B1372" t="s">
        <v>12</v>
      </c>
      <c r="C1372" t="s">
        <v>28</v>
      </c>
      <c r="D1372">
        <v>481</v>
      </c>
      <c r="E1372">
        <v>100</v>
      </c>
      <c r="F1372">
        <v>65.650000000000006</v>
      </c>
      <c r="G1372" t="s">
        <v>36</v>
      </c>
      <c r="H1372" s="1">
        <v>45564</v>
      </c>
      <c r="I1372" s="1">
        <v>45583</v>
      </c>
      <c r="J1372" t="s">
        <v>37</v>
      </c>
      <c r="K1372" t="b">
        <f>Table1[[#This Row],[CurrentStock]]&lt;Table1[[#This Row],[ReorderLevel]]</f>
        <v>0</v>
      </c>
      <c r="L1372" s="9">
        <f>Table1[[#This Row],[CurrentStock]]*Table1[[#This Row],[UnitPrice]]</f>
        <v>31577.65</v>
      </c>
      <c r="M1372" t="str">
        <f>IF(Table1[[#This Row],[ReorderLevel]]-Table1[[#This Row],[CurrentStock]]&gt;0,Table1[[#This Row],[ReorderLevel]]-Table1[[#This Row],[CurrentStock]],"")</f>
        <v/>
      </c>
      <c r="N1372" t="str">
        <f>IF(Table1[[#This Row],[CurrentStock]]&gt;Table1[[#This Row],[ReorderLevel]]*3,"Over Stock","Okay")</f>
        <v>Over Stock</v>
      </c>
      <c r="O1372" t="str">
        <f>IF(Table1[[#This Row],[CurrentStock]]&lt;Table1[[#This Row],[ReorderLevel]],"Reorder","Okay")</f>
        <v>Okay</v>
      </c>
    </row>
    <row r="1373" spans="1:15" x14ac:dyDescent="0.3">
      <c r="A1373">
        <v>58795</v>
      </c>
      <c r="B1373" t="s">
        <v>18</v>
      </c>
      <c r="C1373" t="s">
        <v>28</v>
      </c>
      <c r="D1373">
        <v>252</v>
      </c>
      <c r="E1373">
        <v>20</v>
      </c>
      <c r="F1373">
        <v>268.3</v>
      </c>
      <c r="G1373" t="s">
        <v>33</v>
      </c>
      <c r="H1373" s="1">
        <v>45518</v>
      </c>
      <c r="I1373" s="1">
        <v>45538</v>
      </c>
      <c r="J1373" t="s">
        <v>38</v>
      </c>
      <c r="K1373" t="b">
        <f>Table1[[#This Row],[CurrentStock]]&lt;Table1[[#This Row],[ReorderLevel]]</f>
        <v>0</v>
      </c>
      <c r="L1373" s="9">
        <f>Table1[[#This Row],[CurrentStock]]*Table1[[#This Row],[UnitPrice]]</f>
        <v>67611.600000000006</v>
      </c>
      <c r="M1373" t="str">
        <f>IF(Table1[[#This Row],[ReorderLevel]]-Table1[[#This Row],[CurrentStock]]&gt;0,Table1[[#This Row],[ReorderLevel]]-Table1[[#This Row],[CurrentStock]],"")</f>
        <v/>
      </c>
      <c r="N1373" t="str">
        <f>IF(Table1[[#This Row],[CurrentStock]]&gt;Table1[[#This Row],[ReorderLevel]]*3,"Over Stock","Okay")</f>
        <v>Over Stock</v>
      </c>
      <c r="O1373" t="str">
        <f>IF(Table1[[#This Row],[CurrentStock]]&lt;Table1[[#This Row],[ReorderLevel]],"Reorder","Okay")</f>
        <v>Okay</v>
      </c>
    </row>
    <row r="1374" spans="1:15" x14ac:dyDescent="0.3">
      <c r="A1374">
        <v>60022</v>
      </c>
      <c r="B1374" t="s">
        <v>18</v>
      </c>
      <c r="C1374" t="s">
        <v>28</v>
      </c>
      <c r="D1374">
        <v>47</v>
      </c>
      <c r="E1374">
        <v>150</v>
      </c>
      <c r="F1374">
        <v>159.11000000000001</v>
      </c>
      <c r="G1374" t="s">
        <v>33</v>
      </c>
      <c r="H1374" s="1">
        <v>45452</v>
      </c>
      <c r="I1374" s="1">
        <v>45489</v>
      </c>
      <c r="J1374" t="s">
        <v>38</v>
      </c>
      <c r="K1374" t="b">
        <f>Table1[[#This Row],[CurrentStock]]&lt;Table1[[#This Row],[ReorderLevel]]</f>
        <v>1</v>
      </c>
      <c r="L1374" s="9">
        <f>Table1[[#This Row],[CurrentStock]]*Table1[[#This Row],[UnitPrice]]</f>
        <v>7478.170000000001</v>
      </c>
      <c r="M1374">
        <f>IF(Table1[[#This Row],[ReorderLevel]]-Table1[[#This Row],[CurrentStock]]&gt;0,Table1[[#This Row],[ReorderLevel]]-Table1[[#This Row],[CurrentStock]],"")</f>
        <v>103</v>
      </c>
      <c r="N1374" t="str">
        <f>IF(Table1[[#This Row],[CurrentStock]]&gt;Table1[[#This Row],[ReorderLevel]]*3,"Over Stock","Okay")</f>
        <v>Okay</v>
      </c>
      <c r="O1374" t="str">
        <f>IF(Table1[[#This Row],[CurrentStock]]&lt;Table1[[#This Row],[ReorderLevel]],"Reorder","Okay")</f>
        <v>Reorder</v>
      </c>
    </row>
    <row r="1375" spans="1:15" x14ac:dyDescent="0.3">
      <c r="A1375">
        <v>34815</v>
      </c>
      <c r="B1375" t="s">
        <v>22</v>
      </c>
      <c r="C1375" t="s">
        <v>27</v>
      </c>
      <c r="D1375">
        <v>470</v>
      </c>
      <c r="E1375">
        <v>150</v>
      </c>
      <c r="F1375">
        <v>394.53</v>
      </c>
      <c r="G1375" t="s">
        <v>36</v>
      </c>
      <c r="H1375" s="1">
        <v>45336</v>
      </c>
      <c r="I1375" s="1">
        <v>45356</v>
      </c>
      <c r="J1375" t="s">
        <v>39</v>
      </c>
      <c r="K1375" t="b">
        <f>Table1[[#This Row],[CurrentStock]]&lt;Table1[[#This Row],[ReorderLevel]]</f>
        <v>0</v>
      </c>
      <c r="L1375" s="9">
        <f>Table1[[#This Row],[CurrentStock]]*Table1[[#This Row],[UnitPrice]]</f>
        <v>185429.09999999998</v>
      </c>
      <c r="M1375" t="str">
        <f>IF(Table1[[#This Row],[ReorderLevel]]-Table1[[#This Row],[CurrentStock]]&gt;0,Table1[[#This Row],[ReorderLevel]]-Table1[[#This Row],[CurrentStock]],"")</f>
        <v/>
      </c>
      <c r="N1375" t="str">
        <f>IF(Table1[[#This Row],[CurrentStock]]&gt;Table1[[#This Row],[ReorderLevel]]*3,"Over Stock","Okay")</f>
        <v>Over Stock</v>
      </c>
      <c r="O1375" t="str">
        <f>IF(Table1[[#This Row],[CurrentStock]]&lt;Table1[[#This Row],[ReorderLevel]],"Reorder","Okay")</f>
        <v>Okay</v>
      </c>
    </row>
    <row r="1376" spans="1:15" x14ac:dyDescent="0.3">
      <c r="A1376">
        <v>98757</v>
      </c>
      <c r="B1376" t="s">
        <v>18</v>
      </c>
      <c r="C1376" t="s">
        <v>28</v>
      </c>
      <c r="D1376">
        <v>287</v>
      </c>
      <c r="E1376">
        <v>50</v>
      </c>
      <c r="F1376">
        <v>44.06</v>
      </c>
      <c r="G1376" t="s">
        <v>33</v>
      </c>
      <c r="H1376" s="1">
        <v>45626</v>
      </c>
      <c r="I1376" s="1">
        <v>45634</v>
      </c>
      <c r="J1376" t="s">
        <v>39</v>
      </c>
      <c r="K1376" t="b">
        <f>Table1[[#This Row],[CurrentStock]]&lt;Table1[[#This Row],[ReorderLevel]]</f>
        <v>0</v>
      </c>
      <c r="L1376" s="9">
        <f>Table1[[#This Row],[CurrentStock]]*Table1[[#This Row],[UnitPrice]]</f>
        <v>12645.220000000001</v>
      </c>
      <c r="M1376" t="str">
        <f>IF(Table1[[#This Row],[ReorderLevel]]-Table1[[#This Row],[CurrentStock]]&gt;0,Table1[[#This Row],[ReorderLevel]]-Table1[[#This Row],[CurrentStock]],"")</f>
        <v/>
      </c>
      <c r="N1376" t="str">
        <f>IF(Table1[[#This Row],[CurrentStock]]&gt;Table1[[#This Row],[ReorderLevel]]*3,"Over Stock","Okay")</f>
        <v>Over Stock</v>
      </c>
      <c r="O1376" t="str">
        <f>IF(Table1[[#This Row],[CurrentStock]]&lt;Table1[[#This Row],[ReorderLevel]],"Reorder","Okay")</f>
        <v>Okay</v>
      </c>
    </row>
    <row r="1377" spans="1:15" x14ac:dyDescent="0.3">
      <c r="A1377">
        <v>33401</v>
      </c>
      <c r="B1377" t="s">
        <v>24</v>
      </c>
      <c r="C1377" t="s">
        <v>31</v>
      </c>
      <c r="D1377">
        <v>110</v>
      </c>
      <c r="E1377">
        <v>100</v>
      </c>
      <c r="F1377">
        <v>337.99</v>
      </c>
      <c r="G1377" t="s">
        <v>34</v>
      </c>
      <c r="H1377" s="1">
        <v>45338</v>
      </c>
      <c r="I1377" s="1">
        <v>45368</v>
      </c>
      <c r="J1377" t="s">
        <v>38</v>
      </c>
      <c r="K1377" t="b">
        <f>Table1[[#This Row],[CurrentStock]]&lt;Table1[[#This Row],[ReorderLevel]]</f>
        <v>0</v>
      </c>
      <c r="L1377" s="9">
        <f>Table1[[#This Row],[CurrentStock]]*Table1[[#This Row],[UnitPrice]]</f>
        <v>37178.9</v>
      </c>
      <c r="M1377" t="str">
        <f>IF(Table1[[#This Row],[ReorderLevel]]-Table1[[#This Row],[CurrentStock]]&gt;0,Table1[[#This Row],[ReorderLevel]]-Table1[[#This Row],[CurrentStock]],"")</f>
        <v/>
      </c>
      <c r="N1377" t="str">
        <f>IF(Table1[[#This Row],[CurrentStock]]&gt;Table1[[#This Row],[ReorderLevel]]*3,"Over Stock","Okay")</f>
        <v>Okay</v>
      </c>
      <c r="O1377" t="str">
        <f>IF(Table1[[#This Row],[CurrentStock]]&lt;Table1[[#This Row],[ReorderLevel]],"Reorder","Okay")</f>
        <v>Okay</v>
      </c>
    </row>
    <row r="1378" spans="1:15" x14ac:dyDescent="0.3">
      <c r="A1378">
        <v>63740</v>
      </c>
      <c r="B1378" t="s">
        <v>21</v>
      </c>
      <c r="C1378" t="s">
        <v>31</v>
      </c>
      <c r="D1378">
        <v>444</v>
      </c>
      <c r="E1378">
        <v>150</v>
      </c>
      <c r="F1378">
        <v>335.12</v>
      </c>
      <c r="G1378" t="s">
        <v>33</v>
      </c>
      <c r="H1378" s="1">
        <v>45599</v>
      </c>
      <c r="I1378" s="1">
        <v>45622</v>
      </c>
      <c r="J1378" t="s">
        <v>37</v>
      </c>
      <c r="K1378" t="b">
        <f>Table1[[#This Row],[CurrentStock]]&lt;Table1[[#This Row],[ReorderLevel]]</f>
        <v>0</v>
      </c>
      <c r="L1378" s="9">
        <f>Table1[[#This Row],[CurrentStock]]*Table1[[#This Row],[UnitPrice]]</f>
        <v>148793.28</v>
      </c>
      <c r="M1378" t="str">
        <f>IF(Table1[[#This Row],[ReorderLevel]]-Table1[[#This Row],[CurrentStock]]&gt;0,Table1[[#This Row],[ReorderLevel]]-Table1[[#This Row],[CurrentStock]],"")</f>
        <v/>
      </c>
      <c r="N1378" t="str">
        <f>IF(Table1[[#This Row],[CurrentStock]]&gt;Table1[[#This Row],[ReorderLevel]]*3,"Over Stock","Okay")</f>
        <v>Okay</v>
      </c>
      <c r="O1378" t="str">
        <f>IF(Table1[[#This Row],[CurrentStock]]&lt;Table1[[#This Row],[ReorderLevel]],"Reorder","Okay")</f>
        <v>Okay</v>
      </c>
    </row>
    <row r="1379" spans="1:15" x14ac:dyDescent="0.3">
      <c r="A1379">
        <v>87681</v>
      </c>
      <c r="B1379" t="s">
        <v>15</v>
      </c>
      <c r="C1379" t="s">
        <v>29</v>
      </c>
      <c r="D1379">
        <v>329</v>
      </c>
      <c r="E1379">
        <v>30</v>
      </c>
      <c r="F1379">
        <v>5.09</v>
      </c>
      <c r="G1379" t="s">
        <v>33</v>
      </c>
      <c r="H1379" s="1">
        <v>45319</v>
      </c>
      <c r="I1379" s="1">
        <v>45351</v>
      </c>
      <c r="J1379" t="s">
        <v>37</v>
      </c>
      <c r="K1379" t="b">
        <f>Table1[[#This Row],[CurrentStock]]&lt;Table1[[#This Row],[ReorderLevel]]</f>
        <v>0</v>
      </c>
      <c r="L1379" s="9">
        <f>Table1[[#This Row],[CurrentStock]]*Table1[[#This Row],[UnitPrice]]</f>
        <v>1674.61</v>
      </c>
      <c r="M1379" t="str">
        <f>IF(Table1[[#This Row],[ReorderLevel]]-Table1[[#This Row],[CurrentStock]]&gt;0,Table1[[#This Row],[ReorderLevel]]-Table1[[#This Row],[CurrentStock]],"")</f>
        <v/>
      </c>
      <c r="N1379" t="str">
        <f>IF(Table1[[#This Row],[CurrentStock]]&gt;Table1[[#This Row],[ReorderLevel]]*3,"Over Stock","Okay")</f>
        <v>Over Stock</v>
      </c>
      <c r="O1379" t="str">
        <f>IF(Table1[[#This Row],[CurrentStock]]&lt;Table1[[#This Row],[ReorderLevel]],"Reorder","Okay")</f>
        <v>Okay</v>
      </c>
    </row>
    <row r="1380" spans="1:15" x14ac:dyDescent="0.3">
      <c r="A1380">
        <v>23665</v>
      </c>
      <c r="B1380" t="s">
        <v>23</v>
      </c>
      <c r="C1380" t="s">
        <v>30</v>
      </c>
      <c r="D1380">
        <v>74</v>
      </c>
      <c r="E1380">
        <v>30</v>
      </c>
      <c r="F1380">
        <v>488.16</v>
      </c>
      <c r="G1380" t="s">
        <v>32</v>
      </c>
      <c r="H1380" s="1">
        <v>45306</v>
      </c>
      <c r="I1380" s="1">
        <v>45317</v>
      </c>
      <c r="J1380" t="s">
        <v>39</v>
      </c>
      <c r="K1380" t="b">
        <f>Table1[[#This Row],[CurrentStock]]&lt;Table1[[#This Row],[ReorderLevel]]</f>
        <v>0</v>
      </c>
      <c r="L1380" s="9">
        <f>Table1[[#This Row],[CurrentStock]]*Table1[[#This Row],[UnitPrice]]</f>
        <v>36123.840000000004</v>
      </c>
      <c r="M1380" t="str">
        <f>IF(Table1[[#This Row],[ReorderLevel]]-Table1[[#This Row],[CurrentStock]]&gt;0,Table1[[#This Row],[ReorderLevel]]-Table1[[#This Row],[CurrentStock]],"")</f>
        <v/>
      </c>
      <c r="N1380" t="str">
        <f>IF(Table1[[#This Row],[CurrentStock]]&gt;Table1[[#This Row],[ReorderLevel]]*3,"Over Stock","Okay")</f>
        <v>Okay</v>
      </c>
      <c r="O1380" t="str">
        <f>IF(Table1[[#This Row],[CurrentStock]]&lt;Table1[[#This Row],[ReorderLevel]],"Reorder","Okay")</f>
        <v>Okay</v>
      </c>
    </row>
    <row r="1381" spans="1:15" x14ac:dyDescent="0.3">
      <c r="A1381">
        <v>19638</v>
      </c>
      <c r="B1381" t="s">
        <v>23</v>
      </c>
      <c r="C1381" t="s">
        <v>30</v>
      </c>
      <c r="D1381">
        <v>286</v>
      </c>
      <c r="E1381">
        <v>150</v>
      </c>
      <c r="F1381">
        <v>318.95999999999998</v>
      </c>
      <c r="G1381" t="s">
        <v>34</v>
      </c>
      <c r="H1381" s="1">
        <v>45571</v>
      </c>
      <c r="I1381" s="1">
        <v>45595</v>
      </c>
      <c r="J1381" t="s">
        <v>39</v>
      </c>
      <c r="K1381" t="b">
        <f>Table1[[#This Row],[CurrentStock]]&lt;Table1[[#This Row],[ReorderLevel]]</f>
        <v>0</v>
      </c>
      <c r="L1381" s="9">
        <f>Table1[[#This Row],[CurrentStock]]*Table1[[#This Row],[UnitPrice]]</f>
        <v>91222.56</v>
      </c>
      <c r="M1381" t="str">
        <f>IF(Table1[[#This Row],[ReorderLevel]]-Table1[[#This Row],[CurrentStock]]&gt;0,Table1[[#This Row],[ReorderLevel]]-Table1[[#This Row],[CurrentStock]],"")</f>
        <v/>
      </c>
      <c r="N1381" t="str">
        <f>IF(Table1[[#This Row],[CurrentStock]]&gt;Table1[[#This Row],[ReorderLevel]]*3,"Over Stock","Okay")</f>
        <v>Okay</v>
      </c>
      <c r="O1381" t="str">
        <f>IF(Table1[[#This Row],[CurrentStock]]&lt;Table1[[#This Row],[ReorderLevel]],"Reorder","Okay")</f>
        <v>Okay</v>
      </c>
    </row>
    <row r="1382" spans="1:15" x14ac:dyDescent="0.3">
      <c r="A1382">
        <v>55097</v>
      </c>
      <c r="B1382" t="s">
        <v>19</v>
      </c>
      <c r="C1382" t="s">
        <v>28</v>
      </c>
      <c r="D1382">
        <v>373</v>
      </c>
      <c r="E1382">
        <v>40</v>
      </c>
      <c r="F1382">
        <v>165.78</v>
      </c>
      <c r="G1382" t="s">
        <v>36</v>
      </c>
      <c r="H1382" s="1">
        <v>45338</v>
      </c>
      <c r="I1382" s="1">
        <v>45377</v>
      </c>
      <c r="J1382" t="s">
        <v>39</v>
      </c>
      <c r="K1382" t="b">
        <f>Table1[[#This Row],[CurrentStock]]&lt;Table1[[#This Row],[ReorderLevel]]</f>
        <v>0</v>
      </c>
      <c r="L1382" s="9">
        <f>Table1[[#This Row],[CurrentStock]]*Table1[[#This Row],[UnitPrice]]</f>
        <v>61835.94</v>
      </c>
      <c r="M1382" t="str">
        <f>IF(Table1[[#This Row],[ReorderLevel]]-Table1[[#This Row],[CurrentStock]]&gt;0,Table1[[#This Row],[ReorderLevel]]-Table1[[#This Row],[CurrentStock]],"")</f>
        <v/>
      </c>
      <c r="N1382" t="str">
        <f>IF(Table1[[#This Row],[CurrentStock]]&gt;Table1[[#This Row],[ReorderLevel]]*3,"Over Stock","Okay")</f>
        <v>Over Stock</v>
      </c>
      <c r="O1382" t="str">
        <f>IF(Table1[[#This Row],[CurrentStock]]&lt;Table1[[#This Row],[ReorderLevel]],"Reorder","Okay")</f>
        <v>Okay</v>
      </c>
    </row>
    <row r="1383" spans="1:15" x14ac:dyDescent="0.3">
      <c r="A1383">
        <v>37684</v>
      </c>
      <c r="B1383" t="s">
        <v>10</v>
      </c>
      <c r="C1383" t="s">
        <v>27</v>
      </c>
      <c r="D1383">
        <v>464</v>
      </c>
      <c r="E1383">
        <v>100</v>
      </c>
      <c r="F1383">
        <v>449.27</v>
      </c>
      <c r="G1383" t="s">
        <v>32</v>
      </c>
      <c r="H1383" s="1">
        <v>45597</v>
      </c>
      <c r="I1383" s="1">
        <v>45633</v>
      </c>
      <c r="J1383" t="s">
        <v>38</v>
      </c>
      <c r="K1383" t="b">
        <f>Table1[[#This Row],[CurrentStock]]&lt;Table1[[#This Row],[ReorderLevel]]</f>
        <v>0</v>
      </c>
      <c r="L1383" s="9">
        <f>Table1[[#This Row],[CurrentStock]]*Table1[[#This Row],[UnitPrice]]</f>
        <v>208461.28</v>
      </c>
      <c r="M1383" t="str">
        <f>IF(Table1[[#This Row],[ReorderLevel]]-Table1[[#This Row],[CurrentStock]]&gt;0,Table1[[#This Row],[ReorderLevel]]-Table1[[#This Row],[CurrentStock]],"")</f>
        <v/>
      </c>
      <c r="N1383" t="str">
        <f>IF(Table1[[#This Row],[CurrentStock]]&gt;Table1[[#This Row],[ReorderLevel]]*3,"Over Stock","Okay")</f>
        <v>Over Stock</v>
      </c>
      <c r="O1383" t="str">
        <f>IF(Table1[[#This Row],[CurrentStock]]&lt;Table1[[#This Row],[ReorderLevel]],"Reorder","Okay")</f>
        <v>Okay</v>
      </c>
    </row>
    <row r="1384" spans="1:15" x14ac:dyDescent="0.3">
      <c r="A1384">
        <v>82725</v>
      </c>
      <c r="B1384" t="s">
        <v>13</v>
      </c>
      <c r="C1384" t="s">
        <v>29</v>
      </c>
      <c r="D1384">
        <v>493</v>
      </c>
      <c r="E1384">
        <v>20</v>
      </c>
      <c r="F1384">
        <v>469.97</v>
      </c>
      <c r="G1384" t="s">
        <v>34</v>
      </c>
      <c r="H1384" s="1">
        <v>45374</v>
      </c>
      <c r="I1384" s="1">
        <v>45382</v>
      </c>
      <c r="J1384" t="s">
        <v>37</v>
      </c>
      <c r="K1384" t="b">
        <f>Table1[[#This Row],[CurrentStock]]&lt;Table1[[#This Row],[ReorderLevel]]</f>
        <v>0</v>
      </c>
      <c r="L1384" s="9">
        <f>Table1[[#This Row],[CurrentStock]]*Table1[[#This Row],[UnitPrice]]</f>
        <v>231695.21000000002</v>
      </c>
      <c r="M1384" t="str">
        <f>IF(Table1[[#This Row],[ReorderLevel]]-Table1[[#This Row],[CurrentStock]]&gt;0,Table1[[#This Row],[ReorderLevel]]-Table1[[#This Row],[CurrentStock]],"")</f>
        <v/>
      </c>
      <c r="N1384" t="str">
        <f>IF(Table1[[#This Row],[CurrentStock]]&gt;Table1[[#This Row],[ReorderLevel]]*3,"Over Stock","Okay")</f>
        <v>Over Stock</v>
      </c>
      <c r="O1384" t="str">
        <f>IF(Table1[[#This Row],[CurrentStock]]&lt;Table1[[#This Row],[ReorderLevel]],"Reorder","Okay")</f>
        <v>Okay</v>
      </c>
    </row>
    <row r="1385" spans="1:15" x14ac:dyDescent="0.3">
      <c r="A1385">
        <v>89453</v>
      </c>
      <c r="B1385" t="s">
        <v>15</v>
      </c>
      <c r="C1385" t="s">
        <v>29</v>
      </c>
      <c r="D1385">
        <v>266</v>
      </c>
      <c r="E1385">
        <v>150</v>
      </c>
      <c r="F1385">
        <v>11.97</v>
      </c>
      <c r="G1385" t="s">
        <v>33</v>
      </c>
      <c r="H1385" s="1">
        <v>45537</v>
      </c>
      <c r="I1385" s="1">
        <v>45562</v>
      </c>
      <c r="J1385" t="s">
        <v>39</v>
      </c>
      <c r="K1385" t="b">
        <f>Table1[[#This Row],[CurrentStock]]&lt;Table1[[#This Row],[ReorderLevel]]</f>
        <v>0</v>
      </c>
      <c r="L1385" s="9">
        <f>Table1[[#This Row],[CurrentStock]]*Table1[[#This Row],[UnitPrice]]</f>
        <v>3184.02</v>
      </c>
      <c r="M1385" t="str">
        <f>IF(Table1[[#This Row],[ReorderLevel]]-Table1[[#This Row],[CurrentStock]]&gt;0,Table1[[#This Row],[ReorderLevel]]-Table1[[#This Row],[CurrentStock]],"")</f>
        <v/>
      </c>
      <c r="N1385" t="str">
        <f>IF(Table1[[#This Row],[CurrentStock]]&gt;Table1[[#This Row],[ReorderLevel]]*3,"Over Stock","Okay")</f>
        <v>Okay</v>
      </c>
      <c r="O1385" t="str">
        <f>IF(Table1[[#This Row],[CurrentStock]]&lt;Table1[[#This Row],[ReorderLevel]],"Reorder","Okay")</f>
        <v>Okay</v>
      </c>
    </row>
    <row r="1386" spans="1:15" x14ac:dyDescent="0.3">
      <c r="A1386">
        <v>18076</v>
      </c>
      <c r="B1386" t="s">
        <v>13</v>
      </c>
      <c r="C1386" t="s">
        <v>29</v>
      </c>
      <c r="D1386">
        <v>7</v>
      </c>
      <c r="E1386">
        <v>50</v>
      </c>
      <c r="F1386">
        <v>9.07</v>
      </c>
      <c r="G1386" t="s">
        <v>34</v>
      </c>
      <c r="H1386" s="1">
        <v>45581</v>
      </c>
      <c r="I1386" s="1">
        <v>45601</v>
      </c>
      <c r="J1386" t="s">
        <v>38</v>
      </c>
      <c r="K1386" t="b">
        <f>Table1[[#This Row],[CurrentStock]]&lt;Table1[[#This Row],[ReorderLevel]]</f>
        <v>1</v>
      </c>
      <c r="L1386" s="9">
        <f>Table1[[#This Row],[CurrentStock]]*Table1[[#This Row],[UnitPrice]]</f>
        <v>63.49</v>
      </c>
      <c r="M1386">
        <f>IF(Table1[[#This Row],[ReorderLevel]]-Table1[[#This Row],[CurrentStock]]&gt;0,Table1[[#This Row],[ReorderLevel]]-Table1[[#This Row],[CurrentStock]],"")</f>
        <v>43</v>
      </c>
      <c r="N1386" t="str">
        <f>IF(Table1[[#This Row],[CurrentStock]]&gt;Table1[[#This Row],[ReorderLevel]]*3,"Over Stock","Okay")</f>
        <v>Okay</v>
      </c>
      <c r="O1386" t="str">
        <f>IF(Table1[[#This Row],[CurrentStock]]&lt;Table1[[#This Row],[ReorderLevel]],"Reorder","Okay")</f>
        <v>Reorder</v>
      </c>
    </row>
    <row r="1387" spans="1:15" x14ac:dyDescent="0.3">
      <c r="A1387">
        <v>55650</v>
      </c>
      <c r="B1387" t="s">
        <v>18</v>
      </c>
      <c r="C1387" t="s">
        <v>28</v>
      </c>
      <c r="D1387">
        <v>240</v>
      </c>
      <c r="E1387">
        <v>40</v>
      </c>
      <c r="F1387">
        <v>439.53</v>
      </c>
      <c r="G1387" t="s">
        <v>32</v>
      </c>
      <c r="H1387" s="1">
        <v>45400</v>
      </c>
      <c r="I1387" s="1">
        <v>45437</v>
      </c>
      <c r="J1387" t="s">
        <v>37</v>
      </c>
      <c r="K1387" t="b">
        <f>Table1[[#This Row],[CurrentStock]]&lt;Table1[[#This Row],[ReorderLevel]]</f>
        <v>0</v>
      </c>
      <c r="L1387" s="9">
        <f>Table1[[#This Row],[CurrentStock]]*Table1[[#This Row],[UnitPrice]]</f>
        <v>105487.2</v>
      </c>
      <c r="M1387" t="str">
        <f>IF(Table1[[#This Row],[ReorderLevel]]-Table1[[#This Row],[CurrentStock]]&gt;0,Table1[[#This Row],[ReorderLevel]]-Table1[[#This Row],[CurrentStock]],"")</f>
        <v/>
      </c>
      <c r="N1387" t="str">
        <f>IF(Table1[[#This Row],[CurrentStock]]&gt;Table1[[#This Row],[ReorderLevel]]*3,"Over Stock","Okay")</f>
        <v>Over Stock</v>
      </c>
      <c r="O1387" t="str">
        <f>IF(Table1[[#This Row],[CurrentStock]]&lt;Table1[[#This Row],[ReorderLevel]],"Reorder","Okay")</f>
        <v>Okay</v>
      </c>
    </row>
    <row r="1388" spans="1:15" x14ac:dyDescent="0.3">
      <c r="A1388">
        <v>64850</v>
      </c>
      <c r="B1388" t="s">
        <v>12</v>
      </c>
      <c r="C1388" t="s">
        <v>28</v>
      </c>
      <c r="D1388">
        <v>236</v>
      </c>
      <c r="E1388">
        <v>100</v>
      </c>
      <c r="F1388">
        <v>461.37</v>
      </c>
      <c r="G1388" t="s">
        <v>33</v>
      </c>
      <c r="H1388" s="1">
        <v>45399</v>
      </c>
      <c r="I1388" s="1">
        <v>45404</v>
      </c>
      <c r="J1388" t="s">
        <v>38</v>
      </c>
      <c r="K1388" t="b">
        <f>Table1[[#This Row],[CurrentStock]]&lt;Table1[[#This Row],[ReorderLevel]]</f>
        <v>0</v>
      </c>
      <c r="L1388" s="9">
        <f>Table1[[#This Row],[CurrentStock]]*Table1[[#This Row],[UnitPrice]]</f>
        <v>108883.32</v>
      </c>
      <c r="M1388" t="str">
        <f>IF(Table1[[#This Row],[ReorderLevel]]-Table1[[#This Row],[CurrentStock]]&gt;0,Table1[[#This Row],[ReorderLevel]]-Table1[[#This Row],[CurrentStock]],"")</f>
        <v/>
      </c>
      <c r="N1388" t="str">
        <f>IF(Table1[[#This Row],[CurrentStock]]&gt;Table1[[#This Row],[ReorderLevel]]*3,"Over Stock","Okay")</f>
        <v>Okay</v>
      </c>
      <c r="O1388" t="str">
        <f>IF(Table1[[#This Row],[CurrentStock]]&lt;Table1[[#This Row],[ReorderLevel]],"Reorder","Okay")</f>
        <v>Okay</v>
      </c>
    </row>
    <row r="1389" spans="1:15" x14ac:dyDescent="0.3">
      <c r="A1389">
        <v>60808</v>
      </c>
      <c r="B1389" t="s">
        <v>13</v>
      </c>
      <c r="C1389" t="s">
        <v>29</v>
      </c>
      <c r="D1389">
        <v>301</v>
      </c>
      <c r="E1389">
        <v>80</v>
      </c>
      <c r="F1389">
        <v>5.47</v>
      </c>
      <c r="G1389" t="s">
        <v>36</v>
      </c>
      <c r="H1389" s="1">
        <v>45511</v>
      </c>
      <c r="I1389" s="1">
        <v>45519</v>
      </c>
      <c r="J1389" t="s">
        <v>38</v>
      </c>
      <c r="K1389" t="b">
        <f>Table1[[#This Row],[CurrentStock]]&lt;Table1[[#This Row],[ReorderLevel]]</f>
        <v>0</v>
      </c>
      <c r="L1389" s="9">
        <f>Table1[[#This Row],[CurrentStock]]*Table1[[#This Row],[UnitPrice]]</f>
        <v>1646.47</v>
      </c>
      <c r="M1389" t="str">
        <f>IF(Table1[[#This Row],[ReorderLevel]]-Table1[[#This Row],[CurrentStock]]&gt;0,Table1[[#This Row],[ReorderLevel]]-Table1[[#This Row],[CurrentStock]],"")</f>
        <v/>
      </c>
      <c r="N1389" t="str">
        <f>IF(Table1[[#This Row],[CurrentStock]]&gt;Table1[[#This Row],[ReorderLevel]]*3,"Over Stock","Okay")</f>
        <v>Over Stock</v>
      </c>
      <c r="O1389" t="str">
        <f>IF(Table1[[#This Row],[CurrentStock]]&lt;Table1[[#This Row],[ReorderLevel]],"Reorder","Okay")</f>
        <v>Okay</v>
      </c>
    </row>
    <row r="1390" spans="1:15" x14ac:dyDescent="0.3">
      <c r="A1390">
        <v>95970</v>
      </c>
      <c r="B1390" t="s">
        <v>16</v>
      </c>
      <c r="C1390" t="s">
        <v>30</v>
      </c>
      <c r="D1390">
        <v>228</v>
      </c>
      <c r="E1390">
        <v>50</v>
      </c>
      <c r="F1390">
        <v>264.83999999999997</v>
      </c>
      <c r="G1390" t="s">
        <v>35</v>
      </c>
      <c r="H1390" s="1">
        <v>45581</v>
      </c>
      <c r="I1390" s="1">
        <v>45619</v>
      </c>
      <c r="J1390" t="s">
        <v>37</v>
      </c>
      <c r="K1390" t="b">
        <f>Table1[[#This Row],[CurrentStock]]&lt;Table1[[#This Row],[ReorderLevel]]</f>
        <v>0</v>
      </c>
      <c r="L1390" s="9">
        <f>Table1[[#This Row],[CurrentStock]]*Table1[[#This Row],[UnitPrice]]</f>
        <v>60383.519999999997</v>
      </c>
      <c r="M1390" t="str">
        <f>IF(Table1[[#This Row],[ReorderLevel]]-Table1[[#This Row],[CurrentStock]]&gt;0,Table1[[#This Row],[ReorderLevel]]-Table1[[#This Row],[CurrentStock]],"")</f>
        <v/>
      </c>
      <c r="N1390" t="str">
        <f>IF(Table1[[#This Row],[CurrentStock]]&gt;Table1[[#This Row],[ReorderLevel]]*3,"Over Stock","Okay")</f>
        <v>Over Stock</v>
      </c>
      <c r="O1390" t="str">
        <f>IF(Table1[[#This Row],[CurrentStock]]&lt;Table1[[#This Row],[ReorderLevel]],"Reorder","Okay")</f>
        <v>Okay</v>
      </c>
    </row>
    <row r="1391" spans="1:15" x14ac:dyDescent="0.3">
      <c r="A1391">
        <v>16862</v>
      </c>
      <c r="B1391" t="s">
        <v>12</v>
      </c>
      <c r="C1391" t="s">
        <v>28</v>
      </c>
      <c r="D1391">
        <v>251</v>
      </c>
      <c r="E1391">
        <v>150</v>
      </c>
      <c r="F1391">
        <v>293.68</v>
      </c>
      <c r="G1391" t="s">
        <v>36</v>
      </c>
      <c r="H1391" s="1">
        <v>45363</v>
      </c>
      <c r="I1391" s="1">
        <v>45394</v>
      </c>
      <c r="J1391" t="s">
        <v>37</v>
      </c>
      <c r="K1391" t="b">
        <f>Table1[[#This Row],[CurrentStock]]&lt;Table1[[#This Row],[ReorderLevel]]</f>
        <v>0</v>
      </c>
      <c r="L1391" s="9">
        <f>Table1[[#This Row],[CurrentStock]]*Table1[[#This Row],[UnitPrice]]</f>
        <v>73713.680000000008</v>
      </c>
      <c r="M1391" t="str">
        <f>IF(Table1[[#This Row],[ReorderLevel]]-Table1[[#This Row],[CurrentStock]]&gt;0,Table1[[#This Row],[ReorderLevel]]-Table1[[#This Row],[CurrentStock]],"")</f>
        <v/>
      </c>
      <c r="N1391" t="str">
        <f>IF(Table1[[#This Row],[CurrentStock]]&gt;Table1[[#This Row],[ReorderLevel]]*3,"Over Stock","Okay")</f>
        <v>Okay</v>
      </c>
      <c r="O1391" t="str">
        <f>IF(Table1[[#This Row],[CurrentStock]]&lt;Table1[[#This Row],[ReorderLevel]],"Reorder","Okay")</f>
        <v>Okay</v>
      </c>
    </row>
    <row r="1392" spans="1:15" x14ac:dyDescent="0.3">
      <c r="A1392">
        <v>53021</v>
      </c>
      <c r="B1392" t="s">
        <v>10</v>
      </c>
      <c r="C1392" t="s">
        <v>27</v>
      </c>
      <c r="D1392">
        <v>19</v>
      </c>
      <c r="E1392">
        <v>30</v>
      </c>
      <c r="F1392">
        <v>450.43</v>
      </c>
      <c r="G1392" t="s">
        <v>34</v>
      </c>
      <c r="H1392" s="1">
        <v>45438</v>
      </c>
      <c r="I1392" s="1">
        <v>45448</v>
      </c>
      <c r="J1392" t="s">
        <v>39</v>
      </c>
      <c r="K1392" t="b">
        <f>Table1[[#This Row],[CurrentStock]]&lt;Table1[[#This Row],[ReorderLevel]]</f>
        <v>1</v>
      </c>
      <c r="L1392" s="9">
        <f>Table1[[#This Row],[CurrentStock]]*Table1[[#This Row],[UnitPrice]]</f>
        <v>8558.17</v>
      </c>
      <c r="M1392">
        <f>IF(Table1[[#This Row],[ReorderLevel]]-Table1[[#This Row],[CurrentStock]]&gt;0,Table1[[#This Row],[ReorderLevel]]-Table1[[#This Row],[CurrentStock]],"")</f>
        <v>11</v>
      </c>
      <c r="N1392" t="str">
        <f>IF(Table1[[#This Row],[CurrentStock]]&gt;Table1[[#This Row],[ReorderLevel]]*3,"Over Stock","Okay")</f>
        <v>Okay</v>
      </c>
      <c r="O1392" t="str">
        <f>IF(Table1[[#This Row],[CurrentStock]]&lt;Table1[[#This Row],[ReorderLevel]],"Reorder","Okay")</f>
        <v>Reorder</v>
      </c>
    </row>
    <row r="1393" spans="1:15" x14ac:dyDescent="0.3">
      <c r="A1393">
        <v>50160</v>
      </c>
      <c r="B1393" t="s">
        <v>13</v>
      </c>
      <c r="C1393" t="s">
        <v>29</v>
      </c>
      <c r="D1393">
        <v>230</v>
      </c>
      <c r="E1393">
        <v>50</v>
      </c>
      <c r="F1393">
        <v>318.35000000000002</v>
      </c>
      <c r="G1393" t="s">
        <v>33</v>
      </c>
      <c r="H1393" s="1">
        <v>45554</v>
      </c>
      <c r="I1393" s="1">
        <v>45561</v>
      </c>
      <c r="J1393" t="s">
        <v>39</v>
      </c>
      <c r="K1393" t="b">
        <f>Table1[[#This Row],[CurrentStock]]&lt;Table1[[#This Row],[ReorderLevel]]</f>
        <v>0</v>
      </c>
      <c r="L1393" s="9">
        <f>Table1[[#This Row],[CurrentStock]]*Table1[[#This Row],[UnitPrice]]</f>
        <v>73220.5</v>
      </c>
      <c r="M1393" t="str">
        <f>IF(Table1[[#This Row],[ReorderLevel]]-Table1[[#This Row],[CurrentStock]]&gt;0,Table1[[#This Row],[ReorderLevel]]-Table1[[#This Row],[CurrentStock]],"")</f>
        <v/>
      </c>
      <c r="N1393" t="str">
        <f>IF(Table1[[#This Row],[CurrentStock]]&gt;Table1[[#This Row],[ReorderLevel]]*3,"Over Stock","Okay")</f>
        <v>Over Stock</v>
      </c>
      <c r="O1393" t="str">
        <f>IF(Table1[[#This Row],[CurrentStock]]&lt;Table1[[#This Row],[ReorderLevel]],"Reorder","Okay")</f>
        <v>Okay</v>
      </c>
    </row>
    <row r="1394" spans="1:15" x14ac:dyDescent="0.3">
      <c r="A1394">
        <v>23189</v>
      </c>
      <c r="B1394" t="s">
        <v>19</v>
      </c>
      <c r="C1394" t="s">
        <v>28</v>
      </c>
      <c r="D1394">
        <v>23</v>
      </c>
      <c r="E1394">
        <v>150</v>
      </c>
      <c r="F1394">
        <v>384.63</v>
      </c>
      <c r="G1394" t="s">
        <v>35</v>
      </c>
      <c r="H1394" s="1">
        <v>45473</v>
      </c>
      <c r="I1394" s="1">
        <v>45491</v>
      </c>
      <c r="J1394" t="s">
        <v>39</v>
      </c>
      <c r="K1394" t="b">
        <f>Table1[[#This Row],[CurrentStock]]&lt;Table1[[#This Row],[ReorderLevel]]</f>
        <v>1</v>
      </c>
      <c r="L1394" s="9">
        <f>Table1[[#This Row],[CurrentStock]]*Table1[[#This Row],[UnitPrice]]</f>
        <v>8846.49</v>
      </c>
      <c r="M1394">
        <f>IF(Table1[[#This Row],[ReorderLevel]]-Table1[[#This Row],[CurrentStock]]&gt;0,Table1[[#This Row],[ReorderLevel]]-Table1[[#This Row],[CurrentStock]],"")</f>
        <v>127</v>
      </c>
      <c r="N1394" t="str">
        <f>IF(Table1[[#This Row],[CurrentStock]]&gt;Table1[[#This Row],[ReorderLevel]]*3,"Over Stock","Okay")</f>
        <v>Okay</v>
      </c>
      <c r="O1394" t="str">
        <f>IF(Table1[[#This Row],[CurrentStock]]&lt;Table1[[#This Row],[ReorderLevel]],"Reorder","Okay")</f>
        <v>Reorder</v>
      </c>
    </row>
    <row r="1395" spans="1:15" x14ac:dyDescent="0.3">
      <c r="A1395">
        <v>78731</v>
      </c>
      <c r="B1395" t="s">
        <v>22</v>
      </c>
      <c r="C1395" t="s">
        <v>27</v>
      </c>
      <c r="D1395">
        <v>445</v>
      </c>
      <c r="E1395">
        <v>20</v>
      </c>
      <c r="F1395">
        <v>326.87</v>
      </c>
      <c r="G1395" t="s">
        <v>34</v>
      </c>
      <c r="H1395" s="1">
        <v>45330</v>
      </c>
      <c r="I1395" s="1">
        <v>45366</v>
      </c>
      <c r="J1395" t="s">
        <v>37</v>
      </c>
      <c r="K1395" t="b">
        <f>Table1[[#This Row],[CurrentStock]]&lt;Table1[[#This Row],[ReorderLevel]]</f>
        <v>0</v>
      </c>
      <c r="L1395" s="9">
        <f>Table1[[#This Row],[CurrentStock]]*Table1[[#This Row],[UnitPrice]]</f>
        <v>145457.15</v>
      </c>
      <c r="M1395" t="str">
        <f>IF(Table1[[#This Row],[ReorderLevel]]-Table1[[#This Row],[CurrentStock]]&gt;0,Table1[[#This Row],[ReorderLevel]]-Table1[[#This Row],[CurrentStock]],"")</f>
        <v/>
      </c>
      <c r="N1395" t="str">
        <f>IF(Table1[[#This Row],[CurrentStock]]&gt;Table1[[#This Row],[ReorderLevel]]*3,"Over Stock","Okay")</f>
        <v>Over Stock</v>
      </c>
      <c r="O1395" t="str">
        <f>IF(Table1[[#This Row],[CurrentStock]]&lt;Table1[[#This Row],[ReorderLevel]],"Reorder","Okay")</f>
        <v>Okay</v>
      </c>
    </row>
    <row r="1396" spans="1:15" x14ac:dyDescent="0.3">
      <c r="A1396">
        <v>92641</v>
      </c>
      <c r="B1396" t="s">
        <v>15</v>
      </c>
      <c r="C1396" t="s">
        <v>29</v>
      </c>
      <c r="D1396">
        <v>179</v>
      </c>
      <c r="E1396">
        <v>20</v>
      </c>
      <c r="F1396">
        <v>211.05</v>
      </c>
      <c r="G1396" t="s">
        <v>34</v>
      </c>
      <c r="H1396" s="1">
        <v>45564</v>
      </c>
      <c r="I1396" s="1">
        <v>45585</v>
      </c>
      <c r="J1396" t="s">
        <v>38</v>
      </c>
      <c r="K1396" t="b">
        <f>Table1[[#This Row],[CurrentStock]]&lt;Table1[[#This Row],[ReorderLevel]]</f>
        <v>0</v>
      </c>
      <c r="L1396" s="9">
        <f>Table1[[#This Row],[CurrentStock]]*Table1[[#This Row],[UnitPrice]]</f>
        <v>37777.950000000004</v>
      </c>
      <c r="M1396" t="str">
        <f>IF(Table1[[#This Row],[ReorderLevel]]-Table1[[#This Row],[CurrentStock]]&gt;0,Table1[[#This Row],[ReorderLevel]]-Table1[[#This Row],[CurrentStock]],"")</f>
        <v/>
      </c>
      <c r="N1396" t="str">
        <f>IF(Table1[[#This Row],[CurrentStock]]&gt;Table1[[#This Row],[ReorderLevel]]*3,"Over Stock","Okay")</f>
        <v>Over Stock</v>
      </c>
      <c r="O1396" t="str">
        <f>IF(Table1[[#This Row],[CurrentStock]]&lt;Table1[[#This Row],[ReorderLevel]],"Reorder","Okay")</f>
        <v>Okay</v>
      </c>
    </row>
    <row r="1397" spans="1:15" x14ac:dyDescent="0.3">
      <c r="A1397">
        <v>43262</v>
      </c>
      <c r="B1397" t="s">
        <v>24</v>
      </c>
      <c r="C1397" t="s">
        <v>31</v>
      </c>
      <c r="D1397">
        <v>406</v>
      </c>
      <c r="E1397">
        <v>20</v>
      </c>
      <c r="F1397">
        <v>109.59</v>
      </c>
      <c r="G1397" t="s">
        <v>34</v>
      </c>
      <c r="H1397" s="1">
        <v>45439</v>
      </c>
      <c r="I1397" s="1">
        <v>45465</v>
      </c>
      <c r="J1397" t="s">
        <v>38</v>
      </c>
      <c r="K1397" t="b">
        <f>Table1[[#This Row],[CurrentStock]]&lt;Table1[[#This Row],[ReorderLevel]]</f>
        <v>0</v>
      </c>
      <c r="L1397" s="9">
        <f>Table1[[#This Row],[CurrentStock]]*Table1[[#This Row],[UnitPrice]]</f>
        <v>44493.54</v>
      </c>
      <c r="M1397" t="str">
        <f>IF(Table1[[#This Row],[ReorderLevel]]-Table1[[#This Row],[CurrentStock]]&gt;0,Table1[[#This Row],[ReorderLevel]]-Table1[[#This Row],[CurrentStock]],"")</f>
        <v/>
      </c>
      <c r="N1397" t="str">
        <f>IF(Table1[[#This Row],[CurrentStock]]&gt;Table1[[#This Row],[ReorderLevel]]*3,"Over Stock","Okay")</f>
        <v>Over Stock</v>
      </c>
      <c r="O1397" t="str">
        <f>IF(Table1[[#This Row],[CurrentStock]]&lt;Table1[[#This Row],[ReorderLevel]],"Reorder","Okay")</f>
        <v>Okay</v>
      </c>
    </row>
    <row r="1398" spans="1:15" x14ac:dyDescent="0.3">
      <c r="A1398">
        <v>31725</v>
      </c>
      <c r="B1398" t="s">
        <v>19</v>
      </c>
      <c r="C1398" t="s">
        <v>28</v>
      </c>
      <c r="D1398">
        <v>66</v>
      </c>
      <c r="E1398">
        <v>30</v>
      </c>
      <c r="F1398">
        <v>87.97</v>
      </c>
      <c r="G1398" t="s">
        <v>32</v>
      </c>
      <c r="H1398" s="1">
        <v>45372</v>
      </c>
      <c r="I1398" s="1">
        <v>45395</v>
      </c>
      <c r="J1398" t="s">
        <v>37</v>
      </c>
      <c r="K1398" t="b">
        <f>Table1[[#This Row],[CurrentStock]]&lt;Table1[[#This Row],[ReorderLevel]]</f>
        <v>0</v>
      </c>
      <c r="L1398" s="9">
        <f>Table1[[#This Row],[CurrentStock]]*Table1[[#This Row],[UnitPrice]]</f>
        <v>5806.0199999999995</v>
      </c>
      <c r="M1398" t="str">
        <f>IF(Table1[[#This Row],[ReorderLevel]]-Table1[[#This Row],[CurrentStock]]&gt;0,Table1[[#This Row],[ReorderLevel]]-Table1[[#This Row],[CurrentStock]],"")</f>
        <v/>
      </c>
      <c r="N1398" t="str">
        <f>IF(Table1[[#This Row],[CurrentStock]]&gt;Table1[[#This Row],[ReorderLevel]]*3,"Over Stock","Okay")</f>
        <v>Okay</v>
      </c>
      <c r="O1398" t="str">
        <f>IF(Table1[[#This Row],[CurrentStock]]&lt;Table1[[#This Row],[ReorderLevel]],"Reorder","Okay")</f>
        <v>Okay</v>
      </c>
    </row>
    <row r="1399" spans="1:15" x14ac:dyDescent="0.3">
      <c r="A1399">
        <v>23338</v>
      </c>
      <c r="B1399" t="s">
        <v>25</v>
      </c>
      <c r="C1399" t="s">
        <v>31</v>
      </c>
      <c r="D1399">
        <v>240</v>
      </c>
      <c r="E1399">
        <v>30</v>
      </c>
      <c r="F1399">
        <v>374.77</v>
      </c>
      <c r="G1399" t="s">
        <v>33</v>
      </c>
      <c r="H1399" s="1">
        <v>45568</v>
      </c>
      <c r="I1399" s="1">
        <v>45600</v>
      </c>
      <c r="J1399" t="s">
        <v>37</v>
      </c>
      <c r="K1399" t="b">
        <f>Table1[[#This Row],[CurrentStock]]&lt;Table1[[#This Row],[ReorderLevel]]</f>
        <v>0</v>
      </c>
      <c r="L1399" s="9">
        <f>Table1[[#This Row],[CurrentStock]]*Table1[[#This Row],[UnitPrice]]</f>
        <v>89944.799999999988</v>
      </c>
      <c r="M1399" t="str">
        <f>IF(Table1[[#This Row],[ReorderLevel]]-Table1[[#This Row],[CurrentStock]]&gt;0,Table1[[#This Row],[ReorderLevel]]-Table1[[#This Row],[CurrentStock]],"")</f>
        <v/>
      </c>
      <c r="N1399" t="str">
        <f>IF(Table1[[#This Row],[CurrentStock]]&gt;Table1[[#This Row],[ReorderLevel]]*3,"Over Stock","Okay")</f>
        <v>Over Stock</v>
      </c>
      <c r="O1399" t="str">
        <f>IF(Table1[[#This Row],[CurrentStock]]&lt;Table1[[#This Row],[ReorderLevel]],"Reorder","Okay")</f>
        <v>Okay</v>
      </c>
    </row>
    <row r="1400" spans="1:15" x14ac:dyDescent="0.3">
      <c r="A1400">
        <v>15349</v>
      </c>
      <c r="B1400" t="s">
        <v>13</v>
      </c>
      <c r="C1400" t="s">
        <v>29</v>
      </c>
      <c r="D1400">
        <v>238</v>
      </c>
      <c r="E1400">
        <v>80</v>
      </c>
      <c r="F1400">
        <v>77.02</v>
      </c>
      <c r="G1400" t="s">
        <v>35</v>
      </c>
      <c r="H1400" s="1">
        <v>45485</v>
      </c>
      <c r="I1400" s="1">
        <v>45503</v>
      </c>
      <c r="J1400" t="s">
        <v>38</v>
      </c>
      <c r="K1400" t="b">
        <f>Table1[[#This Row],[CurrentStock]]&lt;Table1[[#This Row],[ReorderLevel]]</f>
        <v>0</v>
      </c>
      <c r="L1400" s="9">
        <f>Table1[[#This Row],[CurrentStock]]*Table1[[#This Row],[UnitPrice]]</f>
        <v>18330.759999999998</v>
      </c>
      <c r="M1400" t="str">
        <f>IF(Table1[[#This Row],[ReorderLevel]]-Table1[[#This Row],[CurrentStock]]&gt;0,Table1[[#This Row],[ReorderLevel]]-Table1[[#This Row],[CurrentStock]],"")</f>
        <v/>
      </c>
      <c r="N1400" t="str">
        <f>IF(Table1[[#This Row],[CurrentStock]]&gt;Table1[[#This Row],[ReorderLevel]]*3,"Over Stock","Okay")</f>
        <v>Okay</v>
      </c>
      <c r="O1400" t="str">
        <f>IF(Table1[[#This Row],[CurrentStock]]&lt;Table1[[#This Row],[ReorderLevel]],"Reorder","Okay")</f>
        <v>Okay</v>
      </c>
    </row>
    <row r="1401" spans="1:15" x14ac:dyDescent="0.3">
      <c r="A1401">
        <v>67427</v>
      </c>
      <c r="B1401" t="s">
        <v>24</v>
      </c>
      <c r="C1401" t="s">
        <v>31</v>
      </c>
      <c r="D1401">
        <v>374</v>
      </c>
      <c r="E1401">
        <v>50</v>
      </c>
      <c r="F1401">
        <v>66.040000000000006</v>
      </c>
      <c r="G1401" t="s">
        <v>33</v>
      </c>
      <c r="H1401" s="1">
        <v>45551</v>
      </c>
      <c r="I1401" s="1">
        <v>45585</v>
      </c>
      <c r="J1401" t="s">
        <v>37</v>
      </c>
      <c r="K1401" t="b">
        <f>Table1[[#This Row],[CurrentStock]]&lt;Table1[[#This Row],[ReorderLevel]]</f>
        <v>0</v>
      </c>
      <c r="L1401" s="9">
        <f>Table1[[#This Row],[CurrentStock]]*Table1[[#This Row],[UnitPrice]]</f>
        <v>24698.960000000003</v>
      </c>
      <c r="M1401" t="str">
        <f>IF(Table1[[#This Row],[ReorderLevel]]-Table1[[#This Row],[CurrentStock]]&gt;0,Table1[[#This Row],[ReorderLevel]]-Table1[[#This Row],[CurrentStock]],"")</f>
        <v/>
      </c>
      <c r="N1401" t="str">
        <f>IF(Table1[[#This Row],[CurrentStock]]&gt;Table1[[#This Row],[ReorderLevel]]*3,"Over Stock","Okay")</f>
        <v>Over Stock</v>
      </c>
      <c r="O1401" t="str">
        <f>IF(Table1[[#This Row],[CurrentStock]]&lt;Table1[[#This Row],[ReorderLevel]],"Reorder","Okay")</f>
        <v>Okay</v>
      </c>
    </row>
    <row r="1402" spans="1:15" x14ac:dyDescent="0.3">
      <c r="A1402">
        <v>52103</v>
      </c>
      <c r="B1402" t="s">
        <v>17</v>
      </c>
      <c r="C1402" t="s">
        <v>30</v>
      </c>
      <c r="D1402">
        <v>396</v>
      </c>
      <c r="E1402">
        <v>80</v>
      </c>
      <c r="F1402">
        <v>40.22</v>
      </c>
      <c r="G1402" t="s">
        <v>35</v>
      </c>
      <c r="H1402" s="1">
        <v>45469</v>
      </c>
      <c r="I1402" s="1">
        <v>45500</v>
      </c>
      <c r="J1402" t="s">
        <v>37</v>
      </c>
      <c r="K1402" t="b">
        <f>Table1[[#This Row],[CurrentStock]]&lt;Table1[[#This Row],[ReorderLevel]]</f>
        <v>0</v>
      </c>
      <c r="L1402" s="9">
        <f>Table1[[#This Row],[CurrentStock]]*Table1[[#This Row],[UnitPrice]]</f>
        <v>15927.119999999999</v>
      </c>
      <c r="M1402" t="str">
        <f>IF(Table1[[#This Row],[ReorderLevel]]-Table1[[#This Row],[CurrentStock]]&gt;0,Table1[[#This Row],[ReorderLevel]]-Table1[[#This Row],[CurrentStock]],"")</f>
        <v/>
      </c>
      <c r="N1402" t="str">
        <f>IF(Table1[[#This Row],[CurrentStock]]&gt;Table1[[#This Row],[ReorderLevel]]*3,"Over Stock","Okay")</f>
        <v>Over Stock</v>
      </c>
      <c r="O1402" t="str">
        <f>IF(Table1[[#This Row],[CurrentStock]]&lt;Table1[[#This Row],[ReorderLevel]],"Reorder","Okay")</f>
        <v>Okay</v>
      </c>
    </row>
    <row r="1403" spans="1:15" x14ac:dyDescent="0.3">
      <c r="A1403">
        <v>91991</v>
      </c>
      <c r="B1403" t="s">
        <v>25</v>
      </c>
      <c r="C1403" t="s">
        <v>31</v>
      </c>
      <c r="D1403">
        <v>270</v>
      </c>
      <c r="E1403">
        <v>80</v>
      </c>
      <c r="F1403">
        <v>143.71</v>
      </c>
      <c r="G1403" t="s">
        <v>34</v>
      </c>
      <c r="H1403" s="1">
        <v>45343</v>
      </c>
      <c r="I1403" s="1">
        <v>45371</v>
      </c>
      <c r="J1403" t="s">
        <v>37</v>
      </c>
      <c r="K1403" t="b">
        <f>Table1[[#This Row],[CurrentStock]]&lt;Table1[[#This Row],[ReorderLevel]]</f>
        <v>0</v>
      </c>
      <c r="L1403" s="9">
        <f>Table1[[#This Row],[CurrentStock]]*Table1[[#This Row],[UnitPrice]]</f>
        <v>38801.700000000004</v>
      </c>
      <c r="M1403" t="str">
        <f>IF(Table1[[#This Row],[ReorderLevel]]-Table1[[#This Row],[CurrentStock]]&gt;0,Table1[[#This Row],[ReorderLevel]]-Table1[[#This Row],[CurrentStock]],"")</f>
        <v/>
      </c>
      <c r="N1403" t="str">
        <f>IF(Table1[[#This Row],[CurrentStock]]&gt;Table1[[#This Row],[ReorderLevel]]*3,"Over Stock","Okay")</f>
        <v>Over Stock</v>
      </c>
      <c r="O1403" t="str">
        <f>IF(Table1[[#This Row],[CurrentStock]]&lt;Table1[[#This Row],[ReorderLevel]],"Reorder","Okay")</f>
        <v>Okay</v>
      </c>
    </row>
    <row r="1404" spans="1:15" x14ac:dyDescent="0.3">
      <c r="A1404">
        <v>23107</v>
      </c>
      <c r="B1404" t="s">
        <v>14</v>
      </c>
      <c r="C1404" t="s">
        <v>27</v>
      </c>
      <c r="D1404">
        <v>399</v>
      </c>
      <c r="E1404">
        <v>40</v>
      </c>
      <c r="F1404">
        <v>451.19</v>
      </c>
      <c r="G1404" t="s">
        <v>36</v>
      </c>
      <c r="H1404" s="1">
        <v>45540</v>
      </c>
      <c r="I1404" s="1">
        <v>45579</v>
      </c>
      <c r="J1404" t="s">
        <v>38</v>
      </c>
      <c r="K1404" t="b">
        <f>Table1[[#This Row],[CurrentStock]]&lt;Table1[[#This Row],[ReorderLevel]]</f>
        <v>0</v>
      </c>
      <c r="L1404" s="9">
        <f>Table1[[#This Row],[CurrentStock]]*Table1[[#This Row],[UnitPrice]]</f>
        <v>180024.81</v>
      </c>
      <c r="M1404" t="str">
        <f>IF(Table1[[#This Row],[ReorderLevel]]-Table1[[#This Row],[CurrentStock]]&gt;0,Table1[[#This Row],[ReorderLevel]]-Table1[[#This Row],[CurrentStock]],"")</f>
        <v/>
      </c>
      <c r="N1404" t="str">
        <f>IF(Table1[[#This Row],[CurrentStock]]&gt;Table1[[#This Row],[ReorderLevel]]*3,"Over Stock","Okay")</f>
        <v>Over Stock</v>
      </c>
      <c r="O1404" t="str">
        <f>IF(Table1[[#This Row],[CurrentStock]]&lt;Table1[[#This Row],[ReorderLevel]],"Reorder","Okay")</f>
        <v>Okay</v>
      </c>
    </row>
    <row r="1405" spans="1:15" x14ac:dyDescent="0.3">
      <c r="A1405">
        <v>89232</v>
      </c>
      <c r="B1405" t="s">
        <v>25</v>
      </c>
      <c r="C1405" t="s">
        <v>31</v>
      </c>
      <c r="D1405">
        <v>47</v>
      </c>
      <c r="E1405">
        <v>100</v>
      </c>
      <c r="F1405">
        <v>458.16</v>
      </c>
      <c r="G1405" t="s">
        <v>33</v>
      </c>
      <c r="H1405" s="1">
        <v>45468</v>
      </c>
      <c r="I1405" s="1">
        <v>45487</v>
      </c>
      <c r="J1405" t="s">
        <v>39</v>
      </c>
      <c r="K1405" t="b">
        <f>Table1[[#This Row],[CurrentStock]]&lt;Table1[[#This Row],[ReorderLevel]]</f>
        <v>1</v>
      </c>
      <c r="L1405" s="9">
        <f>Table1[[#This Row],[CurrentStock]]*Table1[[#This Row],[UnitPrice]]</f>
        <v>21533.52</v>
      </c>
      <c r="M1405">
        <f>IF(Table1[[#This Row],[ReorderLevel]]-Table1[[#This Row],[CurrentStock]]&gt;0,Table1[[#This Row],[ReorderLevel]]-Table1[[#This Row],[CurrentStock]],"")</f>
        <v>53</v>
      </c>
      <c r="N1405" t="str">
        <f>IF(Table1[[#This Row],[CurrentStock]]&gt;Table1[[#This Row],[ReorderLevel]]*3,"Over Stock","Okay")</f>
        <v>Okay</v>
      </c>
      <c r="O1405" t="str">
        <f>IF(Table1[[#This Row],[CurrentStock]]&lt;Table1[[#This Row],[ReorderLevel]],"Reorder","Okay")</f>
        <v>Reorder</v>
      </c>
    </row>
    <row r="1406" spans="1:15" x14ac:dyDescent="0.3">
      <c r="A1406">
        <v>32222</v>
      </c>
      <c r="B1406" t="s">
        <v>12</v>
      </c>
      <c r="C1406" t="s">
        <v>28</v>
      </c>
      <c r="D1406">
        <v>255</v>
      </c>
      <c r="E1406">
        <v>40</v>
      </c>
      <c r="F1406">
        <v>117.61</v>
      </c>
      <c r="G1406" t="s">
        <v>32</v>
      </c>
      <c r="H1406" s="1">
        <v>45489</v>
      </c>
      <c r="I1406" s="1">
        <v>45523</v>
      </c>
      <c r="J1406" t="s">
        <v>37</v>
      </c>
      <c r="K1406" t="b">
        <f>Table1[[#This Row],[CurrentStock]]&lt;Table1[[#This Row],[ReorderLevel]]</f>
        <v>0</v>
      </c>
      <c r="L1406" s="9">
        <f>Table1[[#This Row],[CurrentStock]]*Table1[[#This Row],[UnitPrice]]</f>
        <v>29990.55</v>
      </c>
      <c r="M1406" t="str">
        <f>IF(Table1[[#This Row],[ReorderLevel]]-Table1[[#This Row],[CurrentStock]]&gt;0,Table1[[#This Row],[ReorderLevel]]-Table1[[#This Row],[CurrentStock]],"")</f>
        <v/>
      </c>
      <c r="N1406" t="str">
        <f>IF(Table1[[#This Row],[CurrentStock]]&gt;Table1[[#This Row],[ReorderLevel]]*3,"Over Stock","Okay")</f>
        <v>Over Stock</v>
      </c>
      <c r="O1406" t="str">
        <f>IF(Table1[[#This Row],[CurrentStock]]&lt;Table1[[#This Row],[ReorderLevel]],"Reorder","Okay")</f>
        <v>Okay</v>
      </c>
    </row>
    <row r="1407" spans="1:15" x14ac:dyDescent="0.3">
      <c r="A1407">
        <v>20223</v>
      </c>
      <c r="B1407" t="s">
        <v>25</v>
      </c>
      <c r="C1407" t="s">
        <v>31</v>
      </c>
      <c r="D1407">
        <v>377</v>
      </c>
      <c r="E1407">
        <v>40</v>
      </c>
      <c r="F1407">
        <v>315.19</v>
      </c>
      <c r="G1407" t="s">
        <v>33</v>
      </c>
      <c r="H1407" s="1">
        <v>45459</v>
      </c>
      <c r="I1407" s="1">
        <v>45465</v>
      </c>
      <c r="J1407" t="s">
        <v>37</v>
      </c>
      <c r="K1407" t="b">
        <f>Table1[[#This Row],[CurrentStock]]&lt;Table1[[#This Row],[ReorderLevel]]</f>
        <v>0</v>
      </c>
      <c r="L1407" s="9">
        <f>Table1[[#This Row],[CurrentStock]]*Table1[[#This Row],[UnitPrice]]</f>
        <v>118826.63</v>
      </c>
      <c r="M1407" t="str">
        <f>IF(Table1[[#This Row],[ReorderLevel]]-Table1[[#This Row],[CurrentStock]]&gt;0,Table1[[#This Row],[ReorderLevel]]-Table1[[#This Row],[CurrentStock]],"")</f>
        <v/>
      </c>
      <c r="N1407" t="str">
        <f>IF(Table1[[#This Row],[CurrentStock]]&gt;Table1[[#This Row],[ReorderLevel]]*3,"Over Stock","Okay")</f>
        <v>Over Stock</v>
      </c>
      <c r="O1407" t="str">
        <f>IF(Table1[[#This Row],[CurrentStock]]&lt;Table1[[#This Row],[ReorderLevel]],"Reorder","Okay")</f>
        <v>Okay</v>
      </c>
    </row>
    <row r="1408" spans="1:15" x14ac:dyDescent="0.3">
      <c r="A1408">
        <v>23672</v>
      </c>
      <c r="B1408" t="s">
        <v>22</v>
      </c>
      <c r="C1408" t="s">
        <v>27</v>
      </c>
      <c r="D1408">
        <v>306</v>
      </c>
      <c r="E1408">
        <v>150</v>
      </c>
      <c r="F1408">
        <v>437.98</v>
      </c>
      <c r="G1408" t="s">
        <v>36</v>
      </c>
      <c r="H1408" s="1">
        <v>45386</v>
      </c>
      <c r="I1408" s="1">
        <v>45415</v>
      </c>
      <c r="J1408" t="s">
        <v>39</v>
      </c>
      <c r="K1408" t="b">
        <f>Table1[[#This Row],[CurrentStock]]&lt;Table1[[#This Row],[ReorderLevel]]</f>
        <v>0</v>
      </c>
      <c r="L1408" s="9">
        <f>Table1[[#This Row],[CurrentStock]]*Table1[[#This Row],[UnitPrice]]</f>
        <v>134021.88</v>
      </c>
      <c r="M1408" t="str">
        <f>IF(Table1[[#This Row],[ReorderLevel]]-Table1[[#This Row],[CurrentStock]]&gt;0,Table1[[#This Row],[ReorderLevel]]-Table1[[#This Row],[CurrentStock]],"")</f>
        <v/>
      </c>
      <c r="N1408" t="str">
        <f>IF(Table1[[#This Row],[CurrentStock]]&gt;Table1[[#This Row],[ReorderLevel]]*3,"Over Stock","Okay")</f>
        <v>Okay</v>
      </c>
      <c r="O1408" t="str">
        <f>IF(Table1[[#This Row],[CurrentStock]]&lt;Table1[[#This Row],[ReorderLevel]],"Reorder","Okay")</f>
        <v>Okay</v>
      </c>
    </row>
    <row r="1409" spans="1:15" x14ac:dyDescent="0.3">
      <c r="A1409">
        <v>97594</v>
      </c>
      <c r="B1409" t="s">
        <v>17</v>
      </c>
      <c r="C1409" t="s">
        <v>30</v>
      </c>
      <c r="D1409">
        <v>64</v>
      </c>
      <c r="E1409">
        <v>50</v>
      </c>
      <c r="F1409">
        <v>341.59</v>
      </c>
      <c r="G1409" t="s">
        <v>34</v>
      </c>
      <c r="H1409" s="1">
        <v>45595</v>
      </c>
      <c r="I1409" s="1">
        <v>45620</v>
      </c>
      <c r="J1409" t="s">
        <v>37</v>
      </c>
      <c r="K1409" t="b">
        <f>Table1[[#This Row],[CurrentStock]]&lt;Table1[[#This Row],[ReorderLevel]]</f>
        <v>0</v>
      </c>
      <c r="L1409" s="9">
        <f>Table1[[#This Row],[CurrentStock]]*Table1[[#This Row],[UnitPrice]]</f>
        <v>21861.759999999998</v>
      </c>
      <c r="M1409" t="str">
        <f>IF(Table1[[#This Row],[ReorderLevel]]-Table1[[#This Row],[CurrentStock]]&gt;0,Table1[[#This Row],[ReorderLevel]]-Table1[[#This Row],[CurrentStock]],"")</f>
        <v/>
      </c>
      <c r="N1409" t="str">
        <f>IF(Table1[[#This Row],[CurrentStock]]&gt;Table1[[#This Row],[ReorderLevel]]*3,"Over Stock","Okay")</f>
        <v>Okay</v>
      </c>
      <c r="O1409" t="str">
        <f>IF(Table1[[#This Row],[CurrentStock]]&lt;Table1[[#This Row],[ReorderLevel]],"Reorder","Okay")</f>
        <v>Okay</v>
      </c>
    </row>
    <row r="1410" spans="1:15" x14ac:dyDescent="0.3">
      <c r="A1410">
        <v>41335</v>
      </c>
      <c r="B1410" t="s">
        <v>26</v>
      </c>
      <c r="C1410" t="s">
        <v>30</v>
      </c>
      <c r="D1410">
        <v>154</v>
      </c>
      <c r="E1410">
        <v>40</v>
      </c>
      <c r="F1410">
        <v>126.2</v>
      </c>
      <c r="G1410" t="s">
        <v>34</v>
      </c>
      <c r="H1410" s="1">
        <v>45597</v>
      </c>
      <c r="I1410" s="1">
        <v>45636</v>
      </c>
      <c r="J1410" t="s">
        <v>38</v>
      </c>
      <c r="K1410" t="b">
        <f>Table1[[#This Row],[CurrentStock]]&lt;Table1[[#This Row],[ReorderLevel]]</f>
        <v>0</v>
      </c>
      <c r="L1410" s="9">
        <f>Table1[[#This Row],[CurrentStock]]*Table1[[#This Row],[UnitPrice]]</f>
        <v>19434.8</v>
      </c>
      <c r="M1410" t="str">
        <f>IF(Table1[[#This Row],[ReorderLevel]]-Table1[[#This Row],[CurrentStock]]&gt;0,Table1[[#This Row],[ReorderLevel]]-Table1[[#This Row],[CurrentStock]],"")</f>
        <v/>
      </c>
      <c r="N1410" t="str">
        <f>IF(Table1[[#This Row],[CurrentStock]]&gt;Table1[[#This Row],[ReorderLevel]]*3,"Over Stock","Okay")</f>
        <v>Over Stock</v>
      </c>
      <c r="O1410" t="str">
        <f>IF(Table1[[#This Row],[CurrentStock]]&lt;Table1[[#This Row],[ReorderLevel]],"Reorder","Okay")</f>
        <v>Okay</v>
      </c>
    </row>
    <row r="1411" spans="1:15" x14ac:dyDescent="0.3">
      <c r="A1411">
        <v>47116</v>
      </c>
      <c r="B1411" t="s">
        <v>24</v>
      </c>
      <c r="C1411" t="s">
        <v>31</v>
      </c>
      <c r="D1411">
        <v>243</v>
      </c>
      <c r="E1411">
        <v>20</v>
      </c>
      <c r="F1411">
        <v>362.84</v>
      </c>
      <c r="G1411" t="s">
        <v>36</v>
      </c>
      <c r="H1411" s="1">
        <v>45627</v>
      </c>
      <c r="I1411" s="1">
        <v>45655</v>
      </c>
      <c r="J1411" t="s">
        <v>38</v>
      </c>
      <c r="K1411" t="b">
        <f>Table1[[#This Row],[CurrentStock]]&lt;Table1[[#This Row],[ReorderLevel]]</f>
        <v>0</v>
      </c>
      <c r="L1411" s="9">
        <f>Table1[[#This Row],[CurrentStock]]*Table1[[#This Row],[UnitPrice]]</f>
        <v>88170.12</v>
      </c>
      <c r="M1411" t="str">
        <f>IF(Table1[[#This Row],[ReorderLevel]]-Table1[[#This Row],[CurrentStock]]&gt;0,Table1[[#This Row],[ReorderLevel]]-Table1[[#This Row],[CurrentStock]],"")</f>
        <v/>
      </c>
      <c r="N1411" t="str">
        <f>IF(Table1[[#This Row],[CurrentStock]]&gt;Table1[[#This Row],[ReorderLevel]]*3,"Over Stock","Okay")</f>
        <v>Over Stock</v>
      </c>
      <c r="O1411" t="str">
        <f>IF(Table1[[#This Row],[CurrentStock]]&lt;Table1[[#This Row],[ReorderLevel]],"Reorder","Okay")</f>
        <v>Okay</v>
      </c>
    </row>
    <row r="1412" spans="1:15" x14ac:dyDescent="0.3">
      <c r="A1412">
        <v>93100</v>
      </c>
      <c r="B1412" t="s">
        <v>12</v>
      </c>
      <c r="C1412" t="s">
        <v>28</v>
      </c>
      <c r="D1412">
        <v>302</v>
      </c>
      <c r="E1412">
        <v>150</v>
      </c>
      <c r="F1412">
        <v>287.33999999999997</v>
      </c>
      <c r="G1412" t="s">
        <v>36</v>
      </c>
      <c r="H1412" s="1">
        <v>45368</v>
      </c>
      <c r="I1412" s="1">
        <v>45395</v>
      </c>
      <c r="J1412" t="s">
        <v>37</v>
      </c>
      <c r="K1412" t="b">
        <f>Table1[[#This Row],[CurrentStock]]&lt;Table1[[#This Row],[ReorderLevel]]</f>
        <v>0</v>
      </c>
      <c r="L1412" s="9">
        <f>Table1[[#This Row],[CurrentStock]]*Table1[[#This Row],[UnitPrice]]</f>
        <v>86776.68</v>
      </c>
      <c r="M1412" t="str">
        <f>IF(Table1[[#This Row],[ReorderLevel]]-Table1[[#This Row],[CurrentStock]]&gt;0,Table1[[#This Row],[ReorderLevel]]-Table1[[#This Row],[CurrentStock]],"")</f>
        <v/>
      </c>
      <c r="N1412" t="str">
        <f>IF(Table1[[#This Row],[CurrentStock]]&gt;Table1[[#This Row],[ReorderLevel]]*3,"Over Stock","Okay")</f>
        <v>Okay</v>
      </c>
      <c r="O1412" t="str">
        <f>IF(Table1[[#This Row],[CurrentStock]]&lt;Table1[[#This Row],[ReorderLevel]],"Reorder","Okay")</f>
        <v>Okay</v>
      </c>
    </row>
    <row r="1413" spans="1:15" x14ac:dyDescent="0.3">
      <c r="A1413">
        <v>38004</v>
      </c>
      <c r="B1413" t="s">
        <v>10</v>
      </c>
      <c r="C1413" t="s">
        <v>27</v>
      </c>
      <c r="D1413">
        <v>28</v>
      </c>
      <c r="E1413">
        <v>30</v>
      </c>
      <c r="F1413">
        <v>149.33000000000001</v>
      </c>
      <c r="G1413" t="s">
        <v>36</v>
      </c>
      <c r="H1413" s="1">
        <v>45397</v>
      </c>
      <c r="I1413" s="1">
        <v>45404</v>
      </c>
      <c r="J1413" t="s">
        <v>37</v>
      </c>
      <c r="K1413" t="b">
        <f>Table1[[#This Row],[CurrentStock]]&lt;Table1[[#This Row],[ReorderLevel]]</f>
        <v>1</v>
      </c>
      <c r="L1413" s="9">
        <f>Table1[[#This Row],[CurrentStock]]*Table1[[#This Row],[UnitPrice]]</f>
        <v>4181.2400000000007</v>
      </c>
      <c r="M1413">
        <f>IF(Table1[[#This Row],[ReorderLevel]]-Table1[[#This Row],[CurrentStock]]&gt;0,Table1[[#This Row],[ReorderLevel]]-Table1[[#This Row],[CurrentStock]],"")</f>
        <v>2</v>
      </c>
      <c r="N1413" t="str">
        <f>IF(Table1[[#This Row],[CurrentStock]]&gt;Table1[[#This Row],[ReorderLevel]]*3,"Over Stock","Okay")</f>
        <v>Okay</v>
      </c>
      <c r="O1413" t="str">
        <f>IF(Table1[[#This Row],[CurrentStock]]&lt;Table1[[#This Row],[ReorderLevel]],"Reorder","Okay")</f>
        <v>Reorder</v>
      </c>
    </row>
    <row r="1414" spans="1:15" x14ac:dyDescent="0.3">
      <c r="A1414">
        <v>85955</v>
      </c>
      <c r="B1414" t="s">
        <v>26</v>
      </c>
      <c r="C1414" t="s">
        <v>30</v>
      </c>
      <c r="D1414">
        <v>1</v>
      </c>
      <c r="E1414">
        <v>20</v>
      </c>
      <c r="F1414">
        <v>337.7</v>
      </c>
      <c r="G1414" t="s">
        <v>36</v>
      </c>
      <c r="H1414" s="1">
        <v>45612</v>
      </c>
      <c r="I1414" s="1">
        <v>45636</v>
      </c>
      <c r="J1414" t="s">
        <v>37</v>
      </c>
      <c r="K1414" t="b">
        <f>Table1[[#This Row],[CurrentStock]]&lt;Table1[[#This Row],[ReorderLevel]]</f>
        <v>1</v>
      </c>
      <c r="L1414" s="9">
        <f>Table1[[#This Row],[CurrentStock]]*Table1[[#This Row],[UnitPrice]]</f>
        <v>337.7</v>
      </c>
      <c r="M1414">
        <f>IF(Table1[[#This Row],[ReorderLevel]]-Table1[[#This Row],[CurrentStock]]&gt;0,Table1[[#This Row],[ReorderLevel]]-Table1[[#This Row],[CurrentStock]],"")</f>
        <v>19</v>
      </c>
      <c r="N1414" t="str">
        <f>IF(Table1[[#This Row],[CurrentStock]]&gt;Table1[[#This Row],[ReorderLevel]]*3,"Over Stock","Okay")</f>
        <v>Okay</v>
      </c>
      <c r="O1414" t="str">
        <f>IF(Table1[[#This Row],[CurrentStock]]&lt;Table1[[#This Row],[ReorderLevel]],"Reorder","Okay")</f>
        <v>Reorder</v>
      </c>
    </row>
    <row r="1415" spans="1:15" x14ac:dyDescent="0.3">
      <c r="A1415">
        <v>14860</v>
      </c>
      <c r="B1415" t="s">
        <v>13</v>
      </c>
      <c r="C1415" t="s">
        <v>29</v>
      </c>
      <c r="D1415">
        <v>122</v>
      </c>
      <c r="E1415">
        <v>40</v>
      </c>
      <c r="F1415">
        <v>400.79</v>
      </c>
      <c r="G1415" t="s">
        <v>33</v>
      </c>
      <c r="H1415" s="1">
        <v>45592</v>
      </c>
      <c r="I1415" s="1">
        <v>45615</v>
      </c>
      <c r="J1415" t="s">
        <v>37</v>
      </c>
      <c r="K1415" t="b">
        <f>Table1[[#This Row],[CurrentStock]]&lt;Table1[[#This Row],[ReorderLevel]]</f>
        <v>0</v>
      </c>
      <c r="L1415" s="9">
        <f>Table1[[#This Row],[CurrentStock]]*Table1[[#This Row],[UnitPrice]]</f>
        <v>48896.380000000005</v>
      </c>
      <c r="M1415" t="str">
        <f>IF(Table1[[#This Row],[ReorderLevel]]-Table1[[#This Row],[CurrentStock]]&gt;0,Table1[[#This Row],[ReorderLevel]]-Table1[[#This Row],[CurrentStock]],"")</f>
        <v/>
      </c>
      <c r="N1415" t="str">
        <f>IF(Table1[[#This Row],[CurrentStock]]&gt;Table1[[#This Row],[ReorderLevel]]*3,"Over Stock","Okay")</f>
        <v>Over Stock</v>
      </c>
      <c r="O1415" t="str">
        <f>IF(Table1[[#This Row],[CurrentStock]]&lt;Table1[[#This Row],[ReorderLevel]],"Reorder","Okay")</f>
        <v>Okay</v>
      </c>
    </row>
    <row r="1416" spans="1:15" x14ac:dyDescent="0.3">
      <c r="A1416">
        <v>54293</v>
      </c>
      <c r="B1416" t="s">
        <v>19</v>
      </c>
      <c r="C1416" t="s">
        <v>28</v>
      </c>
      <c r="D1416">
        <v>390</v>
      </c>
      <c r="E1416">
        <v>50</v>
      </c>
      <c r="F1416">
        <v>140.49</v>
      </c>
      <c r="G1416" t="s">
        <v>35</v>
      </c>
      <c r="H1416" s="1">
        <v>45591</v>
      </c>
      <c r="I1416" s="1">
        <v>45614</v>
      </c>
      <c r="J1416" t="s">
        <v>38</v>
      </c>
      <c r="K1416" t="b">
        <f>Table1[[#This Row],[CurrentStock]]&lt;Table1[[#This Row],[ReorderLevel]]</f>
        <v>0</v>
      </c>
      <c r="L1416" s="9">
        <f>Table1[[#This Row],[CurrentStock]]*Table1[[#This Row],[UnitPrice]]</f>
        <v>54791.100000000006</v>
      </c>
      <c r="M1416" t="str">
        <f>IF(Table1[[#This Row],[ReorderLevel]]-Table1[[#This Row],[CurrentStock]]&gt;0,Table1[[#This Row],[ReorderLevel]]-Table1[[#This Row],[CurrentStock]],"")</f>
        <v/>
      </c>
      <c r="N1416" t="str">
        <f>IF(Table1[[#This Row],[CurrentStock]]&gt;Table1[[#This Row],[ReorderLevel]]*3,"Over Stock","Okay")</f>
        <v>Over Stock</v>
      </c>
      <c r="O1416" t="str">
        <f>IF(Table1[[#This Row],[CurrentStock]]&lt;Table1[[#This Row],[ReorderLevel]],"Reorder","Okay")</f>
        <v>Okay</v>
      </c>
    </row>
    <row r="1417" spans="1:15" x14ac:dyDescent="0.3">
      <c r="A1417">
        <v>64240</v>
      </c>
      <c r="B1417" t="s">
        <v>12</v>
      </c>
      <c r="C1417" t="s">
        <v>28</v>
      </c>
      <c r="D1417">
        <v>420</v>
      </c>
      <c r="E1417">
        <v>40</v>
      </c>
      <c r="F1417">
        <v>492.16</v>
      </c>
      <c r="G1417" t="s">
        <v>36</v>
      </c>
      <c r="H1417" s="1">
        <v>45613</v>
      </c>
      <c r="I1417" s="1">
        <v>45638</v>
      </c>
      <c r="J1417" t="s">
        <v>39</v>
      </c>
      <c r="K1417" t="b">
        <f>Table1[[#This Row],[CurrentStock]]&lt;Table1[[#This Row],[ReorderLevel]]</f>
        <v>0</v>
      </c>
      <c r="L1417" s="9">
        <f>Table1[[#This Row],[CurrentStock]]*Table1[[#This Row],[UnitPrice]]</f>
        <v>206707.20000000001</v>
      </c>
      <c r="M1417" t="str">
        <f>IF(Table1[[#This Row],[ReorderLevel]]-Table1[[#This Row],[CurrentStock]]&gt;0,Table1[[#This Row],[ReorderLevel]]-Table1[[#This Row],[CurrentStock]],"")</f>
        <v/>
      </c>
      <c r="N1417" t="str">
        <f>IF(Table1[[#This Row],[CurrentStock]]&gt;Table1[[#This Row],[ReorderLevel]]*3,"Over Stock","Okay")</f>
        <v>Over Stock</v>
      </c>
      <c r="O1417" t="str">
        <f>IF(Table1[[#This Row],[CurrentStock]]&lt;Table1[[#This Row],[ReorderLevel]],"Reorder","Okay")</f>
        <v>Okay</v>
      </c>
    </row>
    <row r="1418" spans="1:15" x14ac:dyDescent="0.3">
      <c r="A1418">
        <v>84486</v>
      </c>
      <c r="B1418" t="s">
        <v>24</v>
      </c>
      <c r="C1418" t="s">
        <v>31</v>
      </c>
      <c r="D1418">
        <v>385</v>
      </c>
      <c r="E1418">
        <v>150</v>
      </c>
      <c r="F1418">
        <v>296</v>
      </c>
      <c r="G1418" t="s">
        <v>32</v>
      </c>
      <c r="H1418" s="1">
        <v>45569</v>
      </c>
      <c r="I1418" s="1">
        <v>45584</v>
      </c>
      <c r="J1418" t="s">
        <v>37</v>
      </c>
      <c r="K1418" t="b">
        <f>Table1[[#This Row],[CurrentStock]]&lt;Table1[[#This Row],[ReorderLevel]]</f>
        <v>0</v>
      </c>
      <c r="L1418" s="9">
        <f>Table1[[#This Row],[CurrentStock]]*Table1[[#This Row],[UnitPrice]]</f>
        <v>113960</v>
      </c>
      <c r="M1418" t="str">
        <f>IF(Table1[[#This Row],[ReorderLevel]]-Table1[[#This Row],[CurrentStock]]&gt;0,Table1[[#This Row],[ReorderLevel]]-Table1[[#This Row],[CurrentStock]],"")</f>
        <v/>
      </c>
      <c r="N1418" t="str">
        <f>IF(Table1[[#This Row],[CurrentStock]]&gt;Table1[[#This Row],[ReorderLevel]]*3,"Over Stock","Okay")</f>
        <v>Okay</v>
      </c>
      <c r="O1418" t="str">
        <f>IF(Table1[[#This Row],[CurrentStock]]&lt;Table1[[#This Row],[ReorderLevel]],"Reorder","Okay")</f>
        <v>Okay</v>
      </c>
    </row>
    <row r="1419" spans="1:15" x14ac:dyDescent="0.3">
      <c r="A1419">
        <v>57458</v>
      </c>
      <c r="B1419" t="s">
        <v>10</v>
      </c>
      <c r="C1419" t="s">
        <v>27</v>
      </c>
      <c r="D1419">
        <v>326</v>
      </c>
      <c r="E1419">
        <v>20</v>
      </c>
      <c r="F1419">
        <v>358.16</v>
      </c>
      <c r="G1419" t="s">
        <v>34</v>
      </c>
      <c r="H1419" s="1">
        <v>45430</v>
      </c>
      <c r="I1419" s="1">
        <v>45440</v>
      </c>
      <c r="J1419" t="s">
        <v>38</v>
      </c>
      <c r="K1419" t="b">
        <f>Table1[[#This Row],[CurrentStock]]&lt;Table1[[#This Row],[ReorderLevel]]</f>
        <v>0</v>
      </c>
      <c r="L1419" s="9">
        <f>Table1[[#This Row],[CurrentStock]]*Table1[[#This Row],[UnitPrice]]</f>
        <v>116760.16</v>
      </c>
      <c r="M1419" t="str">
        <f>IF(Table1[[#This Row],[ReorderLevel]]-Table1[[#This Row],[CurrentStock]]&gt;0,Table1[[#This Row],[ReorderLevel]]-Table1[[#This Row],[CurrentStock]],"")</f>
        <v/>
      </c>
      <c r="N1419" t="str">
        <f>IF(Table1[[#This Row],[CurrentStock]]&gt;Table1[[#This Row],[ReorderLevel]]*3,"Over Stock","Okay")</f>
        <v>Over Stock</v>
      </c>
      <c r="O1419" t="str">
        <f>IF(Table1[[#This Row],[CurrentStock]]&lt;Table1[[#This Row],[ReorderLevel]],"Reorder","Okay")</f>
        <v>Okay</v>
      </c>
    </row>
    <row r="1420" spans="1:15" x14ac:dyDescent="0.3">
      <c r="A1420">
        <v>28394</v>
      </c>
      <c r="B1420" t="s">
        <v>26</v>
      </c>
      <c r="C1420" t="s">
        <v>30</v>
      </c>
      <c r="D1420">
        <v>473</v>
      </c>
      <c r="E1420">
        <v>30</v>
      </c>
      <c r="F1420">
        <v>183.36</v>
      </c>
      <c r="G1420" t="s">
        <v>33</v>
      </c>
      <c r="H1420" s="1">
        <v>45385</v>
      </c>
      <c r="I1420" s="1">
        <v>45417</v>
      </c>
      <c r="J1420" t="s">
        <v>38</v>
      </c>
      <c r="K1420" t="b">
        <f>Table1[[#This Row],[CurrentStock]]&lt;Table1[[#This Row],[ReorderLevel]]</f>
        <v>0</v>
      </c>
      <c r="L1420" s="9">
        <f>Table1[[#This Row],[CurrentStock]]*Table1[[#This Row],[UnitPrice]]</f>
        <v>86729.280000000013</v>
      </c>
      <c r="M1420" t="str">
        <f>IF(Table1[[#This Row],[ReorderLevel]]-Table1[[#This Row],[CurrentStock]]&gt;0,Table1[[#This Row],[ReorderLevel]]-Table1[[#This Row],[CurrentStock]],"")</f>
        <v/>
      </c>
      <c r="N1420" t="str">
        <f>IF(Table1[[#This Row],[CurrentStock]]&gt;Table1[[#This Row],[ReorderLevel]]*3,"Over Stock","Okay")</f>
        <v>Over Stock</v>
      </c>
      <c r="O1420" t="str">
        <f>IF(Table1[[#This Row],[CurrentStock]]&lt;Table1[[#This Row],[ReorderLevel]],"Reorder","Okay")</f>
        <v>Okay</v>
      </c>
    </row>
    <row r="1421" spans="1:15" x14ac:dyDescent="0.3">
      <c r="A1421">
        <v>66624</v>
      </c>
      <c r="B1421" t="s">
        <v>23</v>
      </c>
      <c r="C1421" t="s">
        <v>30</v>
      </c>
      <c r="D1421">
        <v>132</v>
      </c>
      <c r="E1421">
        <v>20</v>
      </c>
      <c r="F1421">
        <v>461.5</v>
      </c>
      <c r="G1421" t="s">
        <v>33</v>
      </c>
      <c r="H1421" s="1">
        <v>45573</v>
      </c>
      <c r="I1421" s="1">
        <v>45604</v>
      </c>
      <c r="J1421" t="s">
        <v>37</v>
      </c>
      <c r="K1421" t="b">
        <f>Table1[[#This Row],[CurrentStock]]&lt;Table1[[#This Row],[ReorderLevel]]</f>
        <v>0</v>
      </c>
      <c r="L1421" s="9">
        <f>Table1[[#This Row],[CurrentStock]]*Table1[[#This Row],[UnitPrice]]</f>
        <v>60918</v>
      </c>
      <c r="M1421" t="str">
        <f>IF(Table1[[#This Row],[ReorderLevel]]-Table1[[#This Row],[CurrentStock]]&gt;0,Table1[[#This Row],[ReorderLevel]]-Table1[[#This Row],[CurrentStock]],"")</f>
        <v/>
      </c>
      <c r="N1421" t="str">
        <f>IF(Table1[[#This Row],[CurrentStock]]&gt;Table1[[#This Row],[ReorderLevel]]*3,"Over Stock","Okay")</f>
        <v>Over Stock</v>
      </c>
      <c r="O1421" t="str">
        <f>IF(Table1[[#This Row],[CurrentStock]]&lt;Table1[[#This Row],[ReorderLevel]],"Reorder","Okay")</f>
        <v>Okay</v>
      </c>
    </row>
    <row r="1422" spans="1:15" x14ac:dyDescent="0.3">
      <c r="A1422">
        <v>85801</v>
      </c>
      <c r="B1422" t="s">
        <v>12</v>
      </c>
      <c r="C1422" t="s">
        <v>28</v>
      </c>
      <c r="D1422">
        <v>347</v>
      </c>
      <c r="E1422">
        <v>30</v>
      </c>
      <c r="F1422">
        <v>498.53</v>
      </c>
      <c r="G1422" t="s">
        <v>34</v>
      </c>
      <c r="H1422" s="1">
        <v>45474</v>
      </c>
      <c r="I1422" s="1">
        <v>45495</v>
      </c>
      <c r="J1422" t="s">
        <v>37</v>
      </c>
      <c r="K1422" t="b">
        <f>Table1[[#This Row],[CurrentStock]]&lt;Table1[[#This Row],[ReorderLevel]]</f>
        <v>0</v>
      </c>
      <c r="L1422" s="9">
        <f>Table1[[#This Row],[CurrentStock]]*Table1[[#This Row],[UnitPrice]]</f>
        <v>172989.91</v>
      </c>
      <c r="M1422" t="str">
        <f>IF(Table1[[#This Row],[ReorderLevel]]-Table1[[#This Row],[CurrentStock]]&gt;0,Table1[[#This Row],[ReorderLevel]]-Table1[[#This Row],[CurrentStock]],"")</f>
        <v/>
      </c>
      <c r="N1422" t="str">
        <f>IF(Table1[[#This Row],[CurrentStock]]&gt;Table1[[#This Row],[ReorderLevel]]*3,"Over Stock","Okay")</f>
        <v>Over Stock</v>
      </c>
      <c r="O1422" t="str">
        <f>IF(Table1[[#This Row],[CurrentStock]]&lt;Table1[[#This Row],[ReorderLevel]],"Reorder","Okay")</f>
        <v>Okay</v>
      </c>
    </row>
    <row r="1423" spans="1:15" x14ac:dyDescent="0.3">
      <c r="A1423">
        <v>73797</v>
      </c>
      <c r="B1423" t="s">
        <v>26</v>
      </c>
      <c r="C1423" t="s">
        <v>30</v>
      </c>
      <c r="D1423">
        <v>216</v>
      </c>
      <c r="E1423">
        <v>80</v>
      </c>
      <c r="F1423">
        <v>86.2</v>
      </c>
      <c r="G1423" t="s">
        <v>32</v>
      </c>
      <c r="H1423" s="1">
        <v>45535</v>
      </c>
      <c r="I1423" s="1">
        <v>45569</v>
      </c>
      <c r="J1423" t="s">
        <v>38</v>
      </c>
      <c r="K1423" t="b">
        <f>Table1[[#This Row],[CurrentStock]]&lt;Table1[[#This Row],[ReorderLevel]]</f>
        <v>0</v>
      </c>
      <c r="L1423" s="9">
        <f>Table1[[#This Row],[CurrentStock]]*Table1[[#This Row],[UnitPrice]]</f>
        <v>18619.2</v>
      </c>
      <c r="M1423" t="str">
        <f>IF(Table1[[#This Row],[ReorderLevel]]-Table1[[#This Row],[CurrentStock]]&gt;0,Table1[[#This Row],[ReorderLevel]]-Table1[[#This Row],[CurrentStock]],"")</f>
        <v/>
      </c>
      <c r="N1423" t="str">
        <f>IF(Table1[[#This Row],[CurrentStock]]&gt;Table1[[#This Row],[ReorderLevel]]*3,"Over Stock","Okay")</f>
        <v>Okay</v>
      </c>
      <c r="O1423" t="str">
        <f>IF(Table1[[#This Row],[CurrentStock]]&lt;Table1[[#This Row],[ReorderLevel]],"Reorder","Okay")</f>
        <v>Okay</v>
      </c>
    </row>
    <row r="1424" spans="1:15" x14ac:dyDescent="0.3">
      <c r="A1424">
        <v>14123</v>
      </c>
      <c r="B1424" t="s">
        <v>20</v>
      </c>
      <c r="C1424" t="s">
        <v>29</v>
      </c>
      <c r="D1424">
        <v>267</v>
      </c>
      <c r="E1424">
        <v>100</v>
      </c>
      <c r="F1424">
        <v>244.6</v>
      </c>
      <c r="G1424" t="s">
        <v>34</v>
      </c>
      <c r="H1424" s="1">
        <v>45390</v>
      </c>
      <c r="I1424" s="1">
        <v>45411</v>
      </c>
      <c r="J1424" t="s">
        <v>39</v>
      </c>
      <c r="K1424" t="b">
        <f>Table1[[#This Row],[CurrentStock]]&lt;Table1[[#This Row],[ReorderLevel]]</f>
        <v>0</v>
      </c>
      <c r="L1424" s="9">
        <f>Table1[[#This Row],[CurrentStock]]*Table1[[#This Row],[UnitPrice]]</f>
        <v>65308.2</v>
      </c>
      <c r="M1424" t="str">
        <f>IF(Table1[[#This Row],[ReorderLevel]]-Table1[[#This Row],[CurrentStock]]&gt;0,Table1[[#This Row],[ReorderLevel]]-Table1[[#This Row],[CurrentStock]],"")</f>
        <v/>
      </c>
      <c r="N1424" t="str">
        <f>IF(Table1[[#This Row],[CurrentStock]]&gt;Table1[[#This Row],[ReorderLevel]]*3,"Over Stock","Okay")</f>
        <v>Okay</v>
      </c>
      <c r="O1424" t="str">
        <f>IF(Table1[[#This Row],[CurrentStock]]&lt;Table1[[#This Row],[ReorderLevel]],"Reorder","Okay")</f>
        <v>Okay</v>
      </c>
    </row>
    <row r="1425" spans="1:15" x14ac:dyDescent="0.3">
      <c r="A1425">
        <v>39992</v>
      </c>
      <c r="B1425" t="s">
        <v>13</v>
      </c>
      <c r="C1425" t="s">
        <v>29</v>
      </c>
      <c r="D1425">
        <v>450</v>
      </c>
      <c r="E1425">
        <v>100</v>
      </c>
      <c r="F1425">
        <v>498.97</v>
      </c>
      <c r="G1425" t="s">
        <v>33</v>
      </c>
      <c r="H1425" s="1">
        <v>45613</v>
      </c>
      <c r="I1425" s="1">
        <v>45631</v>
      </c>
      <c r="J1425" t="s">
        <v>38</v>
      </c>
      <c r="K1425" t="b">
        <f>Table1[[#This Row],[CurrentStock]]&lt;Table1[[#This Row],[ReorderLevel]]</f>
        <v>0</v>
      </c>
      <c r="L1425" s="9">
        <f>Table1[[#This Row],[CurrentStock]]*Table1[[#This Row],[UnitPrice]]</f>
        <v>224536.5</v>
      </c>
      <c r="M1425" t="str">
        <f>IF(Table1[[#This Row],[ReorderLevel]]-Table1[[#This Row],[CurrentStock]]&gt;0,Table1[[#This Row],[ReorderLevel]]-Table1[[#This Row],[CurrentStock]],"")</f>
        <v/>
      </c>
      <c r="N1425" t="str">
        <f>IF(Table1[[#This Row],[CurrentStock]]&gt;Table1[[#This Row],[ReorderLevel]]*3,"Over Stock","Okay")</f>
        <v>Over Stock</v>
      </c>
      <c r="O1425" t="str">
        <f>IF(Table1[[#This Row],[CurrentStock]]&lt;Table1[[#This Row],[ReorderLevel]],"Reorder","Okay")</f>
        <v>Okay</v>
      </c>
    </row>
    <row r="1426" spans="1:15" x14ac:dyDescent="0.3">
      <c r="A1426">
        <v>60672</v>
      </c>
      <c r="B1426" t="s">
        <v>22</v>
      </c>
      <c r="C1426" t="s">
        <v>27</v>
      </c>
      <c r="D1426">
        <v>12</v>
      </c>
      <c r="E1426">
        <v>30</v>
      </c>
      <c r="F1426">
        <v>211.61</v>
      </c>
      <c r="G1426" t="s">
        <v>36</v>
      </c>
      <c r="H1426" s="1">
        <v>45373</v>
      </c>
      <c r="I1426" s="1">
        <v>45386</v>
      </c>
      <c r="J1426" t="s">
        <v>37</v>
      </c>
      <c r="K1426" t="b">
        <f>Table1[[#This Row],[CurrentStock]]&lt;Table1[[#This Row],[ReorderLevel]]</f>
        <v>1</v>
      </c>
      <c r="L1426" s="9">
        <f>Table1[[#This Row],[CurrentStock]]*Table1[[#This Row],[UnitPrice]]</f>
        <v>2539.3200000000002</v>
      </c>
      <c r="M1426">
        <f>IF(Table1[[#This Row],[ReorderLevel]]-Table1[[#This Row],[CurrentStock]]&gt;0,Table1[[#This Row],[ReorderLevel]]-Table1[[#This Row],[CurrentStock]],"")</f>
        <v>18</v>
      </c>
      <c r="N1426" t="str">
        <f>IF(Table1[[#This Row],[CurrentStock]]&gt;Table1[[#This Row],[ReorderLevel]]*3,"Over Stock","Okay")</f>
        <v>Okay</v>
      </c>
      <c r="O1426" t="str">
        <f>IF(Table1[[#This Row],[CurrentStock]]&lt;Table1[[#This Row],[ReorderLevel]],"Reorder","Okay")</f>
        <v>Reorder</v>
      </c>
    </row>
    <row r="1427" spans="1:15" x14ac:dyDescent="0.3">
      <c r="A1427">
        <v>68390</v>
      </c>
      <c r="B1427" t="s">
        <v>17</v>
      </c>
      <c r="C1427" t="s">
        <v>30</v>
      </c>
      <c r="D1427">
        <v>39</v>
      </c>
      <c r="E1427">
        <v>40</v>
      </c>
      <c r="F1427">
        <v>216.42</v>
      </c>
      <c r="G1427" t="s">
        <v>36</v>
      </c>
      <c r="H1427" s="1">
        <v>45399</v>
      </c>
      <c r="I1427" s="1">
        <v>45436</v>
      </c>
      <c r="J1427" t="s">
        <v>39</v>
      </c>
      <c r="K1427" t="b">
        <f>Table1[[#This Row],[CurrentStock]]&lt;Table1[[#This Row],[ReorderLevel]]</f>
        <v>1</v>
      </c>
      <c r="L1427" s="9">
        <f>Table1[[#This Row],[CurrentStock]]*Table1[[#This Row],[UnitPrice]]</f>
        <v>8440.3799999999992</v>
      </c>
      <c r="M1427">
        <f>IF(Table1[[#This Row],[ReorderLevel]]-Table1[[#This Row],[CurrentStock]]&gt;0,Table1[[#This Row],[ReorderLevel]]-Table1[[#This Row],[CurrentStock]],"")</f>
        <v>1</v>
      </c>
      <c r="N1427" t="str">
        <f>IF(Table1[[#This Row],[CurrentStock]]&gt;Table1[[#This Row],[ReorderLevel]]*3,"Over Stock","Okay")</f>
        <v>Okay</v>
      </c>
      <c r="O1427" t="str">
        <f>IF(Table1[[#This Row],[CurrentStock]]&lt;Table1[[#This Row],[ReorderLevel]],"Reorder","Okay")</f>
        <v>Reorder</v>
      </c>
    </row>
    <row r="1428" spans="1:15" x14ac:dyDescent="0.3">
      <c r="A1428">
        <v>32873</v>
      </c>
      <c r="B1428" t="s">
        <v>26</v>
      </c>
      <c r="C1428" t="s">
        <v>30</v>
      </c>
      <c r="D1428">
        <v>461</v>
      </c>
      <c r="E1428">
        <v>100</v>
      </c>
      <c r="F1428">
        <v>214.13</v>
      </c>
      <c r="G1428" t="s">
        <v>35</v>
      </c>
      <c r="H1428" s="1">
        <v>45649</v>
      </c>
      <c r="I1428" s="1">
        <v>45679</v>
      </c>
      <c r="J1428" t="s">
        <v>37</v>
      </c>
      <c r="K1428" t="b">
        <f>Table1[[#This Row],[CurrentStock]]&lt;Table1[[#This Row],[ReorderLevel]]</f>
        <v>0</v>
      </c>
      <c r="L1428" s="9">
        <f>Table1[[#This Row],[CurrentStock]]*Table1[[#This Row],[UnitPrice]]</f>
        <v>98713.93</v>
      </c>
      <c r="M1428" t="str">
        <f>IF(Table1[[#This Row],[ReorderLevel]]-Table1[[#This Row],[CurrentStock]]&gt;0,Table1[[#This Row],[ReorderLevel]]-Table1[[#This Row],[CurrentStock]],"")</f>
        <v/>
      </c>
      <c r="N1428" t="str">
        <f>IF(Table1[[#This Row],[CurrentStock]]&gt;Table1[[#This Row],[ReorderLevel]]*3,"Over Stock","Okay")</f>
        <v>Over Stock</v>
      </c>
      <c r="O1428" t="str">
        <f>IF(Table1[[#This Row],[CurrentStock]]&lt;Table1[[#This Row],[ReorderLevel]],"Reorder","Okay")</f>
        <v>Okay</v>
      </c>
    </row>
    <row r="1429" spans="1:15" x14ac:dyDescent="0.3">
      <c r="A1429">
        <v>31330</v>
      </c>
      <c r="B1429" t="s">
        <v>10</v>
      </c>
      <c r="C1429" t="s">
        <v>27</v>
      </c>
      <c r="D1429">
        <v>145</v>
      </c>
      <c r="E1429">
        <v>100</v>
      </c>
      <c r="F1429">
        <v>308.66000000000003</v>
      </c>
      <c r="G1429" t="s">
        <v>34</v>
      </c>
      <c r="H1429" s="1">
        <v>45432</v>
      </c>
      <c r="I1429" s="1">
        <v>45460</v>
      </c>
      <c r="J1429" t="s">
        <v>38</v>
      </c>
      <c r="K1429" t="b">
        <f>Table1[[#This Row],[CurrentStock]]&lt;Table1[[#This Row],[ReorderLevel]]</f>
        <v>0</v>
      </c>
      <c r="L1429" s="9">
        <f>Table1[[#This Row],[CurrentStock]]*Table1[[#This Row],[UnitPrice]]</f>
        <v>44755.700000000004</v>
      </c>
      <c r="M1429" t="str">
        <f>IF(Table1[[#This Row],[ReorderLevel]]-Table1[[#This Row],[CurrentStock]]&gt;0,Table1[[#This Row],[ReorderLevel]]-Table1[[#This Row],[CurrentStock]],"")</f>
        <v/>
      </c>
      <c r="N1429" t="str">
        <f>IF(Table1[[#This Row],[CurrentStock]]&gt;Table1[[#This Row],[ReorderLevel]]*3,"Over Stock","Okay")</f>
        <v>Okay</v>
      </c>
      <c r="O1429" t="str">
        <f>IF(Table1[[#This Row],[CurrentStock]]&lt;Table1[[#This Row],[ReorderLevel]],"Reorder","Okay")</f>
        <v>Okay</v>
      </c>
    </row>
    <row r="1430" spans="1:15" x14ac:dyDescent="0.3">
      <c r="A1430">
        <v>52269</v>
      </c>
      <c r="B1430" t="s">
        <v>12</v>
      </c>
      <c r="C1430" t="s">
        <v>28</v>
      </c>
      <c r="D1430">
        <v>13</v>
      </c>
      <c r="E1430">
        <v>100</v>
      </c>
      <c r="F1430">
        <v>391.36</v>
      </c>
      <c r="G1430" t="s">
        <v>33</v>
      </c>
      <c r="H1430" s="1">
        <v>45634</v>
      </c>
      <c r="I1430" s="1">
        <v>45668</v>
      </c>
      <c r="J1430" t="s">
        <v>39</v>
      </c>
      <c r="K1430" t="b">
        <f>Table1[[#This Row],[CurrentStock]]&lt;Table1[[#This Row],[ReorderLevel]]</f>
        <v>1</v>
      </c>
      <c r="L1430" s="9">
        <f>Table1[[#This Row],[CurrentStock]]*Table1[[#This Row],[UnitPrice]]</f>
        <v>5087.68</v>
      </c>
      <c r="M1430">
        <f>IF(Table1[[#This Row],[ReorderLevel]]-Table1[[#This Row],[CurrentStock]]&gt;0,Table1[[#This Row],[ReorderLevel]]-Table1[[#This Row],[CurrentStock]],"")</f>
        <v>87</v>
      </c>
      <c r="N1430" t="str">
        <f>IF(Table1[[#This Row],[CurrentStock]]&gt;Table1[[#This Row],[ReorderLevel]]*3,"Over Stock","Okay")</f>
        <v>Okay</v>
      </c>
      <c r="O1430" t="str">
        <f>IF(Table1[[#This Row],[CurrentStock]]&lt;Table1[[#This Row],[ReorderLevel]],"Reorder","Okay")</f>
        <v>Reorder</v>
      </c>
    </row>
    <row r="1431" spans="1:15" x14ac:dyDescent="0.3">
      <c r="A1431">
        <v>41821</v>
      </c>
      <c r="B1431" t="s">
        <v>12</v>
      </c>
      <c r="C1431" t="s">
        <v>28</v>
      </c>
      <c r="D1431">
        <v>56</v>
      </c>
      <c r="E1431">
        <v>30</v>
      </c>
      <c r="F1431">
        <v>415.61</v>
      </c>
      <c r="G1431" t="s">
        <v>33</v>
      </c>
      <c r="H1431" s="1">
        <v>45389</v>
      </c>
      <c r="I1431" s="1">
        <v>45409</v>
      </c>
      <c r="J1431" t="s">
        <v>39</v>
      </c>
      <c r="K1431" t="b">
        <f>Table1[[#This Row],[CurrentStock]]&lt;Table1[[#This Row],[ReorderLevel]]</f>
        <v>0</v>
      </c>
      <c r="L1431" s="9">
        <f>Table1[[#This Row],[CurrentStock]]*Table1[[#This Row],[UnitPrice]]</f>
        <v>23274.16</v>
      </c>
      <c r="M1431" t="str">
        <f>IF(Table1[[#This Row],[ReorderLevel]]-Table1[[#This Row],[CurrentStock]]&gt;0,Table1[[#This Row],[ReorderLevel]]-Table1[[#This Row],[CurrentStock]],"")</f>
        <v/>
      </c>
      <c r="N1431" t="str">
        <f>IF(Table1[[#This Row],[CurrentStock]]&gt;Table1[[#This Row],[ReorderLevel]]*3,"Over Stock","Okay")</f>
        <v>Okay</v>
      </c>
      <c r="O1431" t="str">
        <f>IF(Table1[[#This Row],[CurrentStock]]&lt;Table1[[#This Row],[ReorderLevel]],"Reorder","Okay")</f>
        <v>Okay</v>
      </c>
    </row>
    <row r="1432" spans="1:15" x14ac:dyDescent="0.3">
      <c r="A1432">
        <v>92427</v>
      </c>
      <c r="B1432" t="s">
        <v>24</v>
      </c>
      <c r="C1432" t="s">
        <v>31</v>
      </c>
      <c r="D1432">
        <v>54</v>
      </c>
      <c r="E1432">
        <v>50</v>
      </c>
      <c r="F1432">
        <v>57.91</v>
      </c>
      <c r="G1432" t="s">
        <v>35</v>
      </c>
      <c r="H1432" s="1">
        <v>45459</v>
      </c>
      <c r="I1432" s="1">
        <v>45488</v>
      </c>
      <c r="J1432" t="s">
        <v>38</v>
      </c>
      <c r="K1432" t="b">
        <f>Table1[[#This Row],[CurrentStock]]&lt;Table1[[#This Row],[ReorderLevel]]</f>
        <v>0</v>
      </c>
      <c r="L1432" s="9">
        <f>Table1[[#This Row],[CurrentStock]]*Table1[[#This Row],[UnitPrice]]</f>
        <v>3127.14</v>
      </c>
      <c r="M1432" t="str">
        <f>IF(Table1[[#This Row],[ReorderLevel]]-Table1[[#This Row],[CurrentStock]]&gt;0,Table1[[#This Row],[ReorderLevel]]-Table1[[#This Row],[CurrentStock]],"")</f>
        <v/>
      </c>
      <c r="N1432" t="str">
        <f>IF(Table1[[#This Row],[CurrentStock]]&gt;Table1[[#This Row],[ReorderLevel]]*3,"Over Stock","Okay")</f>
        <v>Okay</v>
      </c>
      <c r="O1432" t="str">
        <f>IF(Table1[[#This Row],[CurrentStock]]&lt;Table1[[#This Row],[ReorderLevel]],"Reorder","Okay")</f>
        <v>Okay</v>
      </c>
    </row>
    <row r="1433" spans="1:15" x14ac:dyDescent="0.3">
      <c r="A1433">
        <v>19117</v>
      </c>
      <c r="B1433" t="s">
        <v>23</v>
      </c>
      <c r="C1433" t="s">
        <v>30</v>
      </c>
      <c r="D1433">
        <v>373</v>
      </c>
      <c r="E1433">
        <v>30</v>
      </c>
      <c r="F1433">
        <v>385.85</v>
      </c>
      <c r="G1433" t="s">
        <v>32</v>
      </c>
      <c r="H1433" s="1">
        <v>45554</v>
      </c>
      <c r="I1433" s="1">
        <v>45588</v>
      </c>
      <c r="J1433" t="s">
        <v>38</v>
      </c>
      <c r="K1433" t="b">
        <f>Table1[[#This Row],[CurrentStock]]&lt;Table1[[#This Row],[ReorderLevel]]</f>
        <v>0</v>
      </c>
      <c r="L1433" s="9">
        <f>Table1[[#This Row],[CurrentStock]]*Table1[[#This Row],[UnitPrice]]</f>
        <v>143922.05000000002</v>
      </c>
      <c r="M1433" t="str">
        <f>IF(Table1[[#This Row],[ReorderLevel]]-Table1[[#This Row],[CurrentStock]]&gt;0,Table1[[#This Row],[ReorderLevel]]-Table1[[#This Row],[CurrentStock]],"")</f>
        <v/>
      </c>
      <c r="N1433" t="str">
        <f>IF(Table1[[#This Row],[CurrentStock]]&gt;Table1[[#This Row],[ReorderLevel]]*3,"Over Stock","Okay")</f>
        <v>Over Stock</v>
      </c>
      <c r="O1433" t="str">
        <f>IF(Table1[[#This Row],[CurrentStock]]&lt;Table1[[#This Row],[ReorderLevel]],"Reorder","Okay")</f>
        <v>Okay</v>
      </c>
    </row>
    <row r="1434" spans="1:15" x14ac:dyDescent="0.3">
      <c r="A1434">
        <v>80949</v>
      </c>
      <c r="B1434" t="s">
        <v>20</v>
      </c>
      <c r="C1434" t="s">
        <v>29</v>
      </c>
      <c r="D1434">
        <v>160</v>
      </c>
      <c r="E1434">
        <v>100</v>
      </c>
      <c r="F1434">
        <v>193.22</v>
      </c>
      <c r="G1434" t="s">
        <v>34</v>
      </c>
      <c r="H1434" s="1">
        <v>45319</v>
      </c>
      <c r="I1434" s="1">
        <v>45337</v>
      </c>
      <c r="J1434" t="s">
        <v>37</v>
      </c>
      <c r="K1434" t="b">
        <f>Table1[[#This Row],[CurrentStock]]&lt;Table1[[#This Row],[ReorderLevel]]</f>
        <v>0</v>
      </c>
      <c r="L1434" s="9">
        <f>Table1[[#This Row],[CurrentStock]]*Table1[[#This Row],[UnitPrice]]</f>
        <v>30915.200000000001</v>
      </c>
      <c r="M1434" t="str">
        <f>IF(Table1[[#This Row],[ReorderLevel]]-Table1[[#This Row],[CurrentStock]]&gt;0,Table1[[#This Row],[ReorderLevel]]-Table1[[#This Row],[CurrentStock]],"")</f>
        <v/>
      </c>
      <c r="N1434" t="str">
        <f>IF(Table1[[#This Row],[CurrentStock]]&gt;Table1[[#This Row],[ReorderLevel]]*3,"Over Stock","Okay")</f>
        <v>Okay</v>
      </c>
      <c r="O1434" t="str">
        <f>IF(Table1[[#This Row],[CurrentStock]]&lt;Table1[[#This Row],[ReorderLevel]],"Reorder","Okay")</f>
        <v>Okay</v>
      </c>
    </row>
    <row r="1435" spans="1:15" x14ac:dyDescent="0.3">
      <c r="A1435">
        <v>86586</v>
      </c>
      <c r="B1435" t="s">
        <v>22</v>
      </c>
      <c r="C1435" t="s">
        <v>27</v>
      </c>
      <c r="D1435">
        <v>96</v>
      </c>
      <c r="E1435">
        <v>100</v>
      </c>
      <c r="F1435">
        <v>254.1</v>
      </c>
      <c r="G1435" t="s">
        <v>32</v>
      </c>
      <c r="H1435" s="1">
        <v>45562</v>
      </c>
      <c r="I1435" s="1">
        <v>45569</v>
      </c>
      <c r="J1435" t="s">
        <v>39</v>
      </c>
      <c r="K1435" t="b">
        <f>Table1[[#This Row],[CurrentStock]]&lt;Table1[[#This Row],[ReorderLevel]]</f>
        <v>1</v>
      </c>
      <c r="L1435" s="9">
        <f>Table1[[#This Row],[CurrentStock]]*Table1[[#This Row],[UnitPrice]]</f>
        <v>24393.599999999999</v>
      </c>
      <c r="M1435">
        <f>IF(Table1[[#This Row],[ReorderLevel]]-Table1[[#This Row],[CurrentStock]]&gt;0,Table1[[#This Row],[ReorderLevel]]-Table1[[#This Row],[CurrentStock]],"")</f>
        <v>4</v>
      </c>
      <c r="N1435" t="str">
        <f>IF(Table1[[#This Row],[CurrentStock]]&gt;Table1[[#This Row],[ReorderLevel]]*3,"Over Stock","Okay")</f>
        <v>Okay</v>
      </c>
      <c r="O1435" t="str">
        <f>IF(Table1[[#This Row],[CurrentStock]]&lt;Table1[[#This Row],[ReorderLevel]],"Reorder","Okay")</f>
        <v>Reorder</v>
      </c>
    </row>
    <row r="1436" spans="1:15" x14ac:dyDescent="0.3">
      <c r="A1436">
        <v>81458</v>
      </c>
      <c r="B1436" t="s">
        <v>24</v>
      </c>
      <c r="C1436" t="s">
        <v>31</v>
      </c>
      <c r="D1436">
        <v>387</v>
      </c>
      <c r="E1436">
        <v>30</v>
      </c>
      <c r="F1436">
        <v>398.75</v>
      </c>
      <c r="G1436" t="s">
        <v>33</v>
      </c>
      <c r="H1436" s="1">
        <v>45549</v>
      </c>
      <c r="I1436" s="1">
        <v>45570</v>
      </c>
      <c r="J1436" t="s">
        <v>39</v>
      </c>
      <c r="K1436" t="b">
        <f>Table1[[#This Row],[CurrentStock]]&lt;Table1[[#This Row],[ReorderLevel]]</f>
        <v>0</v>
      </c>
      <c r="L1436" s="9">
        <f>Table1[[#This Row],[CurrentStock]]*Table1[[#This Row],[UnitPrice]]</f>
        <v>154316.25</v>
      </c>
      <c r="M1436" t="str">
        <f>IF(Table1[[#This Row],[ReorderLevel]]-Table1[[#This Row],[CurrentStock]]&gt;0,Table1[[#This Row],[ReorderLevel]]-Table1[[#This Row],[CurrentStock]],"")</f>
        <v/>
      </c>
      <c r="N1436" t="str">
        <f>IF(Table1[[#This Row],[CurrentStock]]&gt;Table1[[#This Row],[ReorderLevel]]*3,"Over Stock","Okay")</f>
        <v>Over Stock</v>
      </c>
      <c r="O1436" t="str">
        <f>IF(Table1[[#This Row],[CurrentStock]]&lt;Table1[[#This Row],[ReorderLevel]],"Reorder","Okay")</f>
        <v>Okay</v>
      </c>
    </row>
    <row r="1437" spans="1:15" x14ac:dyDescent="0.3">
      <c r="A1437">
        <v>91748</v>
      </c>
      <c r="B1437" t="s">
        <v>19</v>
      </c>
      <c r="C1437" t="s">
        <v>28</v>
      </c>
      <c r="D1437">
        <v>20</v>
      </c>
      <c r="E1437">
        <v>150</v>
      </c>
      <c r="F1437">
        <v>101.11</v>
      </c>
      <c r="G1437" t="s">
        <v>36</v>
      </c>
      <c r="H1437" s="1">
        <v>45417</v>
      </c>
      <c r="I1437" s="1">
        <v>45442</v>
      </c>
      <c r="J1437" t="s">
        <v>38</v>
      </c>
      <c r="K1437" t="b">
        <f>Table1[[#This Row],[CurrentStock]]&lt;Table1[[#This Row],[ReorderLevel]]</f>
        <v>1</v>
      </c>
      <c r="L1437" s="9">
        <f>Table1[[#This Row],[CurrentStock]]*Table1[[#This Row],[UnitPrice]]</f>
        <v>2022.2</v>
      </c>
      <c r="M1437">
        <f>IF(Table1[[#This Row],[ReorderLevel]]-Table1[[#This Row],[CurrentStock]]&gt;0,Table1[[#This Row],[ReorderLevel]]-Table1[[#This Row],[CurrentStock]],"")</f>
        <v>130</v>
      </c>
      <c r="N1437" t="str">
        <f>IF(Table1[[#This Row],[CurrentStock]]&gt;Table1[[#This Row],[ReorderLevel]]*3,"Over Stock","Okay")</f>
        <v>Okay</v>
      </c>
      <c r="O1437" t="str">
        <f>IF(Table1[[#This Row],[CurrentStock]]&lt;Table1[[#This Row],[ReorderLevel]],"Reorder","Okay")</f>
        <v>Reorder</v>
      </c>
    </row>
    <row r="1438" spans="1:15" x14ac:dyDescent="0.3">
      <c r="A1438">
        <v>94553</v>
      </c>
      <c r="B1438" t="s">
        <v>16</v>
      </c>
      <c r="C1438" t="s">
        <v>30</v>
      </c>
      <c r="D1438">
        <v>200</v>
      </c>
      <c r="E1438">
        <v>80</v>
      </c>
      <c r="F1438">
        <v>324.97000000000003</v>
      </c>
      <c r="G1438" t="s">
        <v>32</v>
      </c>
      <c r="H1438" s="1">
        <v>45363</v>
      </c>
      <c r="I1438" s="1">
        <v>45401</v>
      </c>
      <c r="J1438" t="s">
        <v>37</v>
      </c>
      <c r="K1438" t="b">
        <f>Table1[[#This Row],[CurrentStock]]&lt;Table1[[#This Row],[ReorderLevel]]</f>
        <v>0</v>
      </c>
      <c r="L1438" s="9">
        <f>Table1[[#This Row],[CurrentStock]]*Table1[[#This Row],[UnitPrice]]</f>
        <v>64994.000000000007</v>
      </c>
      <c r="M1438" t="str">
        <f>IF(Table1[[#This Row],[ReorderLevel]]-Table1[[#This Row],[CurrentStock]]&gt;0,Table1[[#This Row],[ReorderLevel]]-Table1[[#This Row],[CurrentStock]],"")</f>
        <v/>
      </c>
      <c r="N1438" t="str">
        <f>IF(Table1[[#This Row],[CurrentStock]]&gt;Table1[[#This Row],[ReorderLevel]]*3,"Over Stock","Okay")</f>
        <v>Okay</v>
      </c>
      <c r="O1438" t="str">
        <f>IF(Table1[[#This Row],[CurrentStock]]&lt;Table1[[#This Row],[ReorderLevel]],"Reorder","Okay")</f>
        <v>Okay</v>
      </c>
    </row>
    <row r="1439" spans="1:15" x14ac:dyDescent="0.3">
      <c r="A1439">
        <v>92762</v>
      </c>
      <c r="B1439" t="s">
        <v>18</v>
      </c>
      <c r="C1439" t="s">
        <v>28</v>
      </c>
      <c r="D1439">
        <v>37</v>
      </c>
      <c r="E1439">
        <v>50</v>
      </c>
      <c r="F1439">
        <v>306.3</v>
      </c>
      <c r="G1439" t="s">
        <v>33</v>
      </c>
      <c r="H1439" s="1">
        <v>45532</v>
      </c>
      <c r="I1439" s="1">
        <v>45570</v>
      </c>
      <c r="J1439" t="s">
        <v>38</v>
      </c>
      <c r="K1439" t="b">
        <f>Table1[[#This Row],[CurrentStock]]&lt;Table1[[#This Row],[ReorderLevel]]</f>
        <v>1</v>
      </c>
      <c r="L1439" s="9">
        <f>Table1[[#This Row],[CurrentStock]]*Table1[[#This Row],[UnitPrice]]</f>
        <v>11333.1</v>
      </c>
      <c r="M1439">
        <f>IF(Table1[[#This Row],[ReorderLevel]]-Table1[[#This Row],[CurrentStock]]&gt;0,Table1[[#This Row],[ReorderLevel]]-Table1[[#This Row],[CurrentStock]],"")</f>
        <v>13</v>
      </c>
      <c r="N1439" t="str">
        <f>IF(Table1[[#This Row],[CurrentStock]]&gt;Table1[[#This Row],[ReorderLevel]]*3,"Over Stock","Okay")</f>
        <v>Okay</v>
      </c>
      <c r="O1439" t="str">
        <f>IF(Table1[[#This Row],[CurrentStock]]&lt;Table1[[#This Row],[ReorderLevel]],"Reorder","Okay")</f>
        <v>Reorder</v>
      </c>
    </row>
    <row r="1440" spans="1:15" x14ac:dyDescent="0.3">
      <c r="A1440">
        <v>65916</v>
      </c>
      <c r="B1440" t="s">
        <v>14</v>
      </c>
      <c r="C1440" t="s">
        <v>27</v>
      </c>
      <c r="D1440">
        <v>42</v>
      </c>
      <c r="E1440">
        <v>30</v>
      </c>
      <c r="F1440">
        <v>92.49</v>
      </c>
      <c r="G1440" t="s">
        <v>35</v>
      </c>
      <c r="H1440" s="1">
        <v>45460</v>
      </c>
      <c r="I1440" s="1">
        <v>45484</v>
      </c>
      <c r="J1440" t="s">
        <v>37</v>
      </c>
      <c r="K1440" t="b">
        <f>Table1[[#This Row],[CurrentStock]]&lt;Table1[[#This Row],[ReorderLevel]]</f>
        <v>0</v>
      </c>
      <c r="L1440" s="9">
        <f>Table1[[#This Row],[CurrentStock]]*Table1[[#This Row],[UnitPrice]]</f>
        <v>3884.58</v>
      </c>
      <c r="M1440" t="str">
        <f>IF(Table1[[#This Row],[ReorderLevel]]-Table1[[#This Row],[CurrentStock]]&gt;0,Table1[[#This Row],[ReorderLevel]]-Table1[[#This Row],[CurrentStock]],"")</f>
        <v/>
      </c>
      <c r="N1440" t="str">
        <f>IF(Table1[[#This Row],[CurrentStock]]&gt;Table1[[#This Row],[ReorderLevel]]*3,"Over Stock","Okay")</f>
        <v>Okay</v>
      </c>
      <c r="O1440" t="str">
        <f>IF(Table1[[#This Row],[CurrentStock]]&lt;Table1[[#This Row],[ReorderLevel]],"Reorder","Okay")</f>
        <v>Okay</v>
      </c>
    </row>
    <row r="1441" spans="1:15" x14ac:dyDescent="0.3">
      <c r="A1441">
        <v>64499</v>
      </c>
      <c r="B1441" t="s">
        <v>21</v>
      </c>
      <c r="C1441" t="s">
        <v>31</v>
      </c>
      <c r="D1441">
        <v>22</v>
      </c>
      <c r="E1441">
        <v>150</v>
      </c>
      <c r="F1441">
        <v>323.16000000000003</v>
      </c>
      <c r="G1441" t="s">
        <v>33</v>
      </c>
      <c r="H1441" s="1">
        <v>45650</v>
      </c>
      <c r="I1441" s="1">
        <v>45689</v>
      </c>
      <c r="J1441" t="s">
        <v>39</v>
      </c>
      <c r="K1441" t="b">
        <f>Table1[[#This Row],[CurrentStock]]&lt;Table1[[#This Row],[ReorderLevel]]</f>
        <v>1</v>
      </c>
      <c r="L1441" s="9">
        <f>Table1[[#This Row],[CurrentStock]]*Table1[[#This Row],[UnitPrice]]</f>
        <v>7109.52</v>
      </c>
      <c r="M1441">
        <f>IF(Table1[[#This Row],[ReorderLevel]]-Table1[[#This Row],[CurrentStock]]&gt;0,Table1[[#This Row],[ReorderLevel]]-Table1[[#This Row],[CurrentStock]],"")</f>
        <v>128</v>
      </c>
      <c r="N1441" t="str">
        <f>IF(Table1[[#This Row],[CurrentStock]]&gt;Table1[[#This Row],[ReorderLevel]]*3,"Over Stock","Okay")</f>
        <v>Okay</v>
      </c>
      <c r="O1441" t="str">
        <f>IF(Table1[[#This Row],[CurrentStock]]&lt;Table1[[#This Row],[ReorderLevel]],"Reorder","Okay")</f>
        <v>Reorder</v>
      </c>
    </row>
    <row r="1442" spans="1:15" x14ac:dyDescent="0.3">
      <c r="A1442">
        <v>98131</v>
      </c>
      <c r="B1442" t="s">
        <v>26</v>
      </c>
      <c r="C1442" t="s">
        <v>30</v>
      </c>
      <c r="D1442">
        <v>253</v>
      </c>
      <c r="E1442">
        <v>100</v>
      </c>
      <c r="F1442">
        <v>176.32</v>
      </c>
      <c r="G1442" t="s">
        <v>34</v>
      </c>
      <c r="H1442" s="1">
        <v>45478</v>
      </c>
      <c r="I1442" s="1">
        <v>45486</v>
      </c>
      <c r="J1442" t="s">
        <v>38</v>
      </c>
      <c r="K1442" t="b">
        <f>Table1[[#This Row],[CurrentStock]]&lt;Table1[[#This Row],[ReorderLevel]]</f>
        <v>0</v>
      </c>
      <c r="L1442" s="9">
        <f>Table1[[#This Row],[CurrentStock]]*Table1[[#This Row],[UnitPrice]]</f>
        <v>44608.959999999999</v>
      </c>
      <c r="M1442" t="str">
        <f>IF(Table1[[#This Row],[ReorderLevel]]-Table1[[#This Row],[CurrentStock]]&gt;0,Table1[[#This Row],[ReorderLevel]]-Table1[[#This Row],[CurrentStock]],"")</f>
        <v/>
      </c>
      <c r="N1442" t="str">
        <f>IF(Table1[[#This Row],[CurrentStock]]&gt;Table1[[#This Row],[ReorderLevel]]*3,"Over Stock","Okay")</f>
        <v>Okay</v>
      </c>
      <c r="O1442" t="str">
        <f>IF(Table1[[#This Row],[CurrentStock]]&lt;Table1[[#This Row],[ReorderLevel]],"Reorder","Okay")</f>
        <v>Okay</v>
      </c>
    </row>
    <row r="1443" spans="1:15" x14ac:dyDescent="0.3">
      <c r="A1443">
        <v>13447</v>
      </c>
      <c r="B1443" t="s">
        <v>17</v>
      </c>
      <c r="C1443" t="s">
        <v>30</v>
      </c>
      <c r="D1443">
        <v>152</v>
      </c>
      <c r="E1443">
        <v>100</v>
      </c>
      <c r="F1443">
        <v>238.61</v>
      </c>
      <c r="G1443" t="s">
        <v>32</v>
      </c>
      <c r="H1443" s="1">
        <v>45453</v>
      </c>
      <c r="I1443" s="1">
        <v>45479</v>
      </c>
      <c r="J1443" t="s">
        <v>38</v>
      </c>
      <c r="K1443" t="b">
        <f>Table1[[#This Row],[CurrentStock]]&lt;Table1[[#This Row],[ReorderLevel]]</f>
        <v>0</v>
      </c>
      <c r="L1443" s="9">
        <f>Table1[[#This Row],[CurrentStock]]*Table1[[#This Row],[UnitPrice]]</f>
        <v>36268.720000000001</v>
      </c>
      <c r="M1443" t="str">
        <f>IF(Table1[[#This Row],[ReorderLevel]]-Table1[[#This Row],[CurrentStock]]&gt;0,Table1[[#This Row],[ReorderLevel]]-Table1[[#This Row],[CurrentStock]],"")</f>
        <v/>
      </c>
      <c r="N1443" t="str">
        <f>IF(Table1[[#This Row],[CurrentStock]]&gt;Table1[[#This Row],[ReorderLevel]]*3,"Over Stock","Okay")</f>
        <v>Okay</v>
      </c>
      <c r="O1443" t="str">
        <f>IF(Table1[[#This Row],[CurrentStock]]&lt;Table1[[#This Row],[ReorderLevel]],"Reorder","Okay")</f>
        <v>Okay</v>
      </c>
    </row>
    <row r="1444" spans="1:15" x14ac:dyDescent="0.3">
      <c r="A1444">
        <v>93205</v>
      </c>
      <c r="B1444" t="s">
        <v>25</v>
      </c>
      <c r="C1444" t="s">
        <v>31</v>
      </c>
      <c r="D1444">
        <v>291</v>
      </c>
      <c r="E1444">
        <v>150</v>
      </c>
      <c r="F1444">
        <v>412.26</v>
      </c>
      <c r="G1444" t="s">
        <v>33</v>
      </c>
      <c r="H1444" s="1">
        <v>45413</v>
      </c>
      <c r="I1444" s="1">
        <v>45449</v>
      </c>
      <c r="J1444" t="s">
        <v>39</v>
      </c>
      <c r="K1444" t="b">
        <f>Table1[[#This Row],[CurrentStock]]&lt;Table1[[#This Row],[ReorderLevel]]</f>
        <v>0</v>
      </c>
      <c r="L1444" s="9">
        <f>Table1[[#This Row],[CurrentStock]]*Table1[[#This Row],[UnitPrice]]</f>
        <v>119967.66</v>
      </c>
      <c r="M1444" t="str">
        <f>IF(Table1[[#This Row],[ReorderLevel]]-Table1[[#This Row],[CurrentStock]]&gt;0,Table1[[#This Row],[ReorderLevel]]-Table1[[#This Row],[CurrentStock]],"")</f>
        <v/>
      </c>
      <c r="N1444" t="str">
        <f>IF(Table1[[#This Row],[CurrentStock]]&gt;Table1[[#This Row],[ReorderLevel]]*3,"Over Stock","Okay")</f>
        <v>Okay</v>
      </c>
      <c r="O1444" t="str">
        <f>IF(Table1[[#This Row],[CurrentStock]]&lt;Table1[[#This Row],[ReorderLevel]],"Reorder","Okay")</f>
        <v>Okay</v>
      </c>
    </row>
    <row r="1445" spans="1:15" x14ac:dyDescent="0.3">
      <c r="A1445">
        <v>97185</v>
      </c>
      <c r="B1445" t="s">
        <v>13</v>
      </c>
      <c r="C1445" t="s">
        <v>29</v>
      </c>
      <c r="D1445">
        <v>410</v>
      </c>
      <c r="E1445">
        <v>20</v>
      </c>
      <c r="F1445">
        <v>340.16</v>
      </c>
      <c r="G1445" t="s">
        <v>34</v>
      </c>
      <c r="H1445" s="1">
        <v>45316</v>
      </c>
      <c r="I1445" s="1">
        <v>45342</v>
      </c>
      <c r="J1445" t="s">
        <v>38</v>
      </c>
      <c r="K1445" t="b">
        <f>Table1[[#This Row],[CurrentStock]]&lt;Table1[[#This Row],[ReorderLevel]]</f>
        <v>0</v>
      </c>
      <c r="L1445" s="9">
        <f>Table1[[#This Row],[CurrentStock]]*Table1[[#This Row],[UnitPrice]]</f>
        <v>139465.60000000001</v>
      </c>
      <c r="M1445" t="str">
        <f>IF(Table1[[#This Row],[ReorderLevel]]-Table1[[#This Row],[CurrentStock]]&gt;0,Table1[[#This Row],[ReorderLevel]]-Table1[[#This Row],[CurrentStock]],"")</f>
        <v/>
      </c>
      <c r="N1445" t="str">
        <f>IF(Table1[[#This Row],[CurrentStock]]&gt;Table1[[#This Row],[ReorderLevel]]*3,"Over Stock","Okay")</f>
        <v>Over Stock</v>
      </c>
      <c r="O1445" t="str">
        <f>IF(Table1[[#This Row],[CurrentStock]]&lt;Table1[[#This Row],[ReorderLevel]],"Reorder","Okay")</f>
        <v>Okay</v>
      </c>
    </row>
    <row r="1446" spans="1:15" x14ac:dyDescent="0.3">
      <c r="A1446">
        <v>52477</v>
      </c>
      <c r="B1446" t="s">
        <v>20</v>
      </c>
      <c r="C1446" t="s">
        <v>29</v>
      </c>
      <c r="D1446">
        <v>422</v>
      </c>
      <c r="E1446">
        <v>20</v>
      </c>
      <c r="F1446">
        <v>166.99</v>
      </c>
      <c r="G1446" t="s">
        <v>36</v>
      </c>
      <c r="H1446" s="1">
        <v>45365</v>
      </c>
      <c r="I1446" s="1">
        <v>45403</v>
      </c>
      <c r="J1446" t="s">
        <v>39</v>
      </c>
      <c r="K1446" t="b">
        <f>Table1[[#This Row],[CurrentStock]]&lt;Table1[[#This Row],[ReorderLevel]]</f>
        <v>0</v>
      </c>
      <c r="L1446" s="9">
        <f>Table1[[#This Row],[CurrentStock]]*Table1[[#This Row],[UnitPrice]]</f>
        <v>70469.78</v>
      </c>
      <c r="M1446" t="str">
        <f>IF(Table1[[#This Row],[ReorderLevel]]-Table1[[#This Row],[CurrentStock]]&gt;0,Table1[[#This Row],[ReorderLevel]]-Table1[[#This Row],[CurrentStock]],"")</f>
        <v/>
      </c>
      <c r="N1446" t="str">
        <f>IF(Table1[[#This Row],[CurrentStock]]&gt;Table1[[#This Row],[ReorderLevel]]*3,"Over Stock","Okay")</f>
        <v>Over Stock</v>
      </c>
      <c r="O1446" t="str">
        <f>IF(Table1[[#This Row],[CurrentStock]]&lt;Table1[[#This Row],[ReorderLevel]],"Reorder","Okay")</f>
        <v>Okay</v>
      </c>
    </row>
    <row r="1447" spans="1:15" x14ac:dyDescent="0.3">
      <c r="A1447">
        <v>78774</v>
      </c>
      <c r="B1447" t="s">
        <v>23</v>
      </c>
      <c r="C1447" t="s">
        <v>30</v>
      </c>
      <c r="D1447">
        <v>424</v>
      </c>
      <c r="E1447">
        <v>80</v>
      </c>
      <c r="F1447">
        <v>264.38</v>
      </c>
      <c r="G1447" t="s">
        <v>32</v>
      </c>
      <c r="H1447" s="1">
        <v>45433</v>
      </c>
      <c r="I1447" s="1">
        <v>45446</v>
      </c>
      <c r="J1447" t="s">
        <v>38</v>
      </c>
      <c r="K1447" t="b">
        <f>Table1[[#This Row],[CurrentStock]]&lt;Table1[[#This Row],[ReorderLevel]]</f>
        <v>0</v>
      </c>
      <c r="L1447" s="9">
        <f>Table1[[#This Row],[CurrentStock]]*Table1[[#This Row],[UnitPrice]]</f>
        <v>112097.12</v>
      </c>
      <c r="M1447" t="str">
        <f>IF(Table1[[#This Row],[ReorderLevel]]-Table1[[#This Row],[CurrentStock]]&gt;0,Table1[[#This Row],[ReorderLevel]]-Table1[[#This Row],[CurrentStock]],"")</f>
        <v/>
      </c>
      <c r="N1447" t="str">
        <f>IF(Table1[[#This Row],[CurrentStock]]&gt;Table1[[#This Row],[ReorderLevel]]*3,"Over Stock","Okay")</f>
        <v>Over Stock</v>
      </c>
      <c r="O1447" t="str">
        <f>IF(Table1[[#This Row],[CurrentStock]]&lt;Table1[[#This Row],[ReorderLevel]],"Reorder","Okay")</f>
        <v>Okay</v>
      </c>
    </row>
    <row r="1448" spans="1:15" x14ac:dyDescent="0.3">
      <c r="A1448">
        <v>84237</v>
      </c>
      <c r="B1448" t="s">
        <v>19</v>
      </c>
      <c r="C1448" t="s">
        <v>28</v>
      </c>
      <c r="D1448">
        <v>18</v>
      </c>
      <c r="E1448">
        <v>30</v>
      </c>
      <c r="F1448">
        <v>220.84</v>
      </c>
      <c r="G1448" t="s">
        <v>32</v>
      </c>
      <c r="H1448" s="1">
        <v>45466</v>
      </c>
      <c r="I1448" s="1">
        <v>45489</v>
      </c>
      <c r="J1448" t="s">
        <v>39</v>
      </c>
      <c r="K1448" t="b">
        <f>Table1[[#This Row],[CurrentStock]]&lt;Table1[[#This Row],[ReorderLevel]]</f>
        <v>1</v>
      </c>
      <c r="L1448" s="9">
        <f>Table1[[#This Row],[CurrentStock]]*Table1[[#This Row],[UnitPrice]]</f>
        <v>3975.12</v>
      </c>
      <c r="M1448">
        <f>IF(Table1[[#This Row],[ReorderLevel]]-Table1[[#This Row],[CurrentStock]]&gt;0,Table1[[#This Row],[ReorderLevel]]-Table1[[#This Row],[CurrentStock]],"")</f>
        <v>12</v>
      </c>
      <c r="N1448" t="str">
        <f>IF(Table1[[#This Row],[CurrentStock]]&gt;Table1[[#This Row],[ReorderLevel]]*3,"Over Stock","Okay")</f>
        <v>Okay</v>
      </c>
      <c r="O1448" t="str">
        <f>IF(Table1[[#This Row],[CurrentStock]]&lt;Table1[[#This Row],[ReorderLevel]],"Reorder","Okay")</f>
        <v>Reorder</v>
      </c>
    </row>
    <row r="1449" spans="1:15" x14ac:dyDescent="0.3">
      <c r="A1449">
        <v>10434</v>
      </c>
      <c r="B1449" t="s">
        <v>15</v>
      </c>
      <c r="C1449" t="s">
        <v>29</v>
      </c>
      <c r="D1449">
        <v>80</v>
      </c>
      <c r="E1449">
        <v>100</v>
      </c>
      <c r="F1449">
        <v>29.76</v>
      </c>
      <c r="G1449" t="s">
        <v>36</v>
      </c>
      <c r="H1449" s="1">
        <v>45574</v>
      </c>
      <c r="I1449" s="1">
        <v>45597</v>
      </c>
      <c r="J1449" t="s">
        <v>38</v>
      </c>
      <c r="K1449" t="b">
        <f>Table1[[#This Row],[CurrentStock]]&lt;Table1[[#This Row],[ReorderLevel]]</f>
        <v>1</v>
      </c>
      <c r="L1449" s="9">
        <f>Table1[[#This Row],[CurrentStock]]*Table1[[#This Row],[UnitPrice]]</f>
        <v>2380.8000000000002</v>
      </c>
      <c r="M1449">
        <f>IF(Table1[[#This Row],[ReorderLevel]]-Table1[[#This Row],[CurrentStock]]&gt;0,Table1[[#This Row],[ReorderLevel]]-Table1[[#This Row],[CurrentStock]],"")</f>
        <v>20</v>
      </c>
      <c r="N1449" t="str">
        <f>IF(Table1[[#This Row],[CurrentStock]]&gt;Table1[[#This Row],[ReorderLevel]]*3,"Over Stock","Okay")</f>
        <v>Okay</v>
      </c>
      <c r="O1449" t="str">
        <f>IF(Table1[[#This Row],[CurrentStock]]&lt;Table1[[#This Row],[ReorderLevel]],"Reorder","Okay")</f>
        <v>Reorder</v>
      </c>
    </row>
    <row r="1450" spans="1:15" x14ac:dyDescent="0.3">
      <c r="A1450">
        <v>49593</v>
      </c>
      <c r="B1450" t="s">
        <v>20</v>
      </c>
      <c r="C1450" t="s">
        <v>29</v>
      </c>
      <c r="D1450">
        <v>93</v>
      </c>
      <c r="E1450">
        <v>20</v>
      </c>
      <c r="F1450">
        <v>425.13</v>
      </c>
      <c r="G1450" t="s">
        <v>34</v>
      </c>
      <c r="H1450" s="1">
        <v>45477</v>
      </c>
      <c r="I1450" s="1">
        <v>45489</v>
      </c>
      <c r="J1450" t="s">
        <v>39</v>
      </c>
      <c r="K1450" t="b">
        <f>Table1[[#This Row],[CurrentStock]]&lt;Table1[[#This Row],[ReorderLevel]]</f>
        <v>0</v>
      </c>
      <c r="L1450" s="9">
        <f>Table1[[#This Row],[CurrentStock]]*Table1[[#This Row],[UnitPrice]]</f>
        <v>39537.089999999997</v>
      </c>
      <c r="M1450" t="str">
        <f>IF(Table1[[#This Row],[ReorderLevel]]-Table1[[#This Row],[CurrentStock]]&gt;0,Table1[[#This Row],[ReorderLevel]]-Table1[[#This Row],[CurrentStock]],"")</f>
        <v/>
      </c>
      <c r="N1450" t="str">
        <f>IF(Table1[[#This Row],[CurrentStock]]&gt;Table1[[#This Row],[ReorderLevel]]*3,"Over Stock","Okay")</f>
        <v>Over Stock</v>
      </c>
      <c r="O1450" t="str">
        <f>IF(Table1[[#This Row],[CurrentStock]]&lt;Table1[[#This Row],[ReorderLevel]],"Reorder","Okay")</f>
        <v>Okay</v>
      </c>
    </row>
    <row r="1451" spans="1:15" x14ac:dyDescent="0.3">
      <c r="A1451">
        <v>20596</v>
      </c>
      <c r="B1451" t="s">
        <v>23</v>
      </c>
      <c r="C1451" t="s">
        <v>30</v>
      </c>
      <c r="D1451">
        <v>273</v>
      </c>
      <c r="E1451">
        <v>30</v>
      </c>
      <c r="F1451">
        <v>17.66</v>
      </c>
      <c r="G1451" t="s">
        <v>32</v>
      </c>
      <c r="H1451" s="1">
        <v>45503</v>
      </c>
      <c r="I1451" s="1">
        <v>45523</v>
      </c>
      <c r="J1451" t="s">
        <v>39</v>
      </c>
      <c r="K1451" t="b">
        <f>Table1[[#This Row],[CurrentStock]]&lt;Table1[[#This Row],[ReorderLevel]]</f>
        <v>0</v>
      </c>
      <c r="L1451" s="9">
        <f>Table1[[#This Row],[CurrentStock]]*Table1[[#This Row],[UnitPrice]]</f>
        <v>4821.18</v>
      </c>
      <c r="M1451" t="str">
        <f>IF(Table1[[#This Row],[ReorderLevel]]-Table1[[#This Row],[CurrentStock]]&gt;0,Table1[[#This Row],[ReorderLevel]]-Table1[[#This Row],[CurrentStock]],"")</f>
        <v/>
      </c>
      <c r="N1451" t="str">
        <f>IF(Table1[[#This Row],[CurrentStock]]&gt;Table1[[#This Row],[ReorderLevel]]*3,"Over Stock","Okay")</f>
        <v>Over Stock</v>
      </c>
      <c r="O1451" t="str">
        <f>IF(Table1[[#This Row],[CurrentStock]]&lt;Table1[[#This Row],[ReorderLevel]],"Reorder","Okay")</f>
        <v>Okay</v>
      </c>
    </row>
    <row r="1452" spans="1:15" x14ac:dyDescent="0.3">
      <c r="A1452">
        <v>55810</v>
      </c>
      <c r="B1452" t="s">
        <v>13</v>
      </c>
      <c r="C1452" t="s">
        <v>29</v>
      </c>
      <c r="D1452">
        <v>255</v>
      </c>
      <c r="E1452">
        <v>30</v>
      </c>
      <c r="F1452">
        <v>297.11</v>
      </c>
      <c r="G1452" t="s">
        <v>35</v>
      </c>
      <c r="H1452" s="1">
        <v>45570</v>
      </c>
      <c r="I1452" s="1">
        <v>45578</v>
      </c>
      <c r="J1452" t="s">
        <v>37</v>
      </c>
      <c r="K1452" t="b">
        <f>Table1[[#This Row],[CurrentStock]]&lt;Table1[[#This Row],[ReorderLevel]]</f>
        <v>0</v>
      </c>
      <c r="L1452" s="9">
        <f>Table1[[#This Row],[CurrentStock]]*Table1[[#This Row],[UnitPrice]]</f>
        <v>75763.05</v>
      </c>
      <c r="M1452" t="str">
        <f>IF(Table1[[#This Row],[ReorderLevel]]-Table1[[#This Row],[CurrentStock]]&gt;0,Table1[[#This Row],[ReorderLevel]]-Table1[[#This Row],[CurrentStock]],"")</f>
        <v/>
      </c>
      <c r="N1452" t="str">
        <f>IF(Table1[[#This Row],[CurrentStock]]&gt;Table1[[#This Row],[ReorderLevel]]*3,"Over Stock","Okay")</f>
        <v>Over Stock</v>
      </c>
      <c r="O1452" t="str">
        <f>IF(Table1[[#This Row],[CurrentStock]]&lt;Table1[[#This Row],[ReorderLevel]],"Reorder","Okay")</f>
        <v>Okay</v>
      </c>
    </row>
    <row r="1453" spans="1:15" x14ac:dyDescent="0.3">
      <c r="A1453">
        <v>28615</v>
      </c>
      <c r="B1453" t="s">
        <v>10</v>
      </c>
      <c r="C1453" t="s">
        <v>27</v>
      </c>
      <c r="D1453">
        <v>215</v>
      </c>
      <c r="E1453">
        <v>80</v>
      </c>
      <c r="F1453">
        <v>229.23</v>
      </c>
      <c r="G1453" t="s">
        <v>35</v>
      </c>
      <c r="H1453" s="1">
        <v>45346</v>
      </c>
      <c r="I1453" s="1">
        <v>45366</v>
      </c>
      <c r="J1453" t="s">
        <v>39</v>
      </c>
      <c r="K1453" t="b">
        <f>Table1[[#This Row],[CurrentStock]]&lt;Table1[[#This Row],[ReorderLevel]]</f>
        <v>0</v>
      </c>
      <c r="L1453" s="9">
        <f>Table1[[#This Row],[CurrentStock]]*Table1[[#This Row],[UnitPrice]]</f>
        <v>49284.45</v>
      </c>
      <c r="M1453" t="str">
        <f>IF(Table1[[#This Row],[ReorderLevel]]-Table1[[#This Row],[CurrentStock]]&gt;0,Table1[[#This Row],[ReorderLevel]]-Table1[[#This Row],[CurrentStock]],"")</f>
        <v/>
      </c>
      <c r="N1453" t="str">
        <f>IF(Table1[[#This Row],[CurrentStock]]&gt;Table1[[#This Row],[ReorderLevel]]*3,"Over Stock","Okay")</f>
        <v>Okay</v>
      </c>
      <c r="O1453" t="str">
        <f>IF(Table1[[#This Row],[CurrentStock]]&lt;Table1[[#This Row],[ReorderLevel]],"Reorder","Okay")</f>
        <v>Okay</v>
      </c>
    </row>
    <row r="1454" spans="1:15" x14ac:dyDescent="0.3">
      <c r="A1454">
        <v>15700</v>
      </c>
      <c r="B1454" t="s">
        <v>19</v>
      </c>
      <c r="C1454" t="s">
        <v>28</v>
      </c>
      <c r="D1454">
        <v>428</v>
      </c>
      <c r="E1454">
        <v>20</v>
      </c>
      <c r="F1454">
        <v>391.23</v>
      </c>
      <c r="G1454" t="s">
        <v>35</v>
      </c>
      <c r="H1454" s="1">
        <v>45516</v>
      </c>
      <c r="I1454" s="1">
        <v>45521</v>
      </c>
      <c r="J1454" t="s">
        <v>39</v>
      </c>
      <c r="K1454" t="b">
        <f>Table1[[#This Row],[CurrentStock]]&lt;Table1[[#This Row],[ReorderLevel]]</f>
        <v>0</v>
      </c>
      <c r="L1454" s="9">
        <f>Table1[[#This Row],[CurrentStock]]*Table1[[#This Row],[UnitPrice]]</f>
        <v>167446.44</v>
      </c>
      <c r="M1454" t="str">
        <f>IF(Table1[[#This Row],[ReorderLevel]]-Table1[[#This Row],[CurrentStock]]&gt;0,Table1[[#This Row],[ReorderLevel]]-Table1[[#This Row],[CurrentStock]],"")</f>
        <v/>
      </c>
      <c r="N1454" t="str">
        <f>IF(Table1[[#This Row],[CurrentStock]]&gt;Table1[[#This Row],[ReorderLevel]]*3,"Over Stock","Okay")</f>
        <v>Over Stock</v>
      </c>
      <c r="O1454" t="str">
        <f>IF(Table1[[#This Row],[CurrentStock]]&lt;Table1[[#This Row],[ReorderLevel]],"Reorder","Okay")</f>
        <v>Okay</v>
      </c>
    </row>
    <row r="1455" spans="1:15" x14ac:dyDescent="0.3">
      <c r="A1455">
        <v>70611</v>
      </c>
      <c r="B1455" t="s">
        <v>10</v>
      </c>
      <c r="C1455" t="s">
        <v>27</v>
      </c>
      <c r="D1455">
        <v>281</v>
      </c>
      <c r="E1455">
        <v>50</v>
      </c>
      <c r="F1455">
        <v>269.42</v>
      </c>
      <c r="G1455" t="s">
        <v>32</v>
      </c>
      <c r="H1455" s="1">
        <v>45425</v>
      </c>
      <c r="I1455" s="1">
        <v>45456</v>
      </c>
      <c r="J1455" t="s">
        <v>37</v>
      </c>
      <c r="K1455" t="b">
        <f>Table1[[#This Row],[CurrentStock]]&lt;Table1[[#This Row],[ReorderLevel]]</f>
        <v>0</v>
      </c>
      <c r="L1455" s="9">
        <f>Table1[[#This Row],[CurrentStock]]*Table1[[#This Row],[UnitPrice]]</f>
        <v>75707.02</v>
      </c>
      <c r="M1455" t="str">
        <f>IF(Table1[[#This Row],[ReorderLevel]]-Table1[[#This Row],[CurrentStock]]&gt;0,Table1[[#This Row],[ReorderLevel]]-Table1[[#This Row],[CurrentStock]],"")</f>
        <v/>
      </c>
      <c r="N1455" t="str">
        <f>IF(Table1[[#This Row],[CurrentStock]]&gt;Table1[[#This Row],[ReorderLevel]]*3,"Over Stock","Okay")</f>
        <v>Over Stock</v>
      </c>
      <c r="O1455" t="str">
        <f>IF(Table1[[#This Row],[CurrentStock]]&lt;Table1[[#This Row],[ReorderLevel]],"Reorder","Okay")</f>
        <v>Okay</v>
      </c>
    </row>
    <row r="1456" spans="1:15" x14ac:dyDescent="0.3">
      <c r="A1456">
        <v>37685</v>
      </c>
      <c r="B1456" t="s">
        <v>25</v>
      </c>
      <c r="C1456" t="s">
        <v>31</v>
      </c>
      <c r="D1456">
        <v>386</v>
      </c>
      <c r="E1456">
        <v>100</v>
      </c>
      <c r="F1456">
        <v>40.15</v>
      </c>
      <c r="G1456" t="s">
        <v>36</v>
      </c>
      <c r="H1456" s="1">
        <v>45321</v>
      </c>
      <c r="I1456" s="1">
        <v>45346</v>
      </c>
      <c r="J1456" t="s">
        <v>39</v>
      </c>
      <c r="K1456" t="b">
        <f>Table1[[#This Row],[CurrentStock]]&lt;Table1[[#This Row],[ReorderLevel]]</f>
        <v>0</v>
      </c>
      <c r="L1456" s="9">
        <f>Table1[[#This Row],[CurrentStock]]*Table1[[#This Row],[UnitPrice]]</f>
        <v>15497.9</v>
      </c>
      <c r="M1456" t="str">
        <f>IF(Table1[[#This Row],[ReorderLevel]]-Table1[[#This Row],[CurrentStock]]&gt;0,Table1[[#This Row],[ReorderLevel]]-Table1[[#This Row],[CurrentStock]],"")</f>
        <v/>
      </c>
      <c r="N1456" t="str">
        <f>IF(Table1[[#This Row],[CurrentStock]]&gt;Table1[[#This Row],[ReorderLevel]]*3,"Over Stock","Okay")</f>
        <v>Over Stock</v>
      </c>
      <c r="O1456" t="str">
        <f>IF(Table1[[#This Row],[CurrentStock]]&lt;Table1[[#This Row],[ReorderLevel]],"Reorder","Okay")</f>
        <v>Okay</v>
      </c>
    </row>
    <row r="1457" spans="1:15" x14ac:dyDescent="0.3">
      <c r="A1457">
        <v>16584</v>
      </c>
      <c r="B1457" t="s">
        <v>24</v>
      </c>
      <c r="C1457" t="s">
        <v>31</v>
      </c>
      <c r="D1457">
        <v>111</v>
      </c>
      <c r="E1457">
        <v>100</v>
      </c>
      <c r="F1457">
        <v>216.78</v>
      </c>
      <c r="G1457" t="s">
        <v>36</v>
      </c>
      <c r="H1457" s="1">
        <v>45436</v>
      </c>
      <c r="I1457" s="1">
        <v>45458</v>
      </c>
      <c r="J1457" t="s">
        <v>39</v>
      </c>
      <c r="K1457" t="b">
        <f>Table1[[#This Row],[CurrentStock]]&lt;Table1[[#This Row],[ReorderLevel]]</f>
        <v>0</v>
      </c>
      <c r="L1457" s="9">
        <f>Table1[[#This Row],[CurrentStock]]*Table1[[#This Row],[UnitPrice]]</f>
        <v>24062.58</v>
      </c>
      <c r="M1457" t="str">
        <f>IF(Table1[[#This Row],[ReorderLevel]]-Table1[[#This Row],[CurrentStock]]&gt;0,Table1[[#This Row],[ReorderLevel]]-Table1[[#This Row],[CurrentStock]],"")</f>
        <v/>
      </c>
      <c r="N1457" t="str">
        <f>IF(Table1[[#This Row],[CurrentStock]]&gt;Table1[[#This Row],[ReorderLevel]]*3,"Over Stock","Okay")</f>
        <v>Okay</v>
      </c>
      <c r="O1457" t="str">
        <f>IF(Table1[[#This Row],[CurrentStock]]&lt;Table1[[#This Row],[ReorderLevel]],"Reorder","Okay")</f>
        <v>Okay</v>
      </c>
    </row>
    <row r="1458" spans="1:15" x14ac:dyDescent="0.3">
      <c r="A1458">
        <v>98377</v>
      </c>
      <c r="B1458" t="s">
        <v>22</v>
      </c>
      <c r="C1458" t="s">
        <v>27</v>
      </c>
      <c r="D1458">
        <v>495</v>
      </c>
      <c r="E1458">
        <v>50</v>
      </c>
      <c r="F1458">
        <v>89.58</v>
      </c>
      <c r="G1458" t="s">
        <v>32</v>
      </c>
      <c r="H1458" s="1">
        <v>45492</v>
      </c>
      <c r="I1458" s="1">
        <v>45497</v>
      </c>
      <c r="J1458" t="s">
        <v>38</v>
      </c>
      <c r="K1458" t="b">
        <f>Table1[[#This Row],[CurrentStock]]&lt;Table1[[#This Row],[ReorderLevel]]</f>
        <v>0</v>
      </c>
      <c r="L1458" s="9">
        <f>Table1[[#This Row],[CurrentStock]]*Table1[[#This Row],[UnitPrice]]</f>
        <v>44342.1</v>
      </c>
      <c r="M1458" t="str">
        <f>IF(Table1[[#This Row],[ReorderLevel]]-Table1[[#This Row],[CurrentStock]]&gt;0,Table1[[#This Row],[ReorderLevel]]-Table1[[#This Row],[CurrentStock]],"")</f>
        <v/>
      </c>
      <c r="N1458" t="str">
        <f>IF(Table1[[#This Row],[CurrentStock]]&gt;Table1[[#This Row],[ReorderLevel]]*3,"Over Stock","Okay")</f>
        <v>Over Stock</v>
      </c>
      <c r="O1458" t="str">
        <f>IF(Table1[[#This Row],[CurrentStock]]&lt;Table1[[#This Row],[ReorderLevel]],"Reorder","Okay")</f>
        <v>Okay</v>
      </c>
    </row>
    <row r="1459" spans="1:15" x14ac:dyDescent="0.3">
      <c r="A1459">
        <v>32333</v>
      </c>
      <c r="B1459" t="s">
        <v>16</v>
      </c>
      <c r="C1459" t="s">
        <v>30</v>
      </c>
      <c r="D1459">
        <v>392</v>
      </c>
      <c r="E1459">
        <v>100</v>
      </c>
      <c r="F1459">
        <v>109.58</v>
      </c>
      <c r="G1459" t="s">
        <v>32</v>
      </c>
      <c r="H1459" s="1">
        <v>45602</v>
      </c>
      <c r="I1459" s="1">
        <v>45625</v>
      </c>
      <c r="J1459" t="s">
        <v>38</v>
      </c>
      <c r="K1459" t="b">
        <f>Table1[[#This Row],[CurrentStock]]&lt;Table1[[#This Row],[ReorderLevel]]</f>
        <v>0</v>
      </c>
      <c r="L1459" s="9">
        <f>Table1[[#This Row],[CurrentStock]]*Table1[[#This Row],[UnitPrice]]</f>
        <v>42955.360000000001</v>
      </c>
      <c r="M1459" t="str">
        <f>IF(Table1[[#This Row],[ReorderLevel]]-Table1[[#This Row],[CurrentStock]]&gt;0,Table1[[#This Row],[ReorderLevel]]-Table1[[#This Row],[CurrentStock]],"")</f>
        <v/>
      </c>
      <c r="N1459" t="str">
        <f>IF(Table1[[#This Row],[CurrentStock]]&gt;Table1[[#This Row],[ReorderLevel]]*3,"Over Stock","Okay")</f>
        <v>Over Stock</v>
      </c>
      <c r="O1459" t="str">
        <f>IF(Table1[[#This Row],[CurrentStock]]&lt;Table1[[#This Row],[ReorderLevel]],"Reorder","Okay")</f>
        <v>Okay</v>
      </c>
    </row>
    <row r="1460" spans="1:15" x14ac:dyDescent="0.3">
      <c r="A1460">
        <v>72303</v>
      </c>
      <c r="B1460" t="s">
        <v>11</v>
      </c>
      <c r="C1460" t="s">
        <v>27</v>
      </c>
      <c r="D1460">
        <v>26</v>
      </c>
      <c r="E1460">
        <v>100</v>
      </c>
      <c r="F1460">
        <v>429.85</v>
      </c>
      <c r="G1460" t="s">
        <v>33</v>
      </c>
      <c r="H1460" s="1">
        <v>45639</v>
      </c>
      <c r="I1460" s="1">
        <v>45674</v>
      </c>
      <c r="J1460" t="s">
        <v>38</v>
      </c>
      <c r="K1460" t="b">
        <f>Table1[[#This Row],[CurrentStock]]&lt;Table1[[#This Row],[ReorderLevel]]</f>
        <v>1</v>
      </c>
      <c r="L1460" s="9">
        <f>Table1[[#This Row],[CurrentStock]]*Table1[[#This Row],[UnitPrice]]</f>
        <v>11176.1</v>
      </c>
      <c r="M1460">
        <f>IF(Table1[[#This Row],[ReorderLevel]]-Table1[[#This Row],[CurrentStock]]&gt;0,Table1[[#This Row],[ReorderLevel]]-Table1[[#This Row],[CurrentStock]],"")</f>
        <v>74</v>
      </c>
      <c r="N1460" t="str">
        <f>IF(Table1[[#This Row],[CurrentStock]]&gt;Table1[[#This Row],[ReorderLevel]]*3,"Over Stock","Okay")</f>
        <v>Okay</v>
      </c>
      <c r="O1460" t="str">
        <f>IF(Table1[[#This Row],[CurrentStock]]&lt;Table1[[#This Row],[ReorderLevel]],"Reorder","Okay")</f>
        <v>Reorder</v>
      </c>
    </row>
    <row r="1461" spans="1:15" x14ac:dyDescent="0.3">
      <c r="A1461">
        <v>63013</v>
      </c>
      <c r="B1461" t="s">
        <v>25</v>
      </c>
      <c r="C1461" t="s">
        <v>31</v>
      </c>
      <c r="D1461">
        <v>293</v>
      </c>
      <c r="E1461">
        <v>100</v>
      </c>
      <c r="F1461">
        <v>28.06</v>
      </c>
      <c r="G1461" t="s">
        <v>33</v>
      </c>
      <c r="H1461" s="1">
        <v>45482</v>
      </c>
      <c r="I1461" s="1">
        <v>45501</v>
      </c>
      <c r="J1461" t="s">
        <v>39</v>
      </c>
      <c r="K1461" t="b">
        <f>Table1[[#This Row],[CurrentStock]]&lt;Table1[[#This Row],[ReorderLevel]]</f>
        <v>0</v>
      </c>
      <c r="L1461" s="9">
        <f>Table1[[#This Row],[CurrentStock]]*Table1[[#This Row],[UnitPrice]]</f>
        <v>8221.58</v>
      </c>
      <c r="M1461" t="str">
        <f>IF(Table1[[#This Row],[ReorderLevel]]-Table1[[#This Row],[CurrentStock]]&gt;0,Table1[[#This Row],[ReorderLevel]]-Table1[[#This Row],[CurrentStock]],"")</f>
        <v/>
      </c>
      <c r="N1461" t="str">
        <f>IF(Table1[[#This Row],[CurrentStock]]&gt;Table1[[#This Row],[ReorderLevel]]*3,"Over Stock","Okay")</f>
        <v>Okay</v>
      </c>
      <c r="O1461" t="str">
        <f>IF(Table1[[#This Row],[CurrentStock]]&lt;Table1[[#This Row],[ReorderLevel]],"Reorder","Okay")</f>
        <v>Okay</v>
      </c>
    </row>
    <row r="1462" spans="1:15" x14ac:dyDescent="0.3">
      <c r="A1462">
        <v>67389</v>
      </c>
      <c r="B1462" t="s">
        <v>15</v>
      </c>
      <c r="C1462" t="s">
        <v>29</v>
      </c>
      <c r="D1462">
        <v>97</v>
      </c>
      <c r="E1462">
        <v>50</v>
      </c>
      <c r="F1462">
        <v>453.45</v>
      </c>
      <c r="G1462" t="s">
        <v>34</v>
      </c>
      <c r="H1462" s="1">
        <v>45593</v>
      </c>
      <c r="I1462" s="1">
        <v>45625</v>
      </c>
      <c r="J1462" t="s">
        <v>39</v>
      </c>
      <c r="K1462" t="b">
        <f>Table1[[#This Row],[CurrentStock]]&lt;Table1[[#This Row],[ReorderLevel]]</f>
        <v>0</v>
      </c>
      <c r="L1462" s="9">
        <f>Table1[[#This Row],[CurrentStock]]*Table1[[#This Row],[UnitPrice]]</f>
        <v>43984.65</v>
      </c>
      <c r="M1462" t="str">
        <f>IF(Table1[[#This Row],[ReorderLevel]]-Table1[[#This Row],[CurrentStock]]&gt;0,Table1[[#This Row],[ReorderLevel]]-Table1[[#This Row],[CurrentStock]],"")</f>
        <v/>
      </c>
      <c r="N1462" t="str">
        <f>IF(Table1[[#This Row],[CurrentStock]]&gt;Table1[[#This Row],[ReorderLevel]]*3,"Over Stock","Okay")</f>
        <v>Okay</v>
      </c>
      <c r="O1462" t="str">
        <f>IF(Table1[[#This Row],[CurrentStock]]&lt;Table1[[#This Row],[ReorderLevel]],"Reorder","Okay")</f>
        <v>Okay</v>
      </c>
    </row>
    <row r="1463" spans="1:15" x14ac:dyDescent="0.3">
      <c r="A1463">
        <v>40580</v>
      </c>
      <c r="B1463" t="s">
        <v>22</v>
      </c>
      <c r="C1463" t="s">
        <v>27</v>
      </c>
      <c r="D1463">
        <v>160</v>
      </c>
      <c r="E1463">
        <v>50</v>
      </c>
      <c r="F1463">
        <v>495.45</v>
      </c>
      <c r="G1463" t="s">
        <v>32</v>
      </c>
      <c r="H1463" s="1">
        <v>45343</v>
      </c>
      <c r="I1463" s="1">
        <v>45364</v>
      </c>
      <c r="J1463" t="s">
        <v>38</v>
      </c>
      <c r="K1463" t="b">
        <f>Table1[[#This Row],[CurrentStock]]&lt;Table1[[#This Row],[ReorderLevel]]</f>
        <v>0</v>
      </c>
      <c r="L1463" s="9">
        <f>Table1[[#This Row],[CurrentStock]]*Table1[[#This Row],[UnitPrice]]</f>
        <v>79272</v>
      </c>
      <c r="M1463" t="str">
        <f>IF(Table1[[#This Row],[ReorderLevel]]-Table1[[#This Row],[CurrentStock]]&gt;0,Table1[[#This Row],[ReorderLevel]]-Table1[[#This Row],[CurrentStock]],"")</f>
        <v/>
      </c>
      <c r="N1463" t="str">
        <f>IF(Table1[[#This Row],[CurrentStock]]&gt;Table1[[#This Row],[ReorderLevel]]*3,"Over Stock","Okay")</f>
        <v>Over Stock</v>
      </c>
      <c r="O1463" t="str">
        <f>IF(Table1[[#This Row],[CurrentStock]]&lt;Table1[[#This Row],[ReorderLevel]],"Reorder","Okay")</f>
        <v>Okay</v>
      </c>
    </row>
    <row r="1464" spans="1:15" x14ac:dyDescent="0.3">
      <c r="A1464">
        <v>99100</v>
      </c>
      <c r="B1464" t="s">
        <v>22</v>
      </c>
      <c r="C1464" t="s">
        <v>27</v>
      </c>
      <c r="D1464">
        <v>356</v>
      </c>
      <c r="E1464">
        <v>40</v>
      </c>
      <c r="F1464">
        <v>321.61</v>
      </c>
      <c r="G1464" t="s">
        <v>32</v>
      </c>
      <c r="H1464" s="1">
        <v>45492</v>
      </c>
      <c r="I1464" s="1">
        <v>45502</v>
      </c>
      <c r="J1464" t="s">
        <v>39</v>
      </c>
      <c r="K1464" t="b">
        <f>Table1[[#This Row],[CurrentStock]]&lt;Table1[[#This Row],[ReorderLevel]]</f>
        <v>0</v>
      </c>
      <c r="L1464" s="9">
        <f>Table1[[#This Row],[CurrentStock]]*Table1[[#This Row],[UnitPrice]]</f>
        <v>114493.16</v>
      </c>
      <c r="M1464" t="str">
        <f>IF(Table1[[#This Row],[ReorderLevel]]-Table1[[#This Row],[CurrentStock]]&gt;0,Table1[[#This Row],[ReorderLevel]]-Table1[[#This Row],[CurrentStock]],"")</f>
        <v/>
      </c>
      <c r="N1464" t="str">
        <f>IF(Table1[[#This Row],[CurrentStock]]&gt;Table1[[#This Row],[ReorderLevel]]*3,"Over Stock","Okay")</f>
        <v>Over Stock</v>
      </c>
      <c r="O1464" t="str">
        <f>IF(Table1[[#This Row],[CurrentStock]]&lt;Table1[[#This Row],[ReorderLevel]],"Reorder","Okay")</f>
        <v>Okay</v>
      </c>
    </row>
    <row r="1465" spans="1:15" x14ac:dyDescent="0.3">
      <c r="A1465">
        <v>32444</v>
      </c>
      <c r="B1465" t="s">
        <v>14</v>
      </c>
      <c r="C1465" t="s">
        <v>27</v>
      </c>
      <c r="D1465">
        <v>243</v>
      </c>
      <c r="E1465">
        <v>50</v>
      </c>
      <c r="F1465">
        <v>50.08</v>
      </c>
      <c r="G1465" t="s">
        <v>33</v>
      </c>
      <c r="H1465" s="1">
        <v>45327</v>
      </c>
      <c r="I1465" s="1">
        <v>45339</v>
      </c>
      <c r="J1465" t="s">
        <v>39</v>
      </c>
      <c r="K1465" t="b">
        <f>Table1[[#This Row],[CurrentStock]]&lt;Table1[[#This Row],[ReorderLevel]]</f>
        <v>0</v>
      </c>
      <c r="L1465" s="9">
        <f>Table1[[#This Row],[CurrentStock]]*Table1[[#This Row],[UnitPrice]]</f>
        <v>12169.439999999999</v>
      </c>
      <c r="M1465" t="str">
        <f>IF(Table1[[#This Row],[ReorderLevel]]-Table1[[#This Row],[CurrentStock]]&gt;0,Table1[[#This Row],[ReorderLevel]]-Table1[[#This Row],[CurrentStock]],"")</f>
        <v/>
      </c>
      <c r="N1465" t="str">
        <f>IF(Table1[[#This Row],[CurrentStock]]&gt;Table1[[#This Row],[ReorderLevel]]*3,"Over Stock","Okay")</f>
        <v>Over Stock</v>
      </c>
      <c r="O1465" t="str">
        <f>IF(Table1[[#This Row],[CurrentStock]]&lt;Table1[[#This Row],[ReorderLevel]],"Reorder","Okay")</f>
        <v>Okay</v>
      </c>
    </row>
    <row r="1466" spans="1:15" x14ac:dyDescent="0.3">
      <c r="A1466">
        <v>96058</v>
      </c>
      <c r="B1466" t="s">
        <v>12</v>
      </c>
      <c r="C1466" t="s">
        <v>28</v>
      </c>
      <c r="D1466">
        <v>192</v>
      </c>
      <c r="E1466">
        <v>80</v>
      </c>
      <c r="F1466">
        <v>165.98</v>
      </c>
      <c r="G1466" t="s">
        <v>36</v>
      </c>
      <c r="H1466" s="1">
        <v>45323</v>
      </c>
      <c r="I1466" s="1">
        <v>45361</v>
      </c>
      <c r="J1466" t="s">
        <v>38</v>
      </c>
      <c r="K1466" t="b">
        <f>Table1[[#This Row],[CurrentStock]]&lt;Table1[[#This Row],[ReorderLevel]]</f>
        <v>0</v>
      </c>
      <c r="L1466" s="9">
        <f>Table1[[#This Row],[CurrentStock]]*Table1[[#This Row],[UnitPrice]]</f>
        <v>31868.159999999996</v>
      </c>
      <c r="M1466" t="str">
        <f>IF(Table1[[#This Row],[ReorderLevel]]-Table1[[#This Row],[CurrentStock]]&gt;0,Table1[[#This Row],[ReorderLevel]]-Table1[[#This Row],[CurrentStock]],"")</f>
        <v/>
      </c>
      <c r="N1466" t="str">
        <f>IF(Table1[[#This Row],[CurrentStock]]&gt;Table1[[#This Row],[ReorderLevel]]*3,"Over Stock","Okay")</f>
        <v>Okay</v>
      </c>
      <c r="O1466" t="str">
        <f>IF(Table1[[#This Row],[CurrentStock]]&lt;Table1[[#This Row],[ReorderLevel]],"Reorder","Okay")</f>
        <v>Okay</v>
      </c>
    </row>
    <row r="1467" spans="1:15" x14ac:dyDescent="0.3">
      <c r="A1467">
        <v>28227</v>
      </c>
      <c r="B1467" t="s">
        <v>16</v>
      </c>
      <c r="C1467" t="s">
        <v>30</v>
      </c>
      <c r="D1467">
        <v>62</v>
      </c>
      <c r="E1467">
        <v>40</v>
      </c>
      <c r="F1467">
        <v>74.33</v>
      </c>
      <c r="G1467" t="s">
        <v>35</v>
      </c>
      <c r="H1467" s="1">
        <v>45392</v>
      </c>
      <c r="I1467" s="1">
        <v>45424</v>
      </c>
      <c r="J1467" t="s">
        <v>39</v>
      </c>
      <c r="K1467" t="b">
        <f>Table1[[#This Row],[CurrentStock]]&lt;Table1[[#This Row],[ReorderLevel]]</f>
        <v>0</v>
      </c>
      <c r="L1467" s="9">
        <f>Table1[[#This Row],[CurrentStock]]*Table1[[#This Row],[UnitPrice]]</f>
        <v>4608.46</v>
      </c>
      <c r="M1467" t="str">
        <f>IF(Table1[[#This Row],[ReorderLevel]]-Table1[[#This Row],[CurrentStock]]&gt;0,Table1[[#This Row],[ReorderLevel]]-Table1[[#This Row],[CurrentStock]],"")</f>
        <v/>
      </c>
      <c r="N1467" t="str">
        <f>IF(Table1[[#This Row],[CurrentStock]]&gt;Table1[[#This Row],[ReorderLevel]]*3,"Over Stock","Okay")</f>
        <v>Okay</v>
      </c>
      <c r="O1467" t="str">
        <f>IF(Table1[[#This Row],[CurrentStock]]&lt;Table1[[#This Row],[ReorderLevel]],"Reorder","Okay")</f>
        <v>Okay</v>
      </c>
    </row>
    <row r="1468" spans="1:15" x14ac:dyDescent="0.3">
      <c r="A1468">
        <v>31711</v>
      </c>
      <c r="B1468" t="s">
        <v>19</v>
      </c>
      <c r="C1468" t="s">
        <v>28</v>
      </c>
      <c r="D1468">
        <v>195</v>
      </c>
      <c r="E1468">
        <v>100</v>
      </c>
      <c r="F1468">
        <v>148.91999999999999</v>
      </c>
      <c r="G1468" t="s">
        <v>34</v>
      </c>
      <c r="H1468" s="1">
        <v>45555</v>
      </c>
      <c r="I1468" s="1">
        <v>45583</v>
      </c>
      <c r="J1468" t="s">
        <v>38</v>
      </c>
      <c r="K1468" t="b">
        <f>Table1[[#This Row],[CurrentStock]]&lt;Table1[[#This Row],[ReorderLevel]]</f>
        <v>0</v>
      </c>
      <c r="L1468" s="9">
        <f>Table1[[#This Row],[CurrentStock]]*Table1[[#This Row],[UnitPrice]]</f>
        <v>29039.399999999998</v>
      </c>
      <c r="M1468" t="str">
        <f>IF(Table1[[#This Row],[ReorderLevel]]-Table1[[#This Row],[CurrentStock]]&gt;0,Table1[[#This Row],[ReorderLevel]]-Table1[[#This Row],[CurrentStock]],"")</f>
        <v/>
      </c>
      <c r="N1468" t="str">
        <f>IF(Table1[[#This Row],[CurrentStock]]&gt;Table1[[#This Row],[ReorderLevel]]*3,"Over Stock","Okay")</f>
        <v>Okay</v>
      </c>
      <c r="O1468" t="str">
        <f>IF(Table1[[#This Row],[CurrentStock]]&lt;Table1[[#This Row],[ReorderLevel]],"Reorder","Okay")</f>
        <v>Okay</v>
      </c>
    </row>
    <row r="1469" spans="1:15" x14ac:dyDescent="0.3">
      <c r="A1469">
        <v>64583</v>
      </c>
      <c r="B1469" t="s">
        <v>24</v>
      </c>
      <c r="C1469" t="s">
        <v>31</v>
      </c>
      <c r="D1469">
        <v>341</v>
      </c>
      <c r="E1469">
        <v>100</v>
      </c>
      <c r="F1469">
        <v>32.51</v>
      </c>
      <c r="G1469" t="s">
        <v>36</v>
      </c>
      <c r="H1469" s="1">
        <v>45303</v>
      </c>
      <c r="I1469" s="1">
        <v>45325</v>
      </c>
      <c r="J1469" t="s">
        <v>37</v>
      </c>
      <c r="K1469" t="b">
        <f>Table1[[#This Row],[CurrentStock]]&lt;Table1[[#This Row],[ReorderLevel]]</f>
        <v>0</v>
      </c>
      <c r="L1469" s="9">
        <f>Table1[[#This Row],[CurrentStock]]*Table1[[#This Row],[UnitPrice]]</f>
        <v>11085.91</v>
      </c>
      <c r="M1469" t="str">
        <f>IF(Table1[[#This Row],[ReorderLevel]]-Table1[[#This Row],[CurrentStock]]&gt;0,Table1[[#This Row],[ReorderLevel]]-Table1[[#This Row],[CurrentStock]],"")</f>
        <v/>
      </c>
      <c r="N1469" t="str">
        <f>IF(Table1[[#This Row],[CurrentStock]]&gt;Table1[[#This Row],[ReorderLevel]]*3,"Over Stock","Okay")</f>
        <v>Over Stock</v>
      </c>
      <c r="O1469" t="str">
        <f>IF(Table1[[#This Row],[CurrentStock]]&lt;Table1[[#This Row],[ReorderLevel]],"Reorder","Okay")</f>
        <v>Okay</v>
      </c>
    </row>
    <row r="1470" spans="1:15" x14ac:dyDescent="0.3">
      <c r="A1470">
        <v>72257</v>
      </c>
      <c r="B1470" t="s">
        <v>24</v>
      </c>
      <c r="C1470" t="s">
        <v>31</v>
      </c>
      <c r="D1470">
        <v>104</v>
      </c>
      <c r="E1470">
        <v>100</v>
      </c>
      <c r="F1470">
        <v>378.77</v>
      </c>
      <c r="G1470" t="s">
        <v>36</v>
      </c>
      <c r="H1470" s="1">
        <v>45460</v>
      </c>
      <c r="I1470" s="1">
        <v>45465</v>
      </c>
      <c r="J1470" t="s">
        <v>37</v>
      </c>
      <c r="K1470" t="b">
        <f>Table1[[#This Row],[CurrentStock]]&lt;Table1[[#This Row],[ReorderLevel]]</f>
        <v>0</v>
      </c>
      <c r="L1470" s="9">
        <f>Table1[[#This Row],[CurrentStock]]*Table1[[#This Row],[UnitPrice]]</f>
        <v>39392.080000000002</v>
      </c>
      <c r="M1470" t="str">
        <f>IF(Table1[[#This Row],[ReorderLevel]]-Table1[[#This Row],[CurrentStock]]&gt;0,Table1[[#This Row],[ReorderLevel]]-Table1[[#This Row],[CurrentStock]],"")</f>
        <v/>
      </c>
      <c r="N1470" t="str">
        <f>IF(Table1[[#This Row],[CurrentStock]]&gt;Table1[[#This Row],[ReorderLevel]]*3,"Over Stock","Okay")</f>
        <v>Okay</v>
      </c>
      <c r="O1470" t="str">
        <f>IF(Table1[[#This Row],[CurrentStock]]&lt;Table1[[#This Row],[ReorderLevel]],"Reorder","Okay")</f>
        <v>Okay</v>
      </c>
    </row>
    <row r="1471" spans="1:15" x14ac:dyDescent="0.3">
      <c r="A1471">
        <v>34408</v>
      </c>
      <c r="B1471" t="s">
        <v>12</v>
      </c>
      <c r="C1471" t="s">
        <v>28</v>
      </c>
      <c r="D1471">
        <v>27</v>
      </c>
      <c r="E1471">
        <v>100</v>
      </c>
      <c r="F1471">
        <v>41.71</v>
      </c>
      <c r="G1471" t="s">
        <v>33</v>
      </c>
      <c r="H1471" s="1">
        <v>45332</v>
      </c>
      <c r="I1471" s="1">
        <v>45348</v>
      </c>
      <c r="J1471" t="s">
        <v>38</v>
      </c>
      <c r="K1471" t="b">
        <f>Table1[[#This Row],[CurrentStock]]&lt;Table1[[#This Row],[ReorderLevel]]</f>
        <v>1</v>
      </c>
      <c r="L1471" s="9">
        <f>Table1[[#This Row],[CurrentStock]]*Table1[[#This Row],[UnitPrice]]</f>
        <v>1126.17</v>
      </c>
      <c r="M1471">
        <f>IF(Table1[[#This Row],[ReorderLevel]]-Table1[[#This Row],[CurrentStock]]&gt;0,Table1[[#This Row],[ReorderLevel]]-Table1[[#This Row],[CurrentStock]],"")</f>
        <v>73</v>
      </c>
      <c r="N1471" t="str">
        <f>IF(Table1[[#This Row],[CurrentStock]]&gt;Table1[[#This Row],[ReorderLevel]]*3,"Over Stock","Okay")</f>
        <v>Okay</v>
      </c>
      <c r="O1471" t="str">
        <f>IF(Table1[[#This Row],[CurrentStock]]&lt;Table1[[#This Row],[ReorderLevel]],"Reorder","Okay")</f>
        <v>Reorder</v>
      </c>
    </row>
    <row r="1472" spans="1:15" x14ac:dyDescent="0.3">
      <c r="A1472">
        <v>94731</v>
      </c>
      <c r="B1472" t="s">
        <v>16</v>
      </c>
      <c r="C1472" t="s">
        <v>30</v>
      </c>
      <c r="D1472">
        <v>417</v>
      </c>
      <c r="E1472">
        <v>150</v>
      </c>
      <c r="F1472">
        <v>414.34</v>
      </c>
      <c r="G1472" t="s">
        <v>36</v>
      </c>
      <c r="H1472" s="1">
        <v>45530</v>
      </c>
      <c r="I1472" s="1">
        <v>45541</v>
      </c>
      <c r="J1472" t="s">
        <v>38</v>
      </c>
      <c r="K1472" t="b">
        <f>Table1[[#This Row],[CurrentStock]]&lt;Table1[[#This Row],[ReorderLevel]]</f>
        <v>0</v>
      </c>
      <c r="L1472" s="9">
        <f>Table1[[#This Row],[CurrentStock]]*Table1[[#This Row],[UnitPrice]]</f>
        <v>172779.78</v>
      </c>
      <c r="M1472" t="str">
        <f>IF(Table1[[#This Row],[ReorderLevel]]-Table1[[#This Row],[CurrentStock]]&gt;0,Table1[[#This Row],[ReorderLevel]]-Table1[[#This Row],[CurrentStock]],"")</f>
        <v/>
      </c>
      <c r="N1472" t="str">
        <f>IF(Table1[[#This Row],[CurrentStock]]&gt;Table1[[#This Row],[ReorderLevel]]*3,"Over Stock","Okay")</f>
        <v>Okay</v>
      </c>
      <c r="O1472" t="str">
        <f>IF(Table1[[#This Row],[CurrentStock]]&lt;Table1[[#This Row],[ReorderLevel]],"Reorder","Okay")</f>
        <v>Okay</v>
      </c>
    </row>
    <row r="1473" spans="1:15" x14ac:dyDescent="0.3">
      <c r="A1473">
        <v>47869</v>
      </c>
      <c r="B1473" t="s">
        <v>11</v>
      </c>
      <c r="C1473" t="s">
        <v>27</v>
      </c>
      <c r="D1473">
        <v>307</v>
      </c>
      <c r="E1473">
        <v>150</v>
      </c>
      <c r="F1473">
        <v>271.72000000000003</v>
      </c>
      <c r="G1473" t="s">
        <v>33</v>
      </c>
      <c r="H1473" s="1">
        <v>45317</v>
      </c>
      <c r="I1473" s="1">
        <v>45347</v>
      </c>
      <c r="J1473" t="s">
        <v>39</v>
      </c>
      <c r="K1473" t="b">
        <f>Table1[[#This Row],[CurrentStock]]&lt;Table1[[#This Row],[ReorderLevel]]</f>
        <v>0</v>
      </c>
      <c r="L1473" s="9">
        <f>Table1[[#This Row],[CurrentStock]]*Table1[[#This Row],[UnitPrice]]</f>
        <v>83418.040000000008</v>
      </c>
      <c r="M1473" t="str">
        <f>IF(Table1[[#This Row],[ReorderLevel]]-Table1[[#This Row],[CurrentStock]]&gt;0,Table1[[#This Row],[ReorderLevel]]-Table1[[#This Row],[CurrentStock]],"")</f>
        <v/>
      </c>
      <c r="N1473" t="str">
        <f>IF(Table1[[#This Row],[CurrentStock]]&gt;Table1[[#This Row],[ReorderLevel]]*3,"Over Stock","Okay")</f>
        <v>Okay</v>
      </c>
      <c r="O1473" t="str">
        <f>IF(Table1[[#This Row],[CurrentStock]]&lt;Table1[[#This Row],[ReorderLevel]],"Reorder","Okay")</f>
        <v>Okay</v>
      </c>
    </row>
    <row r="1474" spans="1:15" x14ac:dyDescent="0.3">
      <c r="A1474">
        <v>11711</v>
      </c>
      <c r="B1474" t="s">
        <v>24</v>
      </c>
      <c r="C1474" t="s">
        <v>31</v>
      </c>
      <c r="D1474">
        <v>244</v>
      </c>
      <c r="E1474">
        <v>100</v>
      </c>
      <c r="F1474">
        <v>224.97</v>
      </c>
      <c r="G1474" t="s">
        <v>33</v>
      </c>
      <c r="H1474" s="1">
        <v>45496</v>
      </c>
      <c r="I1474" s="1">
        <v>45527</v>
      </c>
      <c r="J1474" t="s">
        <v>39</v>
      </c>
      <c r="K1474" t="b">
        <f>Table1[[#This Row],[CurrentStock]]&lt;Table1[[#This Row],[ReorderLevel]]</f>
        <v>0</v>
      </c>
      <c r="L1474" s="9">
        <f>Table1[[#This Row],[CurrentStock]]*Table1[[#This Row],[UnitPrice]]</f>
        <v>54892.68</v>
      </c>
      <c r="M1474" t="str">
        <f>IF(Table1[[#This Row],[ReorderLevel]]-Table1[[#This Row],[CurrentStock]]&gt;0,Table1[[#This Row],[ReorderLevel]]-Table1[[#This Row],[CurrentStock]],"")</f>
        <v/>
      </c>
      <c r="N1474" t="str">
        <f>IF(Table1[[#This Row],[CurrentStock]]&gt;Table1[[#This Row],[ReorderLevel]]*3,"Over Stock","Okay")</f>
        <v>Okay</v>
      </c>
      <c r="O1474" t="str">
        <f>IF(Table1[[#This Row],[CurrentStock]]&lt;Table1[[#This Row],[ReorderLevel]],"Reorder","Okay")</f>
        <v>Okay</v>
      </c>
    </row>
    <row r="1475" spans="1:15" x14ac:dyDescent="0.3">
      <c r="A1475">
        <v>26220</v>
      </c>
      <c r="B1475" t="s">
        <v>12</v>
      </c>
      <c r="C1475" t="s">
        <v>28</v>
      </c>
      <c r="D1475">
        <v>22</v>
      </c>
      <c r="E1475">
        <v>150</v>
      </c>
      <c r="F1475">
        <v>454.9</v>
      </c>
      <c r="G1475" t="s">
        <v>35</v>
      </c>
      <c r="H1475" s="1">
        <v>45318</v>
      </c>
      <c r="I1475" s="1">
        <v>45346</v>
      </c>
      <c r="J1475" t="s">
        <v>38</v>
      </c>
      <c r="K1475" t="b">
        <f>Table1[[#This Row],[CurrentStock]]&lt;Table1[[#This Row],[ReorderLevel]]</f>
        <v>1</v>
      </c>
      <c r="L1475" s="9">
        <f>Table1[[#This Row],[CurrentStock]]*Table1[[#This Row],[UnitPrice]]</f>
        <v>10007.799999999999</v>
      </c>
      <c r="M1475">
        <f>IF(Table1[[#This Row],[ReorderLevel]]-Table1[[#This Row],[CurrentStock]]&gt;0,Table1[[#This Row],[ReorderLevel]]-Table1[[#This Row],[CurrentStock]],"")</f>
        <v>128</v>
      </c>
      <c r="N1475" t="str">
        <f>IF(Table1[[#This Row],[CurrentStock]]&gt;Table1[[#This Row],[ReorderLevel]]*3,"Over Stock","Okay")</f>
        <v>Okay</v>
      </c>
      <c r="O1475" t="str">
        <f>IF(Table1[[#This Row],[CurrentStock]]&lt;Table1[[#This Row],[ReorderLevel]],"Reorder","Okay")</f>
        <v>Reorder</v>
      </c>
    </row>
    <row r="1476" spans="1:15" x14ac:dyDescent="0.3">
      <c r="A1476">
        <v>85205</v>
      </c>
      <c r="B1476" t="s">
        <v>13</v>
      </c>
      <c r="C1476" t="s">
        <v>29</v>
      </c>
      <c r="D1476">
        <v>91</v>
      </c>
      <c r="E1476">
        <v>40</v>
      </c>
      <c r="F1476">
        <v>354.12</v>
      </c>
      <c r="G1476" t="s">
        <v>35</v>
      </c>
      <c r="H1476" s="1">
        <v>45591</v>
      </c>
      <c r="I1476" s="1">
        <v>45602</v>
      </c>
      <c r="J1476" t="s">
        <v>37</v>
      </c>
      <c r="K1476" t="b">
        <f>Table1[[#This Row],[CurrentStock]]&lt;Table1[[#This Row],[ReorderLevel]]</f>
        <v>0</v>
      </c>
      <c r="L1476" s="9">
        <f>Table1[[#This Row],[CurrentStock]]*Table1[[#This Row],[UnitPrice]]</f>
        <v>32224.920000000002</v>
      </c>
      <c r="M1476" t="str">
        <f>IF(Table1[[#This Row],[ReorderLevel]]-Table1[[#This Row],[CurrentStock]]&gt;0,Table1[[#This Row],[ReorderLevel]]-Table1[[#This Row],[CurrentStock]],"")</f>
        <v/>
      </c>
      <c r="N1476" t="str">
        <f>IF(Table1[[#This Row],[CurrentStock]]&gt;Table1[[#This Row],[ReorderLevel]]*3,"Over Stock","Okay")</f>
        <v>Okay</v>
      </c>
      <c r="O1476" t="str">
        <f>IF(Table1[[#This Row],[CurrentStock]]&lt;Table1[[#This Row],[ReorderLevel]],"Reorder","Okay")</f>
        <v>Okay</v>
      </c>
    </row>
    <row r="1477" spans="1:15" x14ac:dyDescent="0.3">
      <c r="A1477">
        <v>69453</v>
      </c>
      <c r="B1477" t="s">
        <v>20</v>
      </c>
      <c r="C1477" t="s">
        <v>29</v>
      </c>
      <c r="D1477">
        <v>358</v>
      </c>
      <c r="E1477">
        <v>100</v>
      </c>
      <c r="F1477">
        <v>462.69</v>
      </c>
      <c r="G1477" t="s">
        <v>35</v>
      </c>
      <c r="H1477" s="1">
        <v>45633</v>
      </c>
      <c r="I1477" s="1">
        <v>45671</v>
      </c>
      <c r="J1477" t="s">
        <v>37</v>
      </c>
      <c r="K1477" t="b">
        <f>Table1[[#This Row],[CurrentStock]]&lt;Table1[[#This Row],[ReorderLevel]]</f>
        <v>0</v>
      </c>
      <c r="L1477" s="9">
        <f>Table1[[#This Row],[CurrentStock]]*Table1[[#This Row],[UnitPrice]]</f>
        <v>165643.01999999999</v>
      </c>
      <c r="M1477" t="str">
        <f>IF(Table1[[#This Row],[ReorderLevel]]-Table1[[#This Row],[CurrentStock]]&gt;0,Table1[[#This Row],[ReorderLevel]]-Table1[[#This Row],[CurrentStock]],"")</f>
        <v/>
      </c>
      <c r="N1477" t="str">
        <f>IF(Table1[[#This Row],[CurrentStock]]&gt;Table1[[#This Row],[ReorderLevel]]*3,"Over Stock","Okay")</f>
        <v>Over Stock</v>
      </c>
      <c r="O1477" t="str">
        <f>IF(Table1[[#This Row],[CurrentStock]]&lt;Table1[[#This Row],[ReorderLevel]],"Reorder","Okay")</f>
        <v>Okay</v>
      </c>
    </row>
    <row r="1478" spans="1:15" x14ac:dyDescent="0.3">
      <c r="A1478">
        <v>52287</v>
      </c>
      <c r="B1478" t="s">
        <v>21</v>
      </c>
      <c r="C1478" t="s">
        <v>31</v>
      </c>
      <c r="D1478">
        <v>315</v>
      </c>
      <c r="E1478">
        <v>30</v>
      </c>
      <c r="F1478">
        <v>68.5</v>
      </c>
      <c r="G1478" t="s">
        <v>36</v>
      </c>
      <c r="H1478" s="1">
        <v>45638</v>
      </c>
      <c r="I1478" s="1">
        <v>45656</v>
      </c>
      <c r="J1478" t="s">
        <v>37</v>
      </c>
      <c r="K1478" t="b">
        <f>Table1[[#This Row],[CurrentStock]]&lt;Table1[[#This Row],[ReorderLevel]]</f>
        <v>0</v>
      </c>
      <c r="L1478" s="9">
        <f>Table1[[#This Row],[CurrentStock]]*Table1[[#This Row],[UnitPrice]]</f>
        <v>21577.5</v>
      </c>
      <c r="M1478" t="str">
        <f>IF(Table1[[#This Row],[ReorderLevel]]-Table1[[#This Row],[CurrentStock]]&gt;0,Table1[[#This Row],[ReorderLevel]]-Table1[[#This Row],[CurrentStock]],"")</f>
        <v/>
      </c>
      <c r="N1478" t="str">
        <f>IF(Table1[[#This Row],[CurrentStock]]&gt;Table1[[#This Row],[ReorderLevel]]*3,"Over Stock","Okay")</f>
        <v>Over Stock</v>
      </c>
      <c r="O1478" t="str">
        <f>IF(Table1[[#This Row],[CurrentStock]]&lt;Table1[[#This Row],[ReorderLevel]],"Reorder","Okay")</f>
        <v>Okay</v>
      </c>
    </row>
    <row r="1479" spans="1:15" x14ac:dyDescent="0.3">
      <c r="A1479">
        <v>59625</v>
      </c>
      <c r="B1479" t="s">
        <v>11</v>
      </c>
      <c r="C1479" t="s">
        <v>27</v>
      </c>
      <c r="D1479">
        <v>219</v>
      </c>
      <c r="E1479">
        <v>150</v>
      </c>
      <c r="F1479">
        <v>365.06</v>
      </c>
      <c r="G1479" t="s">
        <v>34</v>
      </c>
      <c r="H1479" s="1">
        <v>45508</v>
      </c>
      <c r="I1479" s="1">
        <v>45516</v>
      </c>
      <c r="J1479" t="s">
        <v>39</v>
      </c>
      <c r="K1479" t="b">
        <f>Table1[[#This Row],[CurrentStock]]&lt;Table1[[#This Row],[ReorderLevel]]</f>
        <v>0</v>
      </c>
      <c r="L1479" s="9">
        <f>Table1[[#This Row],[CurrentStock]]*Table1[[#This Row],[UnitPrice]]</f>
        <v>79948.14</v>
      </c>
      <c r="M1479" t="str">
        <f>IF(Table1[[#This Row],[ReorderLevel]]-Table1[[#This Row],[CurrentStock]]&gt;0,Table1[[#This Row],[ReorderLevel]]-Table1[[#This Row],[CurrentStock]],"")</f>
        <v/>
      </c>
      <c r="N1479" t="str">
        <f>IF(Table1[[#This Row],[CurrentStock]]&gt;Table1[[#This Row],[ReorderLevel]]*3,"Over Stock","Okay")</f>
        <v>Okay</v>
      </c>
      <c r="O1479" t="str">
        <f>IF(Table1[[#This Row],[CurrentStock]]&lt;Table1[[#This Row],[ReorderLevel]],"Reorder","Okay")</f>
        <v>Okay</v>
      </c>
    </row>
    <row r="1480" spans="1:15" x14ac:dyDescent="0.3">
      <c r="A1480">
        <v>58786</v>
      </c>
      <c r="B1480" t="s">
        <v>20</v>
      </c>
      <c r="C1480" t="s">
        <v>29</v>
      </c>
      <c r="D1480">
        <v>16</v>
      </c>
      <c r="E1480">
        <v>150</v>
      </c>
      <c r="F1480">
        <v>37.18</v>
      </c>
      <c r="G1480" t="s">
        <v>33</v>
      </c>
      <c r="H1480" s="1">
        <v>45353</v>
      </c>
      <c r="I1480" s="1">
        <v>45362</v>
      </c>
      <c r="J1480" t="s">
        <v>38</v>
      </c>
      <c r="K1480" t="b">
        <f>Table1[[#This Row],[CurrentStock]]&lt;Table1[[#This Row],[ReorderLevel]]</f>
        <v>1</v>
      </c>
      <c r="L1480" s="9">
        <f>Table1[[#This Row],[CurrentStock]]*Table1[[#This Row],[UnitPrice]]</f>
        <v>594.88</v>
      </c>
      <c r="M1480">
        <f>IF(Table1[[#This Row],[ReorderLevel]]-Table1[[#This Row],[CurrentStock]]&gt;0,Table1[[#This Row],[ReorderLevel]]-Table1[[#This Row],[CurrentStock]],"")</f>
        <v>134</v>
      </c>
      <c r="N1480" t="str">
        <f>IF(Table1[[#This Row],[CurrentStock]]&gt;Table1[[#This Row],[ReorderLevel]]*3,"Over Stock","Okay")</f>
        <v>Okay</v>
      </c>
      <c r="O1480" t="str">
        <f>IF(Table1[[#This Row],[CurrentStock]]&lt;Table1[[#This Row],[ReorderLevel]],"Reorder","Okay")</f>
        <v>Reorder</v>
      </c>
    </row>
    <row r="1481" spans="1:15" x14ac:dyDescent="0.3">
      <c r="A1481">
        <v>56489</v>
      </c>
      <c r="B1481" t="s">
        <v>12</v>
      </c>
      <c r="C1481" t="s">
        <v>28</v>
      </c>
      <c r="D1481">
        <v>430</v>
      </c>
      <c r="E1481">
        <v>150</v>
      </c>
      <c r="F1481">
        <v>147.16999999999999</v>
      </c>
      <c r="G1481" t="s">
        <v>35</v>
      </c>
      <c r="H1481" s="1">
        <v>45521</v>
      </c>
      <c r="I1481" s="1">
        <v>45550</v>
      </c>
      <c r="J1481" t="s">
        <v>38</v>
      </c>
      <c r="K1481" t="b">
        <f>Table1[[#This Row],[CurrentStock]]&lt;Table1[[#This Row],[ReorderLevel]]</f>
        <v>0</v>
      </c>
      <c r="L1481" s="9">
        <f>Table1[[#This Row],[CurrentStock]]*Table1[[#This Row],[UnitPrice]]</f>
        <v>63283.099999999991</v>
      </c>
      <c r="M1481" t="str">
        <f>IF(Table1[[#This Row],[ReorderLevel]]-Table1[[#This Row],[CurrentStock]]&gt;0,Table1[[#This Row],[ReorderLevel]]-Table1[[#This Row],[CurrentStock]],"")</f>
        <v/>
      </c>
      <c r="N1481" t="str">
        <f>IF(Table1[[#This Row],[CurrentStock]]&gt;Table1[[#This Row],[ReorderLevel]]*3,"Over Stock","Okay")</f>
        <v>Okay</v>
      </c>
      <c r="O1481" t="str">
        <f>IF(Table1[[#This Row],[CurrentStock]]&lt;Table1[[#This Row],[ReorderLevel]],"Reorder","Okay")</f>
        <v>Okay</v>
      </c>
    </row>
    <row r="1482" spans="1:15" x14ac:dyDescent="0.3">
      <c r="A1482">
        <v>17802</v>
      </c>
      <c r="B1482" t="s">
        <v>21</v>
      </c>
      <c r="C1482" t="s">
        <v>31</v>
      </c>
      <c r="D1482">
        <v>249</v>
      </c>
      <c r="E1482">
        <v>20</v>
      </c>
      <c r="F1482">
        <v>51.96</v>
      </c>
      <c r="G1482" t="s">
        <v>33</v>
      </c>
      <c r="H1482" s="1">
        <v>45567</v>
      </c>
      <c r="I1482" s="1">
        <v>45581</v>
      </c>
      <c r="J1482" t="s">
        <v>37</v>
      </c>
      <c r="K1482" t="b">
        <f>Table1[[#This Row],[CurrentStock]]&lt;Table1[[#This Row],[ReorderLevel]]</f>
        <v>0</v>
      </c>
      <c r="L1482" s="9">
        <f>Table1[[#This Row],[CurrentStock]]*Table1[[#This Row],[UnitPrice]]</f>
        <v>12938.04</v>
      </c>
      <c r="M1482" t="str">
        <f>IF(Table1[[#This Row],[ReorderLevel]]-Table1[[#This Row],[CurrentStock]]&gt;0,Table1[[#This Row],[ReorderLevel]]-Table1[[#This Row],[CurrentStock]],"")</f>
        <v/>
      </c>
      <c r="N1482" t="str">
        <f>IF(Table1[[#This Row],[CurrentStock]]&gt;Table1[[#This Row],[ReorderLevel]]*3,"Over Stock","Okay")</f>
        <v>Over Stock</v>
      </c>
      <c r="O1482" t="str">
        <f>IF(Table1[[#This Row],[CurrentStock]]&lt;Table1[[#This Row],[ReorderLevel]],"Reorder","Okay")</f>
        <v>Okay</v>
      </c>
    </row>
    <row r="1483" spans="1:15" x14ac:dyDescent="0.3">
      <c r="A1483">
        <v>50324</v>
      </c>
      <c r="B1483" t="s">
        <v>22</v>
      </c>
      <c r="C1483" t="s">
        <v>27</v>
      </c>
      <c r="D1483">
        <v>39</v>
      </c>
      <c r="E1483">
        <v>20</v>
      </c>
      <c r="F1483">
        <v>92.64</v>
      </c>
      <c r="G1483" t="s">
        <v>33</v>
      </c>
      <c r="H1483" s="1">
        <v>45362</v>
      </c>
      <c r="I1483" s="1">
        <v>45375</v>
      </c>
      <c r="J1483" t="s">
        <v>38</v>
      </c>
      <c r="K1483" t="b">
        <f>Table1[[#This Row],[CurrentStock]]&lt;Table1[[#This Row],[ReorderLevel]]</f>
        <v>0</v>
      </c>
      <c r="L1483" s="9">
        <f>Table1[[#This Row],[CurrentStock]]*Table1[[#This Row],[UnitPrice]]</f>
        <v>3612.96</v>
      </c>
      <c r="M1483" t="str">
        <f>IF(Table1[[#This Row],[ReorderLevel]]-Table1[[#This Row],[CurrentStock]]&gt;0,Table1[[#This Row],[ReorderLevel]]-Table1[[#This Row],[CurrentStock]],"")</f>
        <v/>
      </c>
      <c r="N1483" t="str">
        <f>IF(Table1[[#This Row],[CurrentStock]]&gt;Table1[[#This Row],[ReorderLevel]]*3,"Over Stock","Okay")</f>
        <v>Okay</v>
      </c>
      <c r="O1483" t="str">
        <f>IF(Table1[[#This Row],[CurrentStock]]&lt;Table1[[#This Row],[ReorderLevel]],"Reorder","Okay")</f>
        <v>Okay</v>
      </c>
    </row>
    <row r="1484" spans="1:15" x14ac:dyDescent="0.3">
      <c r="A1484">
        <v>73140</v>
      </c>
      <c r="B1484" t="s">
        <v>15</v>
      </c>
      <c r="C1484" t="s">
        <v>29</v>
      </c>
      <c r="D1484">
        <v>344</v>
      </c>
      <c r="E1484">
        <v>20</v>
      </c>
      <c r="F1484">
        <v>108.92</v>
      </c>
      <c r="G1484" t="s">
        <v>36</v>
      </c>
      <c r="H1484" s="1">
        <v>45430</v>
      </c>
      <c r="I1484" s="1">
        <v>45451</v>
      </c>
      <c r="J1484" t="s">
        <v>39</v>
      </c>
      <c r="K1484" t="b">
        <f>Table1[[#This Row],[CurrentStock]]&lt;Table1[[#This Row],[ReorderLevel]]</f>
        <v>0</v>
      </c>
      <c r="L1484" s="9">
        <f>Table1[[#This Row],[CurrentStock]]*Table1[[#This Row],[UnitPrice]]</f>
        <v>37468.480000000003</v>
      </c>
      <c r="M1484" t="str">
        <f>IF(Table1[[#This Row],[ReorderLevel]]-Table1[[#This Row],[CurrentStock]]&gt;0,Table1[[#This Row],[ReorderLevel]]-Table1[[#This Row],[CurrentStock]],"")</f>
        <v/>
      </c>
      <c r="N1484" t="str">
        <f>IF(Table1[[#This Row],[CurrentStock]]&gt;Table1[[#This Row],[ReorderLevel]]*3,"Over Stock","Okay")</f>
        <v>Over Stock</v>
      </c>
      <c r="O1484" t="str">
        <f>IF(Table1[[#This Row],[CurrentStock]]&lt;Table1[[#This Row],[ReorderLevel]],"Reorder","Okay")</f>
        <v>Okay</v>
      </c>
    </row>
    <row r="1485" spans="1:15" x14ac:dyDescent="0.3">
      <c r="A1485">
        <v>78344</v>
      </c>
      <c r="B1485" t="s">
        <v>20</v>
      </c>
      <c r="C1485" t="s">
        <v>29</v>
      </c>
      <c r="D1485">
        <v>361</v>
      </c>
      <c r="E1485">
        <v>80</v>
      </c>
      <c r="F1485">
        <v>329.95</v>
      </c>
      <c r="G1485" t="s">
        <v>33</v>
      </c>
      <c r="H1485" s="1">
        <v>45489</v>
      </c>
      <c r="I1485" s="1">
        <v>45514</v>
      </c>
      <c r="J1485" t="s">
        <v>39</v>
      </c>
      <c r="K1485" t="b">
        <f>Table1[[#This Row],[CurrentStock]]&lt;Table1[[#This Row],[ReorderLevel]]</f>
        <v>0</v>
      </c>
      <c r="L1485" s="9">
        <f>Table1[[#This Row],[CurrentStock]]*Table1[[#This Row],[UnitPrice]]</f>
        <v>119111.95</v>
      </c>
      <c r="M1485" t="str">
        <f>IF(Table1[[#This Row],[ReorderLevel]]-Table1[[#This Row],[CurrentStock]]&gt;0,Table1[[#This Row],[ReorderLevel]]-Table1[[#This Row],[CurrentStock]],"")</f>
        <v/>
      </c>
      <c r="N1485" t="str">
        <f>IF(Table1[[#This Row],[CurrentStock]]&gt;Table1[[#This Row],[ReorderLevel]]*3,"Over Stock","Okay")</f>
        <v>Over Stock</v>
      </c>
      <c r="O1485" t="str">
        <f>IF(Table1[[#This Row],[CurrentStock]]&lt;Table1[[#This Row],[ReorderLevel]],"Reorder","Okay")</f>
        <v>Okay</v>
      </c>
    </row>
    <row r="1486" spans="1:15" x14ac:dyDescent="0.3">
      <c r="A1486">
        <v>39236</v>
      </c>
      <c r="B1486" t="s">
        <v>24</v>
      </c>
      <c r="C1486" t="s">
        <v>31</v>
      </c>
      <c r="D1486">
        <v>463</v>
      </c>
      <c r="E1486">
        <v>20</v>
      </c>
      <c r="F1486">
        <v>377.47</v>
      </c>
      <c r="G1486" t="s">
        <v>36</v>
      </c>
      <c r="H1486" s="1">
        <v>45573</v>
      </c>
      <c r="I1486" s="1">
        <v>45596</v>
      </c>
      <c r="J1486" t="s">
        <v>37</v>
      </c>
      <c r="K1486" t="b">
        <f>Table1[[#This Row],[CurrentStock]]&lt;Table1[[#This Row],[ReorderLevel]]</f>
        <v>0</v>
      </c>
      <c r="L1486" s="9">
        <f>Table1[[#This Row],[CurrentStock]]*Table1[[#This Row],[UnitPrice]]</f>
        <v>174768.61000000002</v>
      </c>
      <c r="M1486" t="str">
        <f>IF(Table1[[#This Row],[ReorderLevel]]-Table1[[#This Row],[CurrentStock]]&gt;0,Table1[[#This Row],[ReorderLevel]]-Table1[[#This Row],[CurrentStock]],"")</f>
        <v/>
      </c>
      <c r="N1486" t="str">
        <f>IF(Table1[[#This Row],[CurrentStock]]&gt;Table1[[#This Row],[ReorderLevel]]*3,"Over Stock","Okay")</f>
        <v>Over Stock</v>
      </c>
      <c r="O1486" t="str">
        <f>IF(Table1[[#This Row],[CurrentStock]]&lt;Table1[[#This Row],[ReorderLevel]],"Reorder","Okay")</f>
        <v>Okay</v>
      </c>
    </row>
    <row r="1487" spans="1:15" x14ac:dyDescent="0.3">
      <c r="A1487">
        <v>76084</v>
      </c>
      <c r="B1487" t="s">
        <v>26</v>
      </c>
      <c r="C1487" t="s">
        <v>30</v>
      </c>
      <c r="D1487">
        <v>360</v>
      </c>
      <c r="E1487">
        <v>80</v>
      </c>
      <c r="F1487">
        <v>129.84</v>
      </c>
      <c r="G1487" t="s">
        <v>35</v>
      </c>
      <c r="H1487" s="1">
        <v>45372</v>
      </c>
      <c r="I1487" s="1">
        <v>45377</v>
      </c>
      <c r="J1487" t="s">
        <v>39</v>
      </c>
      <c r="K1487" t="b">
        <f>Table1[[#This Row],[CurrentStock]]&lt;Table1[[#This Row],[ReorderLevel]]</f>
        <v>0</v>
      </c>
      <c r="L1487" s="9">
        <f>Table1[[#This Row],[CurrentStock]]*Table1[[#This Row],[UnitPrice]]</f>
        <v>46742.400000000001</v>
      </c>
      <c r="M1487" t="str">
        <f>IF(Table1[[#This Row],[ReorderLevel]]-Table1[[#This Row],[CurrentStock]]&gt;0,Table1[[#This Row],[ReorderLevel]]-Table1[[#This Row],[CurrentStock]],"")</f>
        <v/>
      </c>
      <c r="N1487" t="str">
        <f>IF(Table1[[#This Row],[CurrentStock]]&gt;Table1[[#This Row],[ReorderLevel]]*3,"Over Stock","Okay")</f>
        <v>Over Stock</v>
      </c>
      <c r="O1487" t="str">
        <f>IF(Table1[[#This Row],[CurrentStock]]&lt;Table1[[#This Row],[ReorderLevel]],"Reorder","Okay")</f>
        <v>Okay</v>
      </c>
    </row>
    <row r="1488" spans="1:15" x14ac:dyDescent="0.3">
      <c r="A1488">
        <v>21467</v>
      </c>
      <c r="B1488" t="s">
        <v>21</v>
      </c>
      <c r="C1488" t="s">
        <v>31</v>
      </c>
      <c r="D1488">
        <v>58</v>
      </c>
      <c r="E1488">
        <v>20</v>
      </c>
      <c r="F1488">
        <v>250.39</v>
      </c>
      <c r="G1488" t="s">
        <v>32</v>
      </c>
      <c r="H1488" s="1">
        <v>45584</v>
      </c>
      <c r="I1488" s="1">
        <v>45619</v>
      </c>
      <c r="J1488" t="s">
        <v>39</v>
      </c>
      <c r="K1488" t="b">
        <f>Table1[[#This Row],[CurrentStock]]&lt;Table1[[#This Row],[ReorderLevel]]</f>
        <v>0</v>
      </c>
      <c r="L1488" s="9">
        <f>Table1[[#This Row],[CurrentStock]]*Table1[[#This Row],[UnitPrice]]</f>
        <v>14522.619999999999</v>
      </c>
      <c r="M1488" t="str">
        <f>IF(Table1[[#This Row],[ReorderLevel]]-Table1[[#This Row],[CurrentStock]]&gt;0,Table1[[#This Row],[ReorderLevel]]-Table1[[#This Row],[CurrentStock]],"")</f>
        <v/>
      </c>
      <c r="N1488" t="str">
        <f>IF(Table1[[#This Row],[CurrentStock]]&gt;Table1[[#This Row],[ReorderLevel]]*3,"Over Stock","Okay")</f>
        <v>Okay</v>
      </c>
      <c r="O1488" t="str">
        <f>IF(Table1[[#This Row],[CurrentStock]]&lt;Table1[[#This Row],[ReorderLevel]],"Reorder","Okay")</f>
        <v>Okay</v>
      </c>
    </row>
    <row r="1489" spans="1:15" x14ac:dyDescent="0.3">
      <c r="A1489">
        <v>79537</v>
      </c>
      <c r="B1489" t="s">
        <v>17</v>
      </c>
      <c r="C1489" t="s">
        <v>30</v>
      </c>
      <c r="D1489">
        <v>19</v>
      </c>
      <c r="E1489">
        <v>80</v>
      </c>
      <c r="F1489">
        <v>224.04</v>
      </c>
      <c r="G1489" t="s">
        <v>36</v>
      </c>
      <c r="H1489" s="1">
        <v>45337</v>
      </c>
      <c r="I1489" s="1">
        <v>45372</v>
      </c>
      <c r="J1489" t="s">
        <v>38</v>
      </c>
      <c r="K1489" t="b">
        <f>Table1[[#This Row],[CurrentStock]]&lt;Table1[[#This Row],[ReorderLevel]]</f>
        <v>1</v>
      </c>
      <c r="L1489" s="9">
        <f>Table1[[#This Row],[CurrentStock]]*Table1[[#This Row],[UnitPrice]]</f>
        <v>4256.76</v>
      </c>
      <c r="M1489">
        <f>IF(Table1[[#This Row],[ReorderLevel]]-Table1[[#This Row],[CurrentStock]]&gt;0,Table1[[#This Row],[ReorderLevel]]-Table1[[#This Row],[CurrentStock]],"")</f>
        <v>61</v>
      </c>
      <c r="N1489" t="str">
        <f>IF(Table1[[#This Row],[CurrentStock]]&gt;Table1[[#This Row],[ReorderLevel]]*3,"Over Stock","Okay")</f>
        <v>Okay</v>
      </c>
      <c r="O1489" t="str">
        <f>IF(Table1[[#This Row],[CurrentStock]]&lt;Table1[[#This Row],[ReorderLevel]],"Reorder","Okay")</f>
        <v>Reorder</v>
      </c>
    </row>
    <row r="1490" spans="1:15" x14ac:dyDescent="0.3">
      <c r="A1490">
        <v>19236</v>
      </c>
      <c r="B1490" t="s">
        <v>19</v>
      </c>
      <c r="C1490" t="s">
        <v>28</v>
      </c>
      <c r="D1490">
        <v>202</v>
      </c>
      <c r="E1490">
        <v>20</v>
      </c>
      <c r="F1490">
        <v>336.32</v>
      </c>
      <c r="G1490" t="s">
        <v>33</v>
      </c>
      <c r="H1490" s="1">
        <v>45465</v>
      </c>
      <c r="I1490" s="1">
        <v>45478</v>
      </c>
      <c r="J1490" t="s">
        <v>39</v>
      </c>
      <c r="K1490" t="b">
        <f>Table1[[#This Row],[CurrentStock]]&lt;Table1[[#This Row],[ReorderLevel]]</f>
        <v>0</v>
      </c>
      <c r="L1490" s="9">
        <f>Table1[[#This Row],[CurrentStock]]*Table1[[#This Row],[UnitPrice]]</f>
        <v>67936.639999999999</v>
      </c>
      <c r="M1490" t="str">
        <f>IF(Table1[[#This Row],[ReorderLevel]]-Table1[[#This Row],[CurrentStock]]&gt;0,Table1[[#This Row],[ReorderLevel]]-Table1[[#This Row],[CurrentStock]],"")</f>
        <v/>
      </c>
      <c r="N1490" t="str">
        <f>IF(Table1[[#This Row],[CurrentStock]]&gt;Table1[[#This Row],[ReorderLevel]]*3,"Over Stock","Okay")</f>
        <v>Over Stock</v>
      </c>
      <c r="O1490" t="str">
        <f>IF(Table1[[#This Row],[CurrentStock]]&lt;Table1[[#This Row],[ReorderLevel]],"Reorder","Okay")</f>
        <v>Okay</v>
      </c>
    </row>
    <row r="1491" spans="1:15" x14ac:dyDescent="0.3">
      <c r="A1491">
        <v>30096</v>
      </c>
      <c r="B1491" t="s">
        <v>16</v>
      </c>
      <c r="C1491" t="s">
        <v>30</v>
      </c>
      <c r="D1491">
        <v>328</v>
      </c>
      <c r="E1491">
        <v>80</v>
      </c>
      <c r="F1491">
        <v>191.54</v>
      </c>
      <c r="G1491" t="s">
        <v>36</v>
      </c>
      <c r="H1491" s="1">
        <v>45459</v>
      </c>
      <c r="I1491" s="1">
        <v>45474</v>
      </c>
      <c r="J1491" t="s">
        <v>39</v>
      </c>
      <c r="K1491" t="b">
        <f>Table1[[#This Row],[CurrentStock]]&lt;Table1[[#This Row],[ReorderLevel]]</f>
        <v>0</v>
      </c>
      <c r="L1491" s="9">
        <f>Table1[[#This Row],[CurrentStock]]*Table1[[#This Row],[UnitPrice]]</f>
        <v>62825.119999999995</v>
      </c>
      <c r="M1491" t="str">
        <f>IF(Table1[[#This Row],[ReorderLevel]]-Table1[[#This Row],[CurrentStock]]&gt;0,Table1[[#This Row],[ReorderLevel]]-Table1[[#This Row],[CurrentStock]],"")</f>
        <v/>
      </c>
      <c r="N1491" t="str">
        <f>IF(Table1[[#This Row],[CurrentStock]]&gt;Table1[[#This Row],[ReorderLevel]]*3,"Over Stock","Okay")</f>
        <v>Over Stock</v>
      </c>
      <c r="O1491" t="str">
        <f>IF(Table1[[#This Row],[CurrentStock]]&lt;Table1[[#This Row],[ReorderLevel]],"Reorder","Okay")</f>
        <v>Okay</v>
      </c>
    </row>
    <row r="1492" spans="1:15" x14ac:dyDescent="0.3">
      <c r="A1492">
        <v>88229</v>
      </c>
      <c r="B1492" t="s">
        <v>12</v>
      </c>
      <c r="C1492" t="s">
        <v>28</v>
      </c>
      <c r="D1492">
        <v>317</v>
      </c>
      <c r="E1492">
        <v>100</v>
      </c>
      <c r="F1492">
        <v>177.61</v>
      </c>
      <c r="G1492" t="s">
        <v>33</v>
      </c>
      <c r="H1492" s="1">
        <v>45593</v>
      </c>
      <c r="I1492" s="1">
        <v>45602</v>
      </c>
      <c r="J1492" t="s">
        <v>37</v>
      </c>
      <c r="K1492" t="b">
        <f>Table1[[#This Row],[CurrentStock]]&lt;Table1[[#This Row],[ReorderLevel]]</f>
        <v>0</v>
      </c>
      <c r="L1492" s="9">
        <f>Table1[[#This Row],[CurrentStock]]*Table1[[#This Row],[UnitPrice]]</f>
        <v>56302.37</v>
      </c>
      <c r="M1492" t="str">
        <f>IF(Table1[[#This Row],[ReorderLevel]]-Table1[[#This Row],[CurrentStock]]&gt;0,Table1[[#This Row],[ReorderLevel]]-Table1[[#This Row],[CurrentStock]],"")</f>
        <v/>
      </c>
      <c r="N1492" t="str">
        <f>IF(Table1[[#This Row],[CurrentStock]]&gt;Table1[[#This Row],[ReorderLevel]]*3,"Over Stock","Okay")</f>
        <v>Over Stock</v>
      </c>
      <c r="O1492" t="str">
        <f>IF(Table1[[#This Row],[CurrentStock]]&lt;Table1[[#This Row],[ReorderLevel]],"Reorder","Okay")</f>
        <v>Okay</v>
      </c>
    </row>
    <row r="1493" spans="1:15" x14ac:dyDescent="0.3">
      <c r="A1493">
        <v>50178</v>
      </c>
      <c r="B1493" t="s">
        <v>15</v>
      </c>
      <c r="C1493" t="s">
        <v>29</v>
      </c>
      <c r="D1493">
        <v>494</v>
      </c>
      <c r="E1493">
        <v>150</v>
      </c>
      <c r="F1493">
        <v>330.65</v>
      </c>
      <c r="G1493" t="s">
        <v>34</v>
      </c>
      <c r="H1493" s="1">
        <v>45322</v>
      </c>
      <c r="I1493" s="1">
        <v>45338</v>
      </c>
      <c r="J1493" t="s">
        <v>39</v>
      </c>
      <c r="K1493" t="b">
        <f>Table1[[#This Row],[CurrentStock]]&lt;Table1[[#This Row],[ReorderLevel]]</f>
        <v>0</v>
      </c>
      <c r="L1493" s="9">
        <f>Table1[[#This Row],[CurrentStock]]*Table1[[#This Row],[UnitPrice]]</f>
        <v>163341.09999999998</v>
      </c>
      <c r="M1493" t="str">
        <f>IF(Table1[[#This Row],[ReorderLevel]]-Table1[[#This Row],[CurrentStock]]&gt;0,Table1[[#This Row],[ReorderLevel]]-Table1[[#This Row],[CurrentStock]],"")</f>
        <v/>
      </c>
      <c r="N1493" t="str">
        <f>IF(Table1[[#This Row],[CurrentStock]]&gt;Table1[[#This Row],[ReorderLevel]]*3,"Over Stock","Okay")</f>
        <v>Over Stock</v>
      </c>
      <c r="O1493" t="str">
        <f>IF(Table1[[#This Row],[CurrentStock]]&lt;Table1[[#This Row],[ReorderLevel]],"Reorder","Okay")</f>
        <v>Okay</v>
      </c>
    </row>
    <row r="1494" spans="1:15" x14ac:dyDescent="0.3">
      <c r="A1494">
        <v>82354</v>
      </c>
      <c r="B1494" t="s">
        <v>15</v>
      </c>
      <c r="C1494" t="s">
        <v>29</v>
      </c>
      <c r="D1494">
        <v>307</v>
      </c>
      <c r="E1494">
        <v>80</v>
      </c>
      <c r="F1494">
        <v>164.01</v>
      </c>
      <c r="G1494" t="s">
        <v>36</v>
      </c>
      <c r="H1494" s="1">
        <v>45572</v>
      </c>
      <c r="I1494" s="1">
        <v>45611</v>
      </c>
      <c r="J1494" t="s">
        <v>39</v>
      </c>
      <c r="K1494" t="b">
        <f>Table1[[#This Row],[CurrentStock]]&lt;Table1[[#This Row],[ReorderLevel]]</f>
        <v>0</v>
      </c>
      <c r="L1494" s="9">
        <f>Table1[[#This Row],[CurrentStock]]*Table1[[#This Row],[UnitPrice]]</f>
        <v>50351.07</v>
      </c>
      <c r="M1494" t="str">
        <f>IF(Table1[[#This Row],[ReorderLevel]]-Table1[[#This Row],[CurrentStock]]&gt;0,Table1[[#This Row],[ReorderLevel]]-Table1[[#This Row],[CurrentStock]],"")</f>
        <v/>
      </c>
      <c r="N1494" t="str">
        <f>IF(Table1[[#This Row],[CurrentStock]]&gt;Table1[[#This Row],[ReorderLevel]]*3,"Over Stock","Okay")</f>
        <v>Over Stock</v>
      </c>
      <c r="O1494" t="str">
        <f>IF(Table1[[#This Row],[CurrentStock]]&lt;Table1[[#This Row],[ReorderLevel]],"Reorder","Okay")</f>
        <v>Okay</v>
      </c>
    </row>
    <row r="1495" spans="1:15" x14ac:dyDescent="0.3">
      <c r="A1495">
        <v>78099</v>
      </c>
      <c r="B1495" t="s">
        <v>13</v>
      </c>
      <c r="C1495" t="s">
        <v>29</v>
      </c>
      <c r="D1495">
        <v>222</v>
      </c>
      <c r="E1495">
        <v>80</v>
      </c>
      <c r="F1495">
        <v>362.51</v>
      </c>
      <c r="G1495" t="s">
        <v>33</v>
      </c>
      <c r="H1495" s="1">
        <v>45483</v>
      </c>
      <c r="I1495" s="1">
        <v>45507</v>
      </c>
      <c r="J1495" t="s">
        <v>38</v>
      </c>
      <c r="K1495" t="b">
        <f>Table1[[#This Row],[CurrentStock]]&lt;Table1[[#This Row],[ReorderLevel]]</f>
        <v>0</v>
      </c>
      <c r="L1495" s="9">
        <f>Table1[[#This Row],[CurrentStock]]*Table1[[#This Row],[UnitPrice]]</f>
        <v>80477.22</v>
      </c>
      <c r="M1495" t="str">
        <f>IF(Table1[[#This Row],[ReorderLevel]]-Table1[[#This Row],[CurrentStock]]&gt;0,Table1[[#This Row],[ReorderLevel]]-Table1[[#This Row],[CurrentStock]],"")</f>
        <v/>
      </c>
      <c r="N1495" t="str">
        <f>IF(Table1[[#This Row],[CurrentStock]]&gt;Table1[[#This Row],[ReorderLevel]]*3,"Over Stock","Okay")</f>
        <v>Okay</v>
      </c>
      <c r="O1495" t="str">
        <f>IF(Table1[[#This Row],[CurrentStock]]&lt;Table1[[#This Row],[ReorderLevel]],"Reorder","Okay")</f>
        <v>Okay</v>
      </c>
    </row>
    <row r="1496" spans="1:15" x14ac:dyDescent="0.3">
      <c r="A1496">
        <v>26442</v>
      </c>
      <c r="B1496" t="s">
        <v>11</v>
      </c>
      <c r="C1496" t="s">
        <v>27</v>
      </c>
      <c r="D1496">
        <v>121</v>
      </c>
      <c r="E1496">
        <v>20</v>
      </c>
      <c r="F1496">
        <v>350.24</v>
      </c>
      <c r="G1496" t="s">
        <v>36</v>
      </c>
      <c r="H1496" s="1">
        <v>45649</v>
      </c>
      <c r="I1496" s="1">
        <v>45678</v>
      </c>
      <c r="J1496" t="s">
        <v>37</v>
      </c>
      <c r="K1496" t="b">
        <f>Table1[[#This Row],[CurrentStock]]&lt;Table1[[#This Row],[ReorderLevel]]</f>
        <v>0</v>
      </c>
      <c r="L1496" s="9">
        <f>Table1[[#This Row],[CurrentStock]]*Table1[[#This Row],[UnitPrice]]</f>
        <v>42379.040000000001</v>
      </c>
      <c r="M1496" t="str">
        <f>IF(Table1[[#This Row],[ReorderLevel]]-Table1[[#This Row],[CurrentStock]]&gt;0,Table1[[#This Row],[ReorderLevel]]-Table1[[#This Row],[CurrentStock]],"")</f>
        <v/>
      </c>
      <c r="N1496" t="str">
        <f>IF(Table1[[#This Row],[CurrentStock]]&gt;Table1[[#This Row],[ReorderLevel]]*3,"Over Stock","Okay")</f>
        <v>Over Stock</v>
      </c>
      <c r="O1496" t="str">
        <f>IF(Table1[[#This Row],[CurrentStock]]&lt;Table1[[#This Row],[ReorderLevel]],"Reorder","Okay")</f>
        <v>Okay</v>
      </c>
    </row>
    <row r="1497" spans="1:15" x14ac:dyDescent="0.3">
      <c r="A1497">
        <v>49309</v>
      </c>
      <c r="B1497" t="s">
        <v>16</v>
      </c>
      <c r="C1497" t="s">
        <v>30</v>
      </c>
      <c r="D1497">
        <v>269</v>
      </c>
      <c r="E1497">
        <v>150</v>
      </c>
      <c r="F1497">
        <v>65.2</v>
      </c>
      <c r="G1497" t="s">
        <v>35</v>
      </c>
      <c r="H1497" s="1">
        <v>45294</v>
      </c>
      <c r="I1497" s="1">
        <v>45314</v>
      </c>
      <c r="J1497" t="s">
        <v>38</v>
      </c>
      <c r="K1497" t="b">
        <f>Table1[[#This Row],[CurrentStock]]&lt;Table1[[#This Row],[ReorderLevel]]</f>
        <v>0</v>
      </c>
      <c r="L1497" s="9">
        <f>Table1[[#This Row],[CurrentStock]]*Table1[[#This Row],[UnitPrice]]</f>
        <v>17538.8</v>
      </c>
      <c r="M1497" t="str">
        <f>IF(Table1[[#This Row],[ReorderLevel]]-Table1[[#This Row],[CurrentStock]]&gt;0,Table1[[#This Row],[ReorderLevel]]-Table1[[#This Row],[CurrentStock]],"")</f>
        <v/>
      </c>
      <c r="N1497" t="str">
        <f>IF(Table1[[#This Row],[CurrentStock]]&gt;Table1[[#This Row],[ReorderLevel]]*3,"Over Stock","Okay")</f>
        <v>Okay</v>
      </c>
      <c r="O1497" t="str">
        <f>IF(Table1[[#This Row],[CurrentStock]]&lt;Table1[[#This Row],[ReorderLevel]],"Reorder","Okay")</f>
        <v>Okay</v>
      </c>
    </row>
    <row r="1498" spans="1:15" x14ac:dyDescent="0.3">
      <c r="A1498">
        <v>37215</v>
      </c>
      <c r="B1498" t="s">
        <v>16</v>
      </c>
      <c r="C1498" t="s">
        <v>30</v>
      </c>
      <c r="D1498">
        <v>435</v>
      </c>
      <c r="E1498">
        <v>30</v>
      </c>
      <c r="F1498">
        <v>203.84</v>
      </c>
      <c r="G1498" t="s">
        <v>33</v>
      </c>
      <c r="H1498" s="1">
        <v>45643</v>
      </c>
      <c r="I1498" s="1">
        <v>45652</v>
      </c>
      <c r="J1498" t="s">
        <v>39</v>
      </c>
      <c r="K1498" t="b">
        <f>Table1[[#This Row],[CurrentStock]]&lt;Table1[[#This Row],[ReorderLevel]]</f>
        <v>0</v>
      </c>
      <c r="L1498" s="9">
        <f>Table1[[#This Row],[CurrentStock]]*Table1[[#This Row],[UnitPrice]]</f>
        <v>88670.400000000009</v>
      </c>
      <c r="M1498" t="str">
        <f>IF(Table1[[#This Row],[ReorderLevel]]-Table1[[#This Row],[CurrentStock]]&gt;0,Table1[[#This Row],[ReorderLevel]]-Table1[[#This Row],[CurrentStock]],"")</f>
        <v/>
      </c>
      <c r="N1498" t="str">
        <f>IF(Table1[[#This Row],[CurrentStock]]&gt;Table1[[#This Row],[ReorderLevel]]*3,"Over Stock","Okay")</f>
        <v>Over Stock</v>
      </c>
      <c r="O1498" t="str">
        <f>IF(Table1[[#This Row],[CurrentStock]]&lt;Table1[[#This Row],[ReorderLevel]],"Reorder","Okay")</f>
        <v>Okay</v>
      </c>
    </row>
    <row r="1499" spans="1:15" x14ac:dyDescent="0.3">
      <c r="A1499">
        <v>26772</v>
      </c>
      <c r="B1499" t="s">
        <v>25</v>
      </c>
      <c r="C1499" t="s">
        <v>31</v>
      </c>
      <c r="D1499">
        <v>269</v>
      </c>
      <c r="E1499">
        <v>150</v>
      </c>
      <c r="F1499">
        <v>252.98</v>
      </c>
      <c r="G1499" t="s">
        <v>32</v>
      </c>
      <c r="H1499" s="1">
        <v>45588</v>
      </c>
      <c r="I1499" s="1">
        <v>45606</v>
      </c>
      <c r="J1499" t="s">
        <v>37</v>
      </c>
      <c r="K1499" t="b">
        <f>Table1[[#This Row],[CurrentStock]]&lt;Table1[[#This Row],[ReorderLevel]]</f>
        <v>0</v>
      </c>
      <c r="L1499" s="9">
        <f>Table1[[#This Row],[CurrentStock]]*Table1[[#This Row],[UnitPrice]]</f>
        <v>68051.62</v>
      </c>
      <c r="M1499" t="str">
        <f>IF(Table1[[#This Row],[ReorderLevel]]-Table1[[#This Row],[CurrentStock]]&gt;0,Table1[[#This Row],[ReorderLevel]]-Table1[[#This Row],[CurrentStock]],"")</f>
        <v/>
      </c>
      <c r="N1499" t="str">
        <f>IF(Table1[[#This Row],[CurrentStock]]&gt;Table1[[#This Row],[ReorderLevel]]*3,"Over Stock","Okay")</f>
        <v>Okay</v>
      </c>
      <c r="O1499" t="str">
        <f>IF(Table1[[#This Row],[CurrentStock]]&lt;Table1[[#This Row],[ReorderLevel]],"Reorder","Okay")</f>
        <v>Okay</v>
      </c>
    </row>
    <row r="1500" spans="1:15" x14ac:dyDescent="0.3">
      <c r="A1500">
        <v>35874</v>
      </c>
      <c r="B1500" t="s">
        <v>16</v>
      </c>
      <c r="C1500" t="s">
        <v>30</v>
      </c>
      <c r="D1500">
        <v>260</v>
      </c>
      <c r="E1500">
        <v>20</v>
      </c>
      <c r="F1500">
        <v>382.93</v>
      </c>
      <c r="G1500" t="s">
        <v>33</v>
      </c>
      <c r="H1500" s="1">
        <v>45327</v>
      </c>
      <c r="I1500" s="1">
        <v>45346</v>
      </c>
      <c r="J1500" t="s">
        <v>37</v>
      </c>
      <c r="K1500" t="b">
        <f>Table1[[#This Row],[CurrentStock]]&lt;Table1[[#This Row],[ReorderLevel]]</f>
        <v>0</v>
      </c>
      <c r="L1500" s="9">
        <f>Table1[[#This Row],[CurrentStock]]*Table1[[#This Row],[UnitPrice]]</f>
        <v>99561.8</v>
      </c>
      <c r="M1500" t="str">
        <f>IF(Table1[[#This Row],[ReorderLevel]]-Table1[[#This Row],[CurrentStock]]&gt;0,Table1[[#This Row],[ReorderLevel]]-Table1[[#This Row],[CurrentStock]],"")</f>
        <v/>
      </c>
      <c r="N1500" t="str">
        <f>IF(Table1[[#This Row],[CurrentStock]]&gt;Table1[[#This Row],[ReorderLevel]]*3,"Over Stock","Okay")</f>
        <v>Over Stock</v>
      </c>
      <c r="O1500" t="str">
        <f>IF(Table1[[#This Row],[CurrentStock]]&lt;Table1[[#This Row],[ReorderLevel]],"Reorder","Okay")</f>
        <v>Okay</v>
      </c>
    </row>
    <row r="1501" spans="1:15" x14ac:dyDescent="0.3">
      <c r="A1501">
        <v>42735</v>
      </c>
      <c r="B1501" t="s">
        <v>10</v>
      </c>
      <c r="C1501" t="s">
        <v>27</v>
      </c>
      <c r="D1501">
        <v>439</v>
      </c>
      <c r="E1501">
        <v>20</v>
      </c>
      <c r="F1501">
        <v>219.06</v>
      </c>
      <c r="G1501" t="s">
        <v>33</v>
      </c>
      <c r="H1501" s="1">
        <v>45501</v>
      </c>
      <c r="I1501" s="1">
        <v>45523</v>
      </c>
      <c r="J1501" t="s">
        <v>39</v>
      </c>
      <c r="K1501" t="b">
        <f>Table1[[#This Row],[CurrentStock]]&lt;Table1[[#This Row],[ReorderLevel]]</f>
        <v>0</v>
      </c>
      <c r="L1501" s="9">
        <f>Table1[[#This Row],[CurrentStock]]*Table1[[#This Row],[UnitPrice]]</f>
        <v>96167.34</v>
      </c>
      <c r="M1501" t="str">
        <f>IF(Table1[[#This Row],[ReorderLevel]]-Table1[[#This Row],[CurrentStock]]&gt;0,Table1[[#This Row],[ReorderLevel]]-Table1[[#This Row],[CurrentStock]],"")</f>
        <v/>
      </c>
      <c r="N1501" t="str">
        <f>IF(Table1[[#This Row],[CurrentStock]]&gt;Table1[[#This Row],[ReorderLevel]]*3,"Over Stock","Okay")</f>
        <v>Over Stock</v>
      </c>
      <c r="O1501" t="str">
        <f>IF(Table1[[#This Row],[CurrentStock]]&lt;Table1[[#This Row],[ReorderLevel]],"Reorder","Okay")</f>
        <v>Okay</v>
      </c>
    </row>
    <row r="1502" spans="1:15" x14ac:dyDescent="0.3">
      <c r="A1502">
        <v>20068</v>
      </c>
      <c r="B1502" t="s">
        <v>25</v>
      </c>
      <c r="C1502" t="s">
        <v>31</v>
      </c>
      <c r="D1502">
        <v>464</v>
      </c>
      <c r="E1502">
        <v>150</v>
      </c>
      <c r="F1502">
        <v>144.04</v>
      </c>
      <c r="G1502" t="s">
        <v>32</v>
      </c>
      <c r="H1502" s="1">
        <v>45301</v>
      </c>
      <c r="I1502" s="1">
        <v>45310</v>
      </c>
      <c r="J1502" t="s">
        <v>38</v>
      </c>
      <c r="K1502" t="b">
        <f>Table1[[#This Row],[CurrentStock]]&lt;Table1[[#This Row],[ReorderLevel]]</f>
        <v>0</v>
      </c>
      <c r="L1502" s="9">
        <f>Table1[[#This Row],[CurrentStock]]*Table1[[#This Row],[UnitPrice]]</f>
        <v>66834.559999999998</v>
      </c>
      <c r="M1502" t="str">
        <f>IF(Table1[[#This Row],[ReorderLevel]]-Table1[[#This Row],[CurrentStock]]&gt;0,Table1[[#This Row],[ReorderLevel]]-Table1[[#This Row],[CurrentStock]],"")</f>
        <v/>
      </c>
      <c r="N1502" t="str">
        <f>IF(Table1[[#This Row],[CurrentStock]]&gt;Table1[[#This Row],[ReorderLevel]]*3,"Over Stock","Okay")</f>
        <v>Over Stock</v>
      </c>
      <c r="O1502" t="str">
        <f>IF(Table1[[#This Row],[CurrentStock]]&lt;Table1[[#This Row],[ReorderLevel]],"Reorder","Okay")</f>
        <v>Okay</v>
      </c>
    </row>
    <row r="1503" spans="1:15" x14ac:dyDescent="0.3">
      <c r="A1503">
        <v>30773</v>
      </c>
      <c r="B1503" t="s">
        <v>17</v>
      </c>
      <c r="C1503" t="s">
        <v>30</v>
      </c>
      <c r="D1503">
        <v>482</v>
      </c>
      <c r="E1503">
        <v>100</v>
      </c>
      <c r="F1503">
        <v>481.19</v>
      </c>
      <c r="G1503" t="s">
        <v>34</v>
      </c>
      <c r="H1503" s="1">
        <v>45309</v>
      </c>
      <c r="I1503" s="1">
        <v>45342</v>
      </c>
      <c r="J1503" t="s">
        <v>38</v>
      </c>
      <c r="K1503" t="b">
        <f>Table1[[#This Row],[CurrentStock]]&lt;Table1[[#This Row],[ReorderLevel]]</f>
        <v>0</v>
      </c>
      <c r="L1503" s="9">
        <f>Table1[[#This Row],[CurrentStock]]*Table1[[#This Row],[UnitPrice]]</f>
        <v>231933.58</v>
      </c>
      <c r="M1503" t="str">
        <f>IF(Table1[[#This Row],[ReorderLevel]]-Table1[[#This Row],[CurrentStock]]&gt;0,Table1[[#This Row],[ReorderLevel]]-Table1[[#This Row],[CurrentStock]],"")</f>
        <v/>
      </c>
      <c r="N1503" t="str">
        <f>IF(Table1[[#This Row],[CurrentStock]]&gt;Table1[[#This Row],[ReorderLevel]]*3,"Over Stock","Okay")</f>
        <v>Over Stock</v>
      </c>
      <c r="O1503" t="str">
        <f>IF(Table1[[#This Row],[CurrentStock]]&lt;Table1[[#This Row],[ReorderLevel]],"Reorder","Okay")</f>
        <v>Okay</v>
      </c>
    </row>
    <row r="1504" spans="1:15" x14ac:dyDescent="0.3">
      <c r="A1504">
        <v>61869</v>
      </c>
      <c r="B1504" t="s">
        <v>22</v>
      </c>
      <c r="C1504" t="s">
        <v>27</v>
      </c>
      <c r="D1504">
        <v>18</v>
      </c>
      <c r="E1504">
        <v>50</v>
      </c>
      <c r="F1504">
        <v>121.05</v>
      </c>
      <c r="G1504" t="s">
        <v>32</v>
      </c>
      <c r="H1504" s="1">
        <v>45432</v>
      </c>
      <c r="I1504" s="1">
        <v>45466</v>
      </c>
      <c r="J1504" t="s">
        <v>39</v>
      </c>
      <c r="K1504" t="b">
        <f>Table1[[#This Row],[CurrentStock]]&lt;Table1[[#This Row],[ReorderLevel]]</f>
        <v>1</v>
      </c>
      <c r="L1504" s="9">
        <f>Table1[[#This Row],[CurrentStock]]*Table1[[#This Row],[UnitPrice]]</f>
        <v>2178.9</v>
      </c>
      <c r="M1504">
        <f>IF(Table1[[#This Row],[ReorderLevel]]-Table1[[#This Row],[CurrentStock]]&gt;0,Table1[[#This Row],[ReorderLevel]]-Table1[[#This Row],[CurrentStock]],"")</f>
        <v>32</v>
      </c>
      <c r="N1504" t="str">
        <f>IF(Table1[[#This Row],[CurrentStock]]&gt;Table1[[#This Row],[ReorderLevel]]*3,"Over Stock","Okay")</f>
        <v>Okay</v>
      </c>
      <c r="O1504" t="str">
        <f>IF(Table1[[#This Row],[CurrentStock]]&lt;Table1[[#This Row],[ReorderLevel]],"Reorder","Okay")</f>
        <v>Reorder</v>
      </c>
    </row>
    <row r="1505" spans="1:15" x14ac:dyDescent="0.3">
      <c r="A1505">
        <v>97110</v>
      </c>
      <c r="B1505" t="s">
        <v>10</v>
      </c>
      <c r="C1505" t="s">
        <v>27</v>
      </c>
      <c r="D1505">
        <v>360</v>
      </c>
      <c r="E1505">
        <v>20</v>
      </c>
      <c r="F1505">
        <v>249.84</v>
      </c>
      <c r="G1505" t="s">
        <v>35</v>
      </c>
      <c r="H1505" s="1">
        <v>45629</v>
      </c>
      <c r="I1505" s="1">
        <v>45652</v>
      </c>
      <c r="J1505" t="s">
        <v>38</v>
      </c>
      <c r="K1505" t="b">
        <f>Table1[[#This Row],[CurrentStock]]&lt;Table1[[#This Row],[ReorderLevel]]</f>
        <v>0</v>
      </c>
      <c r="L1505" s="9">
        <f>Table1[[#This Row],[CurrentStock]]*Table1[[#This Row],[UnitPrice]]</f>
        <v>89942.399999999994</v>
      </c>
      <c r="M1505" t="str">
        <f>IF(Table1[[#This Row],[ReorderLevel]]-Table1[[#This Row],[CurrentStock]]&gt;0,Table1[[#This Row],[ReorderLevel]]-Table1[[#This Row],[CurrentStock]],"")</f>
        <v/>
      </c>
      <c r="N1505" t="str">
        <f>IF(Table1[[#This Row],[CurrentStock]]&gt;Table1[[#This Row],[ReorderLevel]]*3,"Over Stock","Okay")</f>
        <v>Over Stock</v>
      </c>
      <c r="O1505" t="str">
        <f>IF(Table1[[#This Row],[CurrentStock]]&lt;Table1[[#This Row],[ReorderLevel]],"Reorder","Okay")</f>
        <v>Okay</v>
      </c>
    </row>
    <row r="1506" spans="1:15" x14ac:dyDescent="0.3">
      <c r="A1506">
        <v>28728</v>
      </c>
      <c r="B1506" t="s">
        <v>12</v>
      </c>
      <c r="C1506" t="s">
        <v>28</v>
      </c>
      <c r="D1506">
        <v>470</v>
      </c>
      <c r="E1506">
        <v>50</v>
      </c>
      <c r="F1506">
        <v>329.84</v>
      </c>
      <c r="G1506" t="s">
        <v>34</v>
      </c>
      <c r="H1506" s="1">
        <v>45551</v>
      </c>
      <c r="I1506" s="1">
        <v>45560</v>
      </c>
      <c r="J1506" t="s">
        <v>38</v>
      </c>
      <c r="K1506" t="b">
        <f>Table1[[#This Row],[CurrentStock]]&lt;Table1[[#This Row],[ReorderLevel]]</f>
        <v>0</v>
      </c>
      <c r="L1506" s="9">
        <f>Table1[[#This Row],[CurrentStock]]*Table1[[#This Row],[UnitPrice]]</f>
        <v>155024.79999999999</v>
      </c>
      <c r="M1506" t="str">
        <f>IF(Table1[[#This Row],[ReorderLevel]]-Table1[[#This Row],[CurrentStock]]&gt;0,Table1[[#This Row],[ReorderLevel]]-Table1[[#This Row],[CurrentStock]],"")</f>
        <v/>
      </c>
      <c r="N1506" t="str">
        <f>IF(Table1[[#This Row],[CurrentStock]]&gt;Table1[[#This Row],[ReorderLevel]]*3,"Over Stock","Okay")</f>
        <v>Over Stock</v>
      </c>
      <c r="O1506" t="str">
        <f>IF(Table1[[#This Row],[CurrentStock]]&lt;Table1[[#This Row],[ReorderLevel]],"Reorder","Okay")</f>
        <v>Okay</v>
      </c>
    </row>
    <row r="1507" spans="1:15" x14ac:dyDescent="0.3">
      <c r="A1507">
        <v>72651</v>
      </c>
      <c r="B1507" t="s">
        <v>26</v>
      </c>
      <c r="C1507" t="s">
        <v>30</v>
      </c>
      <c r="D1507">
        <v>444</v>
      </c>
      <c r="E1507">
        <v>40</v>
      </c>
      <c r="F1507">
        <v>94.11</v>
      </c>
      <c r="G1507" t="s">
        <v>35</v>
      </c>
      <c r="H1507" s="1">
        <v>45304</v>
      </c>
      <c r="I1507" s="1">
        <v>45322</v>
      </c>
      <c r="J1507" t="s">
        <v>38</v>
      </c>
      <c r="K1507" t="b">
        <f>Table1[[#This Row],[CurrentStock]]&lt;Table1[[#This Row],[ReorderLevel]]</f>
        <v>0</v>
      </c>
      <c r="L1507" s="9">
        <f>Table1[[#This Row],[CurrentStock]]*Table1[[#This Row],[UnitPrice]]</f>
        <v>41784.839999999997</v>
      </c>
      <c r="M1507" t="str">
        <f>IF(Table1[[#This Row],[ReorderLevel]]-Table1[[#This Row],[CurrentStock]]&gt;0,Table1[[#This Row],[ReorderLevel]]-Table1[[#This Row],[CurrentStock]],"")</f>
        <v/>
      </c>
      <c r="N1507" t="str">
        <f>IF(Table1[[#This Row],[CurrentStock]]&gt;Table1[[#This Row],[ReorderLevel]]*3,"Over Stock","Okay")</f>
        <v>Over Stock</v>
      </c>
      <c r="O1507" t="str">
        <f>IF(Table1[[#This Row],[CurrentStock]]&lt;Table1[[#This Row],[ReorderLevel]],"Reorder","Okay")</f>
        <v>Okay</v>
      </c>
    </row>
    <row r="1508" spans="1:15" x14ac:dyDescent="0.3">
      <c r="A1508">
        <v>32286</v>
      </c>
      <c r="B1508" t="s">
        <v>25</v>
      </c>
      <c r="C1508" t="s">
        <v>31</v>
      </c>
      <c r="D1508">
        <v>427</v>
      </c>
      <c r="E1508">
        <v>50</v>
      </c>
      <c r="F1508">
        <v>57.66</v>
      </c>
      <c r="G1508" t="s">
        <v>33</v>
      </c>
      <c r="H1508" s="1">
        <v>45490</v>
      </c>
      <c r="I1508" s="1">
        <v>45508</v>
      </c>
      <c r="J1508" t="s">
        <v>39</v>
      </c>
      <c r="K1508" t="b">
        <f>Table1[[#This Row],[CurrentStock]]&lt;Table1[[#This Row],[ReorderLevel]]</f>
        <v>0</v>
      </c>
      <c r="L1508" s="9">
        <f>Table1[[#This Row],[CurrentStock]]*Table1[[#This Row],[UnitPrice]]</f>
        <v>24620.82</v>
      </c>
      <c r="M1508" t="str">
        <f>IF(Table1[[#This Row],[ReorderLevel]]-Table1[[#This Row],[CurrentStock]]&gt;0,Table1[[#This Row],[ReorderLevel]]-Table1[[#This Row],[CurrentStock]],"")</f>
        <v/>
      </c>
      <c r="N1508" t="str">
        <f>IF(Table1[[#This Row],[CurrentStock]]&gt;Table1[[#This Row],[ReorderLevel]]*3,"Over Stock","Okay")</f>
        <v>Over Stock</v>
      </c>
      <c r="O1508" t="str">
        <f>IF(Table1[[#This Row],[CurrentStock]]&lt;Table1[[#This Row],[ReorderLevel]],"Reorder","Okay")</f>
        <v>Okay</v>
      </c>
    </row>
    <row r="1509" spans="1:15" x14ac:dyDescent="0.3">
      <c r="A1509">
        <v>19321</v>
      </c>
      <c r="B1509" t="s">
        <v>25</v>
      </c>
      <c r="C1509" t="s">
        <v>31</v>
      </c>
      <c r="D1509">
        <v>235</v>
      </c>
      <c r="E1509">
        <v>80</v>
      </c>
      <c r="F1509">
        <v>210.15</v>
      </c>
      <c r="G1509" t="s">
        <v>35</v>
      </c>
      <c r="H1509" s="1">
        <v>45326</v>
      </c>
      <c r="I1509" s="1">
        <v>45353</v>
      </c>
      <c r="J1509" t="s">
        <v>39</v>
      </c>
      <c r="K1509" t="b">
        <f>Table1[[#This Row],[CurrentStock]]&lt;Table1[[#This Row],[ReorderLevel]]</f>
        <v>0</v>
      </c>
      <c r="L1509" s="9">
        <f>Table1[[#This Row],[CurrentStock]]*Table1[[#This Row],[UnitPrice]]</f>
        <v>49385.25</v>
      </c>
      <c r="M1509" t="str">
        <f>IF(Table1[[#This Row],[ReorderLevel]]-Table1[[#This Row],[CurrentStock]]&gt;0,Table1[[#This Row],[ReorderLevel]]-Table1[[#This Row],[CurrentStock]],"")</f>
        <v/>
      </c>
      <c r="N1509" t="str">
        <f>IF(Table1[[#This Row],[CurrentStock]]&gt;Table1[[#This Row],[ReorderLevel]]*3,"Over Stock","Okay")</f>
        <v>Okay</v>
      </c>
      <c r="O1509" t="str">
        <f>IF(Table1[[#This Row],[CurrentStock]]&lt;Table1[[#This Row],[ReorderLevel]],"Reorder","Okay")</f>
        <v>Okay</v>
      </c>
    </row>
    <row r="1510" spans="1:15" x14ac:dyDescent="0.3">
      <c r="A1510">
        <v>35727</v>
      </c>
      <c r="B1510" t="s">
        <v>13</v>
      </c>
      <c r="C1510" t="s">
        <v>29</v>
      </c>
      <c r="D1510">
        <v>99</v>
      </c>
      <c r="E1510">
        <v>80</v>
      </c>
      <c r="F1510">
        <v>20.85</v>
      </c>
      <c r="G1510" t="s">
        <v>36</v>
      </c>
      <c r="H1510" s="1">
        <v>45486</v>
      </c>
      <c r="I1510" s="1">
        <v>45498</v>
      </c>
      <c r="J1510" t="s">
        <v>38</v>
      </c>
      <c r="K1510" t="b">
        <f>Table1[[#This Row],[CurrentStock]]&lt;Table1[[#This Row],[ReorderLevel]]</f>
        <v>0</v>
      </c>
      <c r="L1510" s="9">
        <f>Table1[[#This Row],[CurrentStock]]*Table1[[#This Row],[UnitPrice]]</f>
        <v>2064.15</v>
      </c>
      <c r="M1510" t="str">
        <f>IF(Table1[[#This Row],[ReorderLevel]]-Table1[[#This Row],[CurrentStock]]&gt;0,Table1[[#This Row],[ReorderLevel]]-Table1[[#This Row],[CurrentStock]],"")</f>
        <v/>
      </c>
      <c r="N1510" t="str">
        <f>IF(Table1[[#This Row],[CurrentStock]]&gt;Table1[[#This Row],[ReorderLevel]]*3,"Over Stock","Okay")</f>
        <v>Okay</v>
      </c>
      <c r="O1510" t="str">
        <f>IF(Table1[[#This Row],[CurrentStock]]&lt;Table1[[#This Row],[ReorderLevel]],"Reorder","Okay")</f>
        <v>Okay</v>
      </c>
    </row>
    <row r="1511" spans="1:15" x14ac:dyDescent="0.3">
      <c r="A1511">
        <v>20796</v>
      </c>
      <c r="B1511" t="s">
        <v>24</v>
      </c>
      <c r="C1511" t="s">
        <v>31</v>
      </c>
      <c r="D1511">
        <v>389</v>
      </c>
      <c r="E1511">
        <v>50</v>
      </c>
      <c r="F1511">
        <v>429.86</v>
      </c>
      <c r="G1511" t="s">
        <v>33</v>
      </c>
      <c r="H1511" s="1">
        <v>45327</v>
      </c>
      <c r="I1511" s="1">
        <v>45363</v>
      </c>
      <c r="J1511" t="s">
        <v>37</v>
      </c>
      <c r="K1511" t="b">
        <f>Table1[[#This Row],[CurrentStock]]&lt;Table1[[#This Row],[ReorderLevel]]</f>
        <v>0</v>
      </c>
      <c r="L1511" s="9">
        <f>Table1[[#This Row],[CurrentStock]]*Table1[[#This Row],[UnitPrice]]</f>
        <v>167215.54</v>
      </c>
      <c r="M1511" t="str">
        <f>IF(Table1[[#This Row],[ReorderLevel]]-Table1[[#This Row],[CurrentStock]]&gt;0,Table1[[#This Row],[ReorderLevel]]-Table1[[#This Row],[CurrentStock]],"")</f>
        <v/>
      </c>
      <c r="N1511" t="str">
        <f>IF(Table1[[#This Row],[CurrentStock]]&gt;Table1[[#This Row],[ReorderLevel]]*3,"Over Stock","Okay")</f>
        <v>Over Stock</v>
      </c>
      <c r="O1511" t="str">
        <f>IF(Table1[[#This Row],[CurrentStock]]&lt;Table1[[#This Row],[ReorderLevel]],"Reorder","Okay")</f>
        <v>Okay</v>
      </c>
    </row>
    <row r="1512" spans="1:15" x14ac:dyDescent="0.3">
      <c r="A1512">
        <v>69402</v>
      </c>
      <c r="B1512" t="s">
        <v>19</v>
      </c>
      <c r="C1512" t="s">
        <v>28</v>
      </c>
      <c r="D1512">
        <v>86</v>
      </c>
      <c r="E1512">
        <v>30</v>
      </c>
      <c r="F1512">
        <v>456.33</v>
      </c>
      <c r="G1512" t="s">
        <v>33</v>
      </c>
      <c r="H1512" s="1">
        <v>45421</v>
      </c>
      <c r="I1512" s="1">
        <v>45428</v>
      </c>
      <c r="J1512" t="s">
        <v>38</v>
      </c>
      <c r="K1512" t="b">
        <f>Table1[[#This Row],[CurrentStock]]&lt;Table1[[#This Row],[ReorderLevel]]</f>
        <v>0</v>
      </c>
      <c r="L1512" s="9">
        <f>Table1[[#This Row],[CurrentStock]]*Table1[[#This Row],[UnitPrice]]</f>
        <v>39244.379999999997</v>
      </c>
      <c r="M1512" t="str">
        <f>IF(Table1[[#This Row],[ReorderLevel]]-Table1[[#This Row],[CurrentStock]]&gt;0,Table1[[#This Row],[ReorderLevel]]-Table1[[#This Row],[CurrentStock]],"")</f>
        <v/>
      </c>
      <c r="N1512" t="str">
        <f>IF(Table1[[#This Row],[CurrentStock]]&gt;Table1[[#This Row],[ReorderLevel]]*3,"Over Stock","Okay")</f>
        <v>Okay</v>
      </c>
      <c r="O1512" t="str">
        <f>IF(Table1[[#This Row],[CurrentStock]]&lt;Table1[[#This Row],[ReorderLevel]],"Reorder","Okay")</f>
        <v>Okay</v>
      </c>
    </row>
    <row r="1513" spans="1:15" x14ac:dyDescent="0.3">
      <c r="A1513">
        <v>56303</v>
      </c>
      <c r="B1513" t="s">
        <v>15</v>
      </c>
      <c r="C1513" t="s">
        <v>29</v>
      </c>
      <c r="D1513">
        <v>398</v>
      </c>
      <c r="E1513">
        <v>40</v>
      </c>
      <c r="F1513">
        <v>499.84</v>
      </c>
      <c r="G1513" t="s">
        <v>35</v>
      </c>
      <c r="H1513" s="1">
        <v>45639</v>
      </c>
      <c r="I1513" s="1">
        <v>45671</v>
      </c>
      <c r="J1513" t="s">
        <v>37</v>
      </c>
      <c r="K1513" t="b">
        <f>Table1[[#This Row],[CurrentStock]]&lt;Table1[[#This Row],[ReorderLevel]]</f>
        <v>0</v>
      </c>
      <c r="L1513" s="9">
        <f>Table1[[#This Row],[CurrentStock]]*Table1[[#This Row],[UnitPrice]]</f>
        <v>198936.31999999998</v>
      </c>
      <c r="M1513" t="str">
        <f>IF(Table1[[#This Row],[ReorderLevel]]-Table1[[#This Row],[CurrentStock]]&gt;0,Table1[[#This Row],[ReorderLevel]]-Table1[[#This Row],[CurrentStock]],"")</f>
        <v/>
      </c>
      <c r="N1513" t="str">
        <f>IF(Table1[[#This Row],[CurrentStock]]&gt;Table1[[#This Row],[ReorderLevel]]*3,"Over Stock","Okay")</f>
        <v>Over Stock</v>
      </c>
      <c r="O1513" t="str">
        <f>IF(Table1[[#This Row],[CurrentStock]]&lt;Table1[[#This Row],[ReorderLevel]],"Reorder","Okay")</f>
        <v>Okay</v>
      </c>
    </row>
    <row r="1514" spans="1:15" x14ac:dyDescent="0.3">
      <c r="A1514">
        <v>97267</v>
      </c>
      <c r="B1514" t="s">
        <v>13</v>
      </c>
      <c r="C1514" t="s">
        <v>29</v>
      </c>
      <c r="D1514">
        <v>347</v>
      </c>
      <c r="E1514">
        <v>20</v>
      </c>
      <c r="F1514">
        <v>204.77</v>
      </c>
      <c r="G1514" t="s">
        <v>33</v>
      </c>
      <c r="H1514" s="1">
        <v>45333</v>
      </c>
      <c r="I1514" s="1">
        <v>45371</v>
      </c>
      <c r="J1514" t="s">
        <v>39</v>
      </c>
      <c r="K1514" t="b">
        <f>Table1[[#This Row],[CurrentStock]]&lt;Table1[[#This Row],[ReorderLevel]]</f>
        <v>0</v>
      </c>
      <c r="L1514" s="9">
        <f>Table1[[#This Row],[CurrentStock]]*Table1[[#This Row],[UnitPrice]]</f>
        <v>71055.19</v>
      </c>
      <c r="M1514" t="str">
        <f>IF(Table1[[#This Row],[ReorderLevel]]-Table1[[#This Row],[CurrentStock]]&gt;0,Table1[[#This Row],[ReorderLevel]]-Table1[[#This Row],[CurrentStock]],"")</f>
        <v/>
      </c>
      <c r="N1514" t="str">
        <f>IF(Table1[[#This Row],[CurrentStock]]&gt;Table1[[#This Row],[ReorderLevel]]*3,"Over Stock","Okay")</f>
        <v>Over Stock</v>
      </c>
      <c r="O1514" t="str">
        <f>IF(Table1[[#This Row],[CurrentStock]]&lt;Table1[[#This Row],[ReorderLevel]],"Reorder","Okay")</f>
        <v>Okay</v>
      </c>
    </row>
    <row r="1515" spans="1:15" x14ac:dyDescent="0.3">
      <c r="A1515">
        <v>73967</v>
      </c>
      <c r="B1515" t="s">
        <v>16</v>
      </c>
      <c r="C1515" t="s">
        <v>30</v>
      </c>
      <c r="D1515">
        <v>388</v>
      </c>
      <c r="E1515">
        <v>50</v>
      </c>
      <c r="F1515">
        <v>449.04</v>
      </c>
      <c r="G1515" t="s">
        <v>33</v>
      </c>
      <c r="H1515" s="1">
        <v>45366</v>
      </c>
      <c r="I1515" s="1">
        <v>45400</v>
      </c>
      <c r="J1515" t="s">
        <v>39</v>
      </c>
      <c r="K1515" t="b">
        <f>Table1[[#This Row],[CurrentStock]]&lt;Table1[[#This Row],[ReorderLevel]]</f>
        <v>0</v>
      </c>
      <c r="L1515" s="9">
        <f>Table1[[#This Row],[CurrentStock]]*Table1[[#This Row],[UnitPrice]]</f>
        <v>174227.52000000002</v>
      </c>
      <c r="M1515" t="str">
        <f>IF(Table1[[#This Row],[ReorderLevel]]-Table1[[#This Row],[CurrentStock]]&gt;0,Table1[[#This Row],[ReorderLevel]]-Table1[[#This Row],[CurrentStock]],"")</f>
        <v/>
      </c>
      <c r="N1515" t="str">
        <f>IF(Table1[[#This Row],[CurrentStock]]&gt;Table1[[#This Row],[ReorderLevel]]*3,"Over Stock","Okay")</f>
        <v>Over Stock</v>
      </c>
      <c r="O1515" t="str">
        <f>IF(Table1[[#This Row],[CurrentStock]]&lt;Table1[[#This Row],[ReorderLevel]],"Reorder","Okay")</f>
        <v>Okay</v>
      </c>
    </row>
    <row r="1516" spans="1:15" x14ac:dyDescent="0.3">
      <c r="A1516">
        <v>15539</v>
      </c>
      <c r="B1516" t="s">
        <v>14</v>
      </c>
      <c r="C1516" t="s">
        <v>27</v>
      </c>
      <c r="D1516">
        <v>469</v>
      </c>
      <c r="E1516">
        <v>150</v>
      </c>
      <c r="F1516">
        <v>197.75</v>
      </c>
      <c r="G1516" t="s">
        <v>35</v>
      </c>
      <c r="H1516" s="1">
        <v>45387</v>
      </c>
      <c r="I1516" s="1">
        <v>45419</v>
      </c>
      <c r="J1516" t="s">
        <v>37</v>
      </c>
      <c r="K1516" t="b">
        <f>Table1[[#This Row],[CurrentStock]]&lt;Table1[[#This Row],[ReorderLevel]]</f>
        <v>0</v>
      </c>
      <c r="L1516" s="9">
        <f>Table1[[#This Row],[CurrentStock]]*Table1[[#This Row],[UnitPrice]]</f>
        <v>92744.75</v>
      </c>
      <c r="M1516" t="str">
        <f>IF(Table1[[#This Row],[ReorderLevel]]-Table1[[#This Row],[CurrentStock]]&gt;0,Table1[[#This Row],[ReorderLevel]]-Table1[[#This Row],[CurrentStock]],"")</f>
        <v/>
      </c>
      <c r="N1516" t="str">
        <f>IF(Table1[[#This Row],[CurrentStock]]&gt;Table1[[#This Row],[ReorderLevel]]*3,"Over Stock","Okay")</f>
        <v>Over Stock</v>
      </c>
      <c r="O1516" t="str">
        <f>IF(Table1[[#This Row],[CurrentStock]]&lt;Table1[[#This Row],[ReorderLevel]],"Reorder","Okay")</f>
        <v>Okay</v>
      </c>
    </row>
    <row r="1517" spans="1:15" x14ac:dyDescent="0.3">
      <c r="A1517">
        <v>94766</v>
      </c>
      <c r="B1517" t="s">
        <v>10</v>
      </c>
      <c r="C1517" t="s">
        <v>27</v>
      </c>
      <c r="D1517">
        <v>249</v>
      </c>
      <c r="E1517">
        <v>100</v>
      </c>
      <c r="F1517">
        <v>346.49</v>
      </c>
      <c r="G1517" t="s">
        <v>32</v>
      </c>
      <c r="H1517" s="1">
        <v>45475</v>
      </c>
      <c r="I1517" s="1">
        <v>45483</v>
      </c>
      <c r="J1517" t="s">
        <v>39</v>
      </c>
      <c r="K1517" t="b">
        <f>Table1[[#This Row],[CurrentStock]]&lt;Table1[[#This Row],[ReorderLevel]]</f>
        <v>0</v>
      </c>
      <c r="L1517" s="9">
        <f>Table1[[#This Row],[CurrentStock]]*Table1[[#This Row],[UnitPrice]]</f>
        <v>86276.010000000009</v>
      </c>
      <c r="M1517" t="str">
        <f>IF(Table1[[#This Row],[ReorderLevel]]-Table1[[#This Row],[CurrentStock]]&gt;0,Table1[[#This Row],[ReorderLevel]]-Table1[[#This Row],[CurrentStock]],"")</f>
        <v/>
      </c>
      <c r="N1517" t="str">
        <f>IF(Table1[[#This Row],[CurrentStock]]&gt;Table1[[#This Row],[ReorderLevel]]*3,"Over Stock","Okay")</f>
        <v>Okay</v>
      </c>
      <c r="O1517" t="str">
        <f>IF(Table1[[#This Row],[CurrentStock]]&lt;Table1[[#This Row],[ReorderLevel]],"Reorder","Okay")</f>
        <v>Okay</v>
      </c>
    </row>
    <row r="1518" spans="1:15" x14ac:dyDescent="0.3">
      <c r="A1518">
        <v>37912</v>
      </c>
      <c r="B1518" t="s">
        <v>18</v>
      </c>
      <c r="C1518" t="s">
        <v>28</v>
      </c>
      <c r="D1518">
        <v>68</v>
      </c>
      <c r="E1518">
        <v>100</v>
      </c>
      <c r="F1518">
        <v>331.96</v>
      </c>
      <c r="G1518" t="s">
        <v>34</v>
      </c>
      <c r="H1518" s="1">
        <v>45638</v>
      </c>
      <c r="I1518" s="1">
        <v>45650</v>
      </c>
      <c r="J1518" t="s">
        <v>37</v>
      </c>
      <c r="K1518" t="b">
        <f>Table1[[#This Row],[CurrentStock]]&lt;Table1[[#This Row],[ReorderLevel]]</f>
        <v>1</v>
      </c>
      <c r="L1518" s="9">
        <f>Table1[[#This Row],[CurrentStock]]*Table1[[#This Row],[UnitPrice]]</f>
        <v>22573.279999999999</v>
      </c>
      <c r="M1518">
        <f>IF(Table1[[#This Row],[ReorderLevel]]-Table1[[#This Row],[CurrentStock]]&gt;0,Table1[[#This Row],[ReorderLevel]]-Table1[[#This Row],[CurrentStock]],"")</f>
        <v>32</v>
      </c>
      <c r="N1518" t="str">
        <f>IF(Table1[[#This Row],[CurrentStock]]&gt;Table1[[#This Row],[ReorderLevel]]*3,"Over Stock","Okay")</f>
        <v>Okay</v>
      </c>
      <c r="O1518" t="str">
        <f>IF(Table1[[#This Row],[CurrentStock]]&lt;Table1[[#This Row],[ReorderLevel]],"Reorder","Okay")</f>
        <v>Reorder</v>
      </c>
    </row>
    <row r="1519" spans="1:15" x14ac:dyDescent="0.3">
      <c r="A1519">
        <v>14090</v>
      </c>
      <c r="B1519" t="s">
        <v>19</v>
      </c>
      <c r="C1519" t="s">
        <v>28</v>
      </c>
      <c r="D1519">
        <v>223</v>
      </c>
      <c r="E1519">
        <v>150</v>
      </c>
      <c r="F1519">
        <v>377.71</v>
      </c>
      <c r="G1519" t="s">
        <v>32</v>
      </c>
      <c r="H1519" s="1">
        <v>45456</v>
      </c>
      <c r="I1519" s="1">
        <v>45479</v>
      </c>
      <c r="J1519" t="s">
        <v>37</v>
      </c>
      <c r="K1519" t="b">
        <f>Table1[[#This Row],[CurrentStock]]&lt;Table1[[#This Row],[ReorderLevel]]</f>
        <v>0</v>
      </c>
      <c r="L1519" s="9">
        <f>Table1[[#This Row],[CurrentStock]]*Table1[[#This Row],[UnitPrice]]</f>
        <v>84229.33</v>
      </c>
      <c r="M1519" t="str">
        <f>IF(Table1[[#This Row],[ReorderLevel]]-Table1[[#This Row],[CurrentStock]]&gt;0,Table1[[#This Row],[ReorderLevel]]-Table1[[#This Row],[CurrentStock]],"")</f>
        <v/>
      </c>
      <c r="N1519" t="str">
        <f>IF(Table1[[#This Row],[CurrentStock]]&gt;Table1[[#This Row],[ReorderLevel]]*3,"Over Stock","Okay")</f>
        <v>Okay</v>
      </c>
      <c r="O1519" t="str">
        <f>IF(Table1[[#This Row],[CurrentStock]]&lt;Table1[[#This Row],[ReorderLevel]],"Reorder","Okay")</f>
        <v>Okay</v>
      </c>
    </row>
    <row r="1520" spans="1:15" x14ac:dyDescent="0.3">
      <c r="A1520">
        <v>84062</v>
      </c>
      <c r="B1520" t="s">
        <v>10</v>
      </c>
      <c r="C1520" t="s">
        <v>27</v>
      </c>
      <c r="D1520">
        <v>489</v>
      </c>
      <c r="E1520">
        <v>40</v>
      </c>
      <c r="F1520">
        <v>160.82</v>
      </c>
      <c r="G1520" t="s">
        <v>33</v>
      </c>
      <c r="H1520" s="1">
        <v>45450</v>
      </c>
      <c r="I1520" s="1">
        <v>45465</v>
      </c>
      <c r="J1520" t="s">
        <v>38</v>
      </c>
      <c r="K1520" t="b">
        <f>Table1[[#This Row],[CurrentStock]]&lt;Table1[[#This Row],[ReorderLevel]]</f>
        <v>0</v>
      </c>
      <c r="L1520" s="9">
        <f>Table1[[#This Row],[CurrentStock]]*Table1[[#This Row],[UnitPrice]]</f>
        <v>78640.98</v>
      </c>
      <c r="M1520" t="str">
        <f>IF(Table1[[#This Row],[ReorderLevel]]-Table1[[#This Row],[CurrentStock]]&gt;0,Table1[[#This Row],[ReorderLevel]]-Table1[[#This Row],[CurrentStock]],"")</f>
        <v/>
      </c>
      <c r="N1520" t="str">
        <f>IF(Table1[[#This Row],[CurrentStock]]&gt;Table1[[#This Row],[ReorderLevel]]*3,"Over Stock","Okay")</f>
        <v>Over Stock</v>
      </c>
      <c r="O1520" t="str">
        <f>IF(Table1[[#This Row],[CurrentStock]]&lt;Table1[[#This Row],[ReorderLevel]],"Reorder","Okay")</f>
        <v>Okay</v>
      </c>
    </row>
    <row r="1521" spans="1:15" x14ac:dyDescent="0.3">
      <c r="A1521">
        <v>81857</v>
      </c>
      <c r="B1521" t="s">
        <v>15</v>
      </c>
      <c r="C1521" t="s">
        <v>29</v>
      </c>
      <c r="D1521">
        <v>386</v>
      </c>
      <c r="E1521">
        <v>30</v>
      </c>
      <c r="F1521">
        <v>181.71</v>
      </c>
      <c r="G1521" t="s">
        <v>35</v>
      </c>
      <c r="H1521" s="1">
        <v>45439</v>
      </c>
      <c r="I1521" s="1">
        <v>45472</v>
      </c>
      <c r="J1521" t="s">
        <v>38</v>
      </c>
      <c r="K1521" t="b">
        <f>Table1[[#This Row],[CurrentStock]]&lt;Table1[[#This Row],[ReorderLevel]]</f>
        <v>0</v>
      </c>
      <c r="L1521" s="9">
        <f>Table1[[#This Row],[CurrentStock]]*Table1[[#This Row],[UnitPrice]]</f>
        <v>70140.06</v>
      </c>
      <c r="M1521" t="str">
        <f>IF(Table1[[#This Row],[ReorderLevel]]-Table1[[#This Row],[CurrentStock]]&gt;0,Table1[[#This Row],[ReorderLevel]]-Table1[[#This Row],[CurrentStock]],"")</f>
        <v/>
      </c>
      <c r="N1521" t="str">
        <f>IF(Table1[[#This Row],[CurrentStock]]&gt;Table1[[#This Row],[ReorderLevel]]*3,"Over Stock","Okay")</f>
        <v>Over Stock</v>
      </c>
      <c r="O1521" t="str">
        <f>IF(Table1[[#This Row],[CurrentStock]]&lt;Table1[[#This Row],[ReorderLevel]],"Reorder","Okay")</f>
        <v>Okay</v>
      </c>
    </row>
    <row r="1522" spans="1:15" x14ac:dyDescent="0.3">
      <c r="A1522">
        <v>66878</v>
      </c>
      <c r="B1522" t="s">
        <v>24</v>
      </c>
      <c r="C1522" t="s">
        <v>31</v>
      </c>
      <c r="D1522">
        <v>246</v>
      </c>
      <c r="E1522">
        <v>100</v>
      </c>
      <c r="F1522">
        <v>336.86</v>
      </c>
      <c r="G1522" t="s">
        <v>33</v>
      </c>
      <c r="H1522" s="1">
        <v>45643</v>
      </c>
      <c r="I1522" s="1">
        <v>45657</v>
      </c>
      <c r="J1522" t="s">
        <v>38</v>
      </c>
      <c r="K1522" t="b">
        <f>Table1[[#This Row],[CurrentStock]]&lt;Table1[[#This Row],[ReorderLevel]]</f>
        <v>0</v>
      </c>
      <c r="L1522" s="9">
        <f>Table1[[#This Row],[CurrentStock]]*Table1[[#This Row],[UnitPrice]]</f>
        <v>82867.56</v>
      </c>
      <c r="M1522" t="str">
        <f>IF(Table1[[#This Row],[ReorderLevel]]-Table1[[#This Row],[CurrentStock]]&gt;0,Table1[[#This Row],[ReorderLevel]]-Table1[[#This Row],[CurrentStock]],"")</f>
        <v/>
      </c>
      <c r="N1522" t="str">
        <f>IF(Table1[[#This Row],[CurrentStock]]&gt;Table1[[#This Row],[ReorderLevel]]*3,"Over Stock","Okay")</f>
        <v>Okay</v>
      </c>
      <c r="O1522" t="str">
        <f>IF(Table1[[#This Row],[CurrentStock]]&lt;Table1[[#This Row],[ReorderLevel]],"Reorder","Okay")</f>
        <v>Okay</v>
      </c>
    </row>
    <row r="1523" spans="1:15" x14ac:dyDescent="0.3">
      <c r="A1523">
        <v>95827</v>
      </c>
      <c r="B1523" t="s">
        <v>11</v>
      </c>
      <c r="C1523" t="s">
        <v>27</v>
      </c>
      <c r="D1523">
        <v>112</v>
      </c>
      <c r="E1523">
        <v>50</v>
      </c>
      <c r="F1523">
        <v>354.58</v>
      </c>
      <c r="G1523" t="s">
        <v>35</v>
      </c>
      <c r="H1523" s="1">
        <v>45344</v>
      </c>
      <c r="I1523" s="1">
        <v>45350</v>
      </c>
      <c r="J1523" t="s">
        <v>38</v>
      </c>
      <c r="K1523" t="b">
        <f>Table1[[#This Row],[CurrentStock]]&lt;Table1[[#This Row],[ReorderLevel]]</f>
        <v>0</v>
      </c>
      <c r="L1523" s="9">
        <f>Table1[[#This Row],[CurrentStock]]*Table1[[#This Row],[UnitPrice]]</f>
        <v>39712.959999999999</v>
      </c>
      <c r="M1523" t="str">
        <f>IF(Table1[[#This Row],[ReorderLevel]]-Table1[[#This Row],[CurrentStock]]&gt;0,Table1[[#This Row],[ReorderLevel]]-Table1[[#This Row],[CurrentStock]],"")</f>
        <v/>
      </c>
      <c r="N1523" t="str">
        <f>IF(Table1[[#This Row],[CurrentStock]]&gt;Table1[[#This Row],[ReorderLevel]]*3,"Over Stock","Okay")</f>
        <v>Okay</v>
      </c>
      <c r="O1523" t="str">
        <f>IF(Table1[[#This Row],[CurrentStock]]&lt;Table1[[#This Row],[ReorderLevel]],"Reorder","Okay")</f>
        <v>Okay</v>
      </c>
    </row>
    <row r="1524" spans="1:15" x14ac:dyDescent="0.3">
      <c r="A1524">
        <v>66614</v>
      </c>
      <c r="B1524" t="s">
        <v>18</v>
      </c>
      <c r="C1524" t="s">
        <v>28</v>
      </c>
      <c r="D1524">
        <v>197</v>
      </c>
      <c r="E1524">
        <v>150</v>
      </c>
      <c r="F1524">
        <v>12.66</v>
      </c>
      <c r="G1524" t="s">
        <v>32</v>
      </c>
      <c r="H1524" s="1">
        <v>45354</v>
      </c>
      <c r="I1524" s="1">
        <v>45359</v>
      </c>
      <c r="J1524" t="s">
        <v>37</v>
      </c>
      <c r="K1524" t="b">
        <f>Table1[[#This Row],[CurrentStock]]&lt;Table1[[#This Row],[ReorderLevel]]</f>
        <v>0</v>
      </c>
      <c r="L1524" s="9">
        <f>Table1[[#This Row],[CurrentStock]]*Table1[[#This Row],[UnitPrice]]</f>
        <v>2494.02</v>
      </c>
      <c r="M1524" t="str">
        <f>IF(Table1[[#This Row],[ReorderLevel]]-Table1[[#This Row],[CurrentStock]]&gt;0,Table1[[#This Row],[ReorderLevel]]-Table1[[#This Row],[CurrentStock]],"")</f>
        <v/>
      </c>
      <c r="N1524" t="str">
        <f>IF(Table1[[#This Row],[CurrentStock]]&gt;Table1[[#This Row],[ReorderLevel]]*3,"Over Stock","Okay")</f>
        <v>Okay</v>
      </c>
      <c r="O1524" t="str">
        <f>IF(Table1[[#This Row],[CurrentStock]]&lt;Table1[[#This Row],[ReorderLevel]],"Reorder","Okay")</f>
        <v>Okay</v>
      </c>
    </row>
    <row r="1525" spans="1:15" x14ac:dyDescent="0.3">
      <c r="A1525">
        <v>85499</v>
      </c>
      <c r="B1525" t="s">
        <v>21</v>
      </c>
      <c r="C1525" t="s">
        <v>31</v>
      </c>
      <c r="D1525">
        <v>332</v>
      </c>
      <c r="E1525">
        <v>50</v>
      </c>
      <c r="F1525">
        <v>137.33000000000001</v>
      </c>
      <c r="G1525" t="s">
        <v>32</v>
      </c>
      <c r="H1525" s="1">
        <v>45577</v>
      </c>
      <c r="I1525" s="1">
        <v>45601</v>
      </c>
      <c r="J1525" t="s">
        <v>39</v>
      </c>
      <c r="K1525" t="b">
        <f>Table1[[#This Row],[CurrentStock]]&lt;Table1[[#This Row],[ReorderLevel]]</f>
        <v>0</v>
      </c>
      <c r="L1525" s="9">
        <f>Table1[[#This Row],[CurrentStock]]*Table1[[#This Row],[UnitPrice]]</f>
        <v>45593.560000000005</v>
      </c>
      <c r="M1525" t="str">
        <f>IF(Table1[[#This Row],[ReorderLevel]]-Table1[[#This Row],[CurrentStock]]&gt;0,Table1[[#This Row],[ReorderLevel]]-Table1[[#This Row],[CurrentStock]],"")</f>
        <v/>
      </c>
      <c r="N1525" t="str">
        <f>IF(Table1[[#This Row],[CurrentStock]]&gt;Table1[[#This Row],[ReorderLevel]]*3,"Over Stock","Okay")</f>
        <v>Over Stock</v>
      </c>
      <c r="O1525" t="str">
        <f>IF(Table1[[#This Row],[CurrentStock]]&lt;Table1[[#This Row],[ReorderLevel]],"Reorder","Okay")</f>
        <v>Okay</v>
      </c>
    </row>
    <row r="1526" spans="1:15" x14ac:dyDescent="0.3">
      <c r="A1526">
        <v>76600</v>
      </c>
      <c r="B1526" t="s">
        <v>15</v>
      </c>
      <c r="C1526" t="s">
        <v>29</v>
      </c>
      <c r="D1526">
        <v>51</v>
      </c>
      <c r="E1526">
        <v>150</v>
      </c>
      <c r="F1526">
        <v>65.56</v>
      </c>
      <c r="G1526" t="s">
        <v>35</v>
      </c>
      <c r="H1526" s="1">
        <v>45396</v>
      </c>
      <c r="I1526" s="1">
        <v>45434</v>
      </c>
      <c r="J1526" t="s">
        <v>37</v>
      </c>
      <c r="K1526" t="b">
        <f>Table1[[#This Row],[CurrentStock]]&lt;Table1[[#This Row],[ReorderLevel]]</f>
        <v>1</v>
      </c>
      <c r="L1526" s="9">
        <f>Table1[[#This Row],[CurrentStock]]*Table1[[#This Row],[UnitPrice]]</f>
        <v>3343.56</v>
      </c>
      <c r="M1526">
        <f>IF(Table1[[#This Row],[ReorderLevel]]-Table1[[#This Row],[CurrentStock]]&gt;0,Table1[[#This Row],[ReorderLevel]]-Table1[[#This Row],[CurrentStock]],"")</f>
        <v>99</v>
      </c>
      <c r="N1526" t="str">
        <f>IF(Table1[[#This Row],[CurrentStock]]&gt;Table1[[#This Row],[ReorderLevel]]*3,"Over Stock","Okay")</f>
        <v>Okay</v>
      </c>
      <c r="O1526" t="str">
        <f>IF(Table1[[#This Row],[CurrentStock]]&lt;Table1[[#This Row],[ReorderLevel]],"Reorder","Okay")</f>
        <v>Reorder</v>
      </c>
    </row>
    <row r="1527" spans="1:15" x14ac:dyDescent="0.3">
      <c r="A1527">
        <v>62433</v>
      </c>
      <c r="B1527" t="s">
        <v>12</v>
      </c>
      <c r="C1527" t="s">
        <v>28</v>
      </c>
      <c r="D1527">
        <v>334</v>
      </c>
      <c r="E1527">
        <v>20</v>
      </c>
      <c r="F1527">
        <v>16.43</v>
      </c>
      <c r="G1527" t="s">
        <v>33</v>
      </c>
      <c r="H1527" s="1">
        <v>45643</v>
      </c>
      <c r="I1527" s="1">
        <v>45680</v>
      </c>
      <c r="J1527" t="s">
        <v>39</v>
      </c>
      <c r="K1527" t="b">
        <f>Table1[[#This Row],[CurrentStock]]&lt;Table1[[#This Row],[ReorderLevel]]</f>
        <v>0</v>
      </c>
      <c r="L1527" s="9">
        <f>Table1[[#This Row],[CurrentStock]]*Table1[[#This Row],[UnitPrice]]</f>
        <v>5487.62</v>
      </c>
      <c r="M1527" t="str">
        <f>IF(Table1[[#This Row],[ReorderLevel]]-Table1[[#This Row],[CurrentStock]]&gt;0,Table1[[#This Row],[ReorderLevel]]-Table1[[#This Row],[CurrentStock]],"")</f>
        <v/>
      </c>
      <c r="N1527" t="str">
        <f>IF(Table1[[#This Row],[CurrentStock]]&gt;Table1[[#This Row],[ReorderLevel]]*3,"Over Stock","Okay")</f>
        <v>Over Stock</v>
      </c>
      <c r="O1527" t="str">
        <f>IF(Table1[[#This Row],[CurrentStock]]&lt;Table1[[#This Row],[ReorderLevel]],"Reorder","Okay")</f>
        <v>Okay</v>
      </c>
    </row>
    <row r="1528" spans="1:15" x14ac:dyDescent="0.3">
      <c r="A1528">
        <v>61782</v>
      </c>
      <c r="B1528" t="s">
        <v>10</v>
      </c>
      <c r="C1528" t="s">
        <v>27</v>
      </c>
      <c r="D1528">
        <v>406</v>
      </c>
      <c r="E1528">
        <v>80</v>
      </c>
      <c r="F1528">
        <v>189.28</v>
      </c>
      <c r="G1528" t="s">
        <v>35</v>
      </c>
      <c r="H1528" s="1">
        <v>45436</v>
      </c>
      <c r="I1528" s="1">
        <v>45471</v>
      </c>
      <c r="J1528" t="s">
        <v>39</v>
      </c>
      <c r="K1528" t="b">
        <f>Table1[[#This Row],[CurrentStock]]&lt;Table1[[#This Row],[ReorderLevel]]</f>
        <v>0</v>
      </c>
      <c r="L1528" s="9">
        <f>Table1[[#This Row],[CurrentStock]]*Table1[[#This Row],[UnitPrice]]</f>
        <v>76847.680000000008</v>
      </c>
      <c r="M1528" t="str">
        <f>IF(Table1[[#This Row],[ReorderLevel]]-Table1[[#This Row],[CurrentStock]]&gt;0,Table1[[#This Row],[ReorderLevel]]-Table1[[#This Row],[CurrentStock]],"")</f>
        <v/>
      </c>
      <c r="N1528" t="str">
        <f>IF(Table1[[#This Row],[CurrentStock]]&gt;Table1[[#This Row],[ReorderLevel]]*3,"Over Stock","Okay")</f>
        <v>Over Stock</v>
      </c>
      <c r="O1528" t="str">
        <f>IF(Table1[[#This Row],[CurrentStock]]&lt;Table1[[#This Row],[ReorderLevel]],"Reorder","Okay")</f>
        <v>Okay</v>
      </c>
    </row>
    <row r="1529" spans="1:15" x14ac:dyDescent="0.3">
      <c r="A1529">
        <v>60021</v>
      </c>
      <c r="B1529" t="s">
        <v>23</v>
      </c>
      <c r="C1529" t="s">
        <v>30</v>
      </c>
      <c r="D1529">
        <v>270</v>
      </c>
      <c r="E1529">
        <v>80</v>
      </c>
      <c r="F1529">
        <v>327.33999999999997</v>
      </c>
      <c r="G1529" t="s">
        <v>33</v>
      </c>
      <c r="H1529" s="1">
        <v>45444</v>
      </c>
      <c r="I1529" s="1">
        <v>45469</v>
      </c>
      <c r="J1529" t="s">
        <v>38</v>
      </c>
      <c r="K1529" t="b">
        <f>Table1[[#This Row],[CurrentStock]]&lt;Table1[[#This Row],[ReorderLevel]]</f>
        <v>0</v>
      </c>
      <c r="L1529" s="9">
        <f>Table1[[#This Row],[CurrentStock]]*Table1[[#This Row],[UnitPrice]]</f>
        <v>88381.799999999988</v>
      </c>
      <c r="M1529" t="str">
        <f>IF(Table1[[#This Row],[ReorderLevel]]-Table1[[#This Row],[CurrentStock]]&gt;0,Table1[[#This Row],[ReorderLevel]]-Table1[[#This Row],[CurrentStock]],"")</f>
        <v/>
      </c>
      <c r="N1529" t="str">
        <f>IF(Table1[[#This Row],[CurrentStock]]&gt;Table1[[#This Row],[ReorderLevel]]*3,"Over Stock","Okay")</f>
        <v>Over Stock</v>
      </c>
      <c r="O1529" t="str">
        <f>IF(Table1[[#This Row],[CurrentStock]]&lt;Table1[[#This Row],[ReorderLevel]],"Reorder","Okay")</f>
        <v>Okay</v>
      </c>
    </row>
    <row r="1530" spans="1:15" x14ac:dyDescent="0.3">
      <c r="A1530">
        <v>65822</v>
      </c>
      <c r="B1530" t="s">
        <v>18</v>
      </c>
      <c r="C1530" t="s">
        <v>28</v>
      </c>
      <c r="D1530">
        <v>451</v>
      </c>
      <c r="E1530">
        <v>50</v>
      </c>
      <c r="F1530">
        <v>187.29</v>
      </c>
      <c r="G1530" t="s">
        <v>34</v>
      </c>
      <c r="H1530" s="1">
        <v>45509</v>
      </c>
      <c r="I1530" s="1">
        <v>45547</v>
      </c>
      <c r="J1530" t="s">
        <v>39</v>
      </c>
      <c r="K1530" t="b">
        <f>Table1[[#This Row],[CurrentStock]]&lt;Table1[[#This Row],[ReorderLevel]]</f>
        <v>0</v>
      </c>
      <c r="L1530" s="9">
        <f>Table1[[#This Row],[CurrentStock]]*Table1[[#This Row],[UnitPrice]]</f>
        <v>84467.79</v>
      </c>
      <c r="M1530" t="str">
        <f>IF(Table1[[#This Row],[ReorderLevel]]-Table1[[#This Row],[CurrentStock]]&gt;0,Table1[[#This Row],[ReorderLevel]]-Table1[[#This Row],[CurrentStock]],"")</f>
        <v/>
      </c>
      <c r="N1530" t="str">
        <f>IF(Table1[[#This Row],[CurrentStock]]&gt;Table1[[#This Row],[ReorderLevel]]*3,"Over Stock","Okay")</f>
        <v>Over Stock</v>
      </c>
      <c r="O1530" t="str">
        <f>IF(Table1[[#This Row],[CurrentStock]]&lt;Table1[[#This Row],[ReorderLevel]],"Reorder","Okay")</f>
        <v>Okay</v>
      </c>
    </row>
    <row r="1531" spans="1:15" x14ac:dyDescent="0.3">
      <c r="A1531">
        <v>17925</v>
      </c>
      <c r="B1531" t="s">
        <v>22</v>
      </c>
      <c r="C1531" t="s">
        <v>27</v>
      </c>
      <c r="D1531">
        <v>264</v>
      </c>
      <c r="E1531">
        <v>150</v>
      </c>
      <c r="F1531">
        <v>70.010000000000005</v>
      </c>
      <c r="G1531" t="s">
        <v>34</v>
      </c>
      <c r="H1531" s="1">
        <v>45498</v>
      </c>
      <c r="I1531" s="1">
        <v>45511</v>
      </c>
      <c r="J1531" t="s">
        <v>37</v>
      </c>
      <c r="K1531" t="b">
        <f>Table1[[#This Row],[CurrentStock]]&lt;Table1[[#This Row],[ReorderLevel]]</f>
        <v>0</v>
      </c>
      <c r="L1531" s="9">
        <f>Table1[[#This Row],[CurrentStock]]*Table1[[#This Row],[UnitPrice]]</f>
        <v>18482.640000000003</v>
      </c>
      <c r="M1531" t="str">
        <f>IF(Table1[[#This Row],[ReorderLevel]]-Table1[[#This Row],[CurrentStock]]&gt;0,Table1[[#This Row],[ReorderLevel]]-Table1[[#This Row],[CurrentStock]],"")</f>
        <v/>
      </c>
      <c r="N1531" t="str">
        <f>IF(Table1[[#This Row],[CurrentStock]]&gt;Table1[[#This Row],[ReorderLevel]]*3,"Over Stock","Okay")</f>
        <v>Okay</v>
      </c>
      <c r="O1531" t="str">
        <f>IF(Table1[[#This Row],[CurrentStock]]&lt;Table1[[#This Row],[ReorderLevel]],"Reorder","Okay")</f>
        <v>Okay</v>
      </c>
    </row>
    <row r="1532" spans="1:15" x14ac:dyDescent="0.3">
      <c r="A1532">
        <v>17883</v>
      </c>
      <c r="B1532" t="s">
        <v>15</v>
      </c>
      <c r="C1532" t="s">
        <v>29</v>
      </c>
      <c r="D1532">
        <v>18</v>
      </c>
      <c r="E1532">
        <v>50</v>
      </c>
      <c r="F1532">
        <v>385.63</v>
      </c>
      <c r="G1532" t="s">
        <v>36</v>
      </c>
      <c r="H1532" s="1">
        <v>45532</v>
      </c>
      <c r="I1532" s="1">
        <v>45543</v>
      </c>
      <c r="J1532" t="s">
        <v>39</v>
      </c>
      <c r="K1532" t="b">
        <f>Table1[[#This Row],[CurrentStock]]&lt;Table1[[#This Row],[ReorderLevel]]</f>
        <v>1</v>
      </c>
      <c r="L1532" s="9">
        <f>Table1[[#This Row],[CurrentStock]]*Table1[[#This Row],[UnitPrice]]</f>
        <v>6941.34</v>
      </c>
      <c r="M1532">
        <f>IF(Table1[[#This Row],[ReorderLevel]]-Table1[[#This Row],[CurrentStock]]&gt;0,Table1[[#This Row],[ReorderLevel]]-Table1[[#This Row],[CurrentStock]],"")</f>
        <v>32</v>
      </c>
      <c r="N1532" t="str">
        <f>IF(Table1[[#This Row],[CurrentStock]]&gt;Table1[[#This Row],[ReorderLevel]]*3,"Over Stock","Okay")</f>
        <v>Okay</v>
      </c>
      <c r="O1532" t="str">
        <f>IF(Table1[[#This Row],[CurrentStock]]&lt;Table1[[#This Row],[ReorderLevel]],"Reorder","Okay")</f>
        <v>Reorder</v>
      </c>
    </row>
    <row r="1533" spans="1:15" x14ac:dyDescent="0.3">
      <c r="A1533">
        <v>80543</v>
      </c>
      <c r="B1533" t="s">
        <v>13</v>
      </c>
      <c r="C1533" t="s">
        <v>29</v>
      </c>
      <c r="D1533">
        <v>306</v>
      </c>
      <c r="E1533">
        <v>50</v>
      </c>
      <c r="F1533">
        <v>296.32</v>
      </c>
      <c r="G1533" t="s">
        <v>34</v>
      </c>
      <c r="H1533" s="1">
        <v>45360</v>
      </c>
      <c r="I1533" s="1">
        <v>45368</v>
      </c>
      <c r="J1533" t="s">
        <v>39</v>
      </c>
      <c r="K1533" t="b">
        <f>Table1[[#This Row],[CurrentStock]]&lt;Table1[[#This Row],[ReorderLevel]]</f>
        <v>0</v>
      </c>
      <c r="L1533" s="9">
        <f>Table1[[#This Row],[CurrentStock]]*Table1[[#This Row],[UnitPrice]]</f>
        <v>90673.919999999998</v>
      </c>
      <c r="M1533" t="str">
        <f>IF(Table1[[#This Row],[ReorderLevel]]-Table1[[#This Row],[CurrentStock]]&gt;0,Table1[[#This Row],[ReorderLevel]]-Table1[[#This Row],[CurrentStock]],"")</f>
        <v/>
      </c>
      <c r="N1533" t="str">
        <f>IF(Table1[[#This Row],[CurrentStock]]&gt;Table1[[#This Row],[ReorderLevel]]*3,"Over Stock","Okay")</f>
        <v>Over Stock</v>
      </c>
      <c r="O1533" t="str">
        <f>IF(Table1[[#This Row],[CurrentStock]]&lt;Table1[[#This Row],[ReorderLevel]],"Reorder","Okay")</f>
        <v>Okay</v>
      </c>
    </row>
    <row r="1534" spans="1:15" x14ac:dyDescent="0.3">
      <c r="A1534">
        <v>63634</v>
      </c>
      <c r="B1534" t="s">
        <v>19</v>
      </c>
      <c r="C1534" t="s">
        <v>28</v>
      </c>
      <c r="D1534">
        <v>5</v>
      </c>
      <c r="E1534">
        <v>40</v>
      </c>
      <c r="F1534">
        <v>56.52</v>
      </c>
      <c r="G1534" t="s">
        <v>34</v>
      </c>
      <c r="H1534" s="1">
        <v>45358</v>
      </c>
      <c r="I1534" s="1">
        <v>45373</v>
      </c>
      <c r="J1534" t="s">
        <v>39</v>
      </c>
      <c r="K1534" t="b">
        <f>Table1[[#This Row],[CurrentStock]]&lt;Table1[[#This Row],[ReorderLevel]]</f>
        <v>1</v>
      </c>
      <c r="L1534" s="9">
        <f>Table1[[#This Row],[CurrentStock]]*Table1[[#This Row],[UnitPrice]]</f>
        <v>282.60000000000002</v>
      </c>
      <c r="M1534">
        <f>IF(Table1[[#This Row],[ReorderLevel]]-Table1[[#This Row],[CurrentStock]]&gt;0,Table1[[#This Row],[ReorderLevel]]-Table1[[#This Row],[CurrentStock]],"")</f>
        <v>35</v>
      </c>
      <c r="N1534" t="str">
        <f>IF(Table1[[#This Row],[CurrentStock]]&gt;Table1[[#This Row],[ReorderLevel]]*3,"Over Stock","Okay")</f>
        <v>Okay</v>
      </c>
      <c r="O1534" t="str">
        <f>IF(Table1[[#This Row],[CurrentStock]]&lt;Table1[[#This Row],[ReorderLevel]],"Reorder","Okay")</f>
        <v>Reorder</v>
      </c>
    </row>
    <row r="1535" spans="1:15" x14ac:dyDescent="0.3">
      <c r="A1535">
        <v>31143</v>
      </c>
      <c r="B1535" t="s">
        <v>24</v>
      </c>
      <c r="C1535" t="s">
        <v>31</v>
      </c>
      <c r="D1535">
        <v>431</v>
      </c>
      <c r="E1535">
        <v>40</v>
      </c>
      <c r="F1535">
        <v>108.7</v>
      </c>
      <c r="G1535" t="s">
        <v>34</v>
      </c>
      <c r="H1535" s="1">
        <v>45431</v>
      </c>
      <c r="I1535" s="1">
        <v>45448</v>
      </c>
      <c r="J1535" t="s">
        <v>37</v>
      </c>
      <c r="K1535" t="b">
        <f>Table1[[#This Row],[CurrentStock]]&lt;Table1[[#This Row],[ReorderLevel]]</f>
        <v>0</v>
      </c>
      <c r="L1535" s="9">
        <f>Table1[[#This Row],[CurrentStock]]*Table1[[#This Row],[UnitPrice]]</f>
        <v>46849.700000000004</v>
      </c>
      <c r="M1535" t="str">
        <f>IF(Table1[[#This Row],[ReorderLevel]]-Table1[[#This Row],[CurrentStock]]&gt;0,Table1[[#This Row],[ReorderLevel]]-Table1[[#This Row],[CurrentStock]],"")</f>
        <v/>
      </c>
      <c r="N1535" t="str">
        <f>IF(Table1[[#This Row],[CurrentStock]]&gt;Table1[[#This Row],[ReorderLevel]]*3,"Over Stock","Okay")</f>
        <v>Over Stock</v>
      </c>
      <c r="O1535" t="str">
        <f>IF(Table1[[#This Row],[CurrentStock]]&lt;Table1[[#This Row],[ReorderLevel]],"Reorder","Okay")</f>
        <v>Okay</v>
      </c>
    </row>
    <row r="1536" spans="1:15" x14ac:dyDescent="0.3">
      <c r="A1536">
        <v>60235</v>
      </c>
      <c r="B1536" t="s">
        <v>26</v>
      </c>
      <c r="C1536" t="s">
        <v>30</v>
      </c>
      <c r="D1536">
        <v>375</v>
      </c>
      <c r="E1536">
        <v>50</v>
      </c>
      <c r="F1536">
        <v>478.49</v>
      </c>
      <c r="G1536" t="s">
        <v>32</v>
      </c>
      <c r="H1536" s="1">
        <v>45495</v>
      </c>
      <c r="I1536" s="1">
        <v>45520</v>
      </c>
      <c r="J1536" t="s">
        <v>37</v>
      </c>
      <c r="K1536" t="b">
        <f>Table1[[#This Row],[CurrentStock]]&lt;Table1[[#This Row],[ReorderLevel]]</f>
        <v>0</v>
      </c>
      <c r="L1536" s="9">
        <f>Table1[[#This Row],[CurrentStock]]*Table1[[#This Row],[UnitPrice]]</f>
        <v>179433.75</v>
      </c>
      <c r="M1536" t="str">
        <f>IF(Table1[[#This Row],[ReorderLevel]]-Table1[[#This Row],[CurrentStock]]&gt;0,Table1[[#This Row],[ReorderLevel]]-Table1[[#This Row],[CurrentStock]],"")</f>
        <v/>
      </c>
      <c r="N1536" t="str">
        <f>IF(Table1[[#This Row],[CurrentStock]]&gt;Table1[[#This Row],[ReorderLevel]]*3,"Over Stock","Okay")</f>
        <v>Over Stock</v>
      </c>
      <c r="O1536" t="str">
        <f>IF(Table1[[#This Row],[CurrentStock]]&lt;Table1[[#This Row],[ReorderLevel]],"Reorder","Okay")</f>
        <v>Okay</v>
      </c>
    </row>
    <row r="1537" spans="1:15" x14ac:dyDescent="0.3">
      <c r="A1537">
        <v>95333</v>
      </c>
      <c r="B1537" t="s">
        <v>15</v>
      </c>
      <c r="C1537" t="s">
        <v>29</v>
      </c>
      <c r="D1537">
        <v>244</v>
      </c>
      <c r="E1537">
        <v>100</v>
      </c>
      <c r="F1537">
        <v>323.56</v>
      </c>
      <c r="G1537" t="s">
        <v>33</v>
      </c>
      <c r="H1537" s="1">
        <v>45367</v>
      </c>
      <c r="I1537" s="1">
        <v>45385</v>
      </c>
      <c r="J1537" t="s">
        <v>38</v>
      </c>
      <c r="K1537" t="b">
        <f>Table1[[#This Row],[CurrentStock]]&lt;Table1[[#This Row],[ReorderLevel]]</f>
        <v>0</v>
      </c>
      <c r="L1537" s="9">
        <f>Table1[[#This Row],[CurrentStock]]*Table1[[#This Row],[UnitPrice]]</f>
        <v>78948.639999999999</v>
      </c>
      <c r="M1537" t="str">
        <f>IF(Table1[[#This Row],[ReorderLevel]]-Table1[[#This Row],[CurrentStock]]&gt;0,Table1[[#This Row],[ReorderLevel]]-Table1[[#This Row],[CurrentStock]],"")</f>
        <v/>
      </c>
      <c r="N1537" t="str">
        <f>IF(Table1[[#This Row],[CurrentStock]]&gt;Table1[[#This Row],[ReorderLevel]]*3,"Over Stock","Okay")</f>
        <v>Okay</v>
      </c>
      <c r="O1537" t="str">
        <f>IF(Table1[[#This Row],[CurrentStock]]&lt;Table1[[#This Row],[ReorderLevel]],"Reorder","Okay")</f>
        <v>Okay</v>
      </c>
    </row>
    <row r="1538" spans="1:15" x14ac:dyDescent="0.3">
      <c r="A1538">
        <v>25065</v>
      </c>
      <c r="B1538" t="s">
        <v>15</v>
      </c>
      <c r="C1538" t="s">
        <v>29</v>
      </c>
      <c r="D1538">
        <v>189</v>
      </c>
      <c r="E1538">
        <v>100</v>
      </c>
      <c r="F1538">
        <v>283.77999999999997</v>
      </c>
      <c r="G1538" t="s">
        <v>33</v>
      </c>
      <c r="H1538" s="1">
        <v>45439</v>
      </c>
      <c r="I1538" s="1">
        <v>45464</v>
      </c>
      <c r="J1538" t="s">
        <v>39</v>
      </c>
      <c r="K1538" t="b">
        <f>Table1[[#This Row],[CurrentStock]]&lt;Table1[[#This Row],[ReorderLevel]]</f>
        <v>0</v>
      </c>
      <c r="L1538" s="9">
        <f>Table1[[#This Row],[CurrentStock]]*Table1[[#This Row],[UnitPrice]]</f>
        <v>53634.42</v>
      </c>
      <c r="M1538" t="str">
        <f>IF(Table1[[#This Row],[ReorderLevel]]-Table1[[#This Row],[CurrentStock]]&gt;0,Table1[[#This Row],[ReorderLevel]]-Table1[[#This Row],[CurrentStock]],"")</f>
        <v/>
      </c>
      <c r="N1538" t="str">
        <f>IF(Table1[[#This Row],[CurrentStock]]&gt;Table1[[#This Row],[ReorderLevel]]*3,"Over Stock","Okay")</f>
        <v>Okay</v>
      </c>
      <c r="O1538" t="str">
        <f>IF(Table1[[#This Row],[CurrentStock]]&lt;Table1[[#This Row],[ReorderLevel]],"Reorder","Okay")</f>
        <v>Okay</v>
      </c>
    </row>
    <row r="1539" spans="1:15" x14ac:dyDescent="0.3">
      <c r="A1539">
        <v>73908</v>
      </c>
      <c r="B1539" t="s">
        <v>21</v>
      </c>
      <c r="C1539" t="s">
        <v>31</v>
      </c>
      <c r="D1539">
        <v>150</v>
      </c>
      <c r="E1539">
        <v>50</v>
      </c>
      <c r="F1539">
        <v>112.01</v>
      </c>
      <c r="G1539" t="s">
        <v>35</v>
      </c>
      <c r="H1539" s="1">
        <v>45419</v>
      </c>
      <c r="I1539" s="1">
        <v>45437</v>
      </c>
      <c r="J1539" t="s">
        <v>39</v>
      </c>
      <c r="K1539" t="b">
        <f>Table1[[#This Row],[CurrentStock]]&lt;Table1[[#This Row],[ReorderLevel]]</f>
        <v>0</v>
      </c>
      <c r="L1539" s="9">
        <f>Table1[[#This Row],[CurrentStock]]*Table1[[#This Row],[UnitPrice]]</f>
        <v>16801.5</v>
      </c>
      <c r="M1539" t="str">
        <f>IF(Table1[[#This Row],[ReorderLevel]]-Table1[[#This Row],[CurrentStock]]&gt;0,Table1[[#This Row],[ReorderLevel]]-Table1[[#This Row],[CurrentStock]],"")</f>
        <v/>
      </c>
      <c r="N1539" t="str">
        <f>IF(Table1[[#This Row],[CurrentStock]]&gt;Table1[[#This Row],[ReorderLevel]]*3,"Over Stock","Okay")</f>
        <v>Okay</v>
      </c>
      <c r="O1539" t="str">
        <f>IF(Table1[[#This Row],[CurrentStock]]&lt;Table1[[#This Row],[ReorderLevel]],"Reorder","Okay")</f>
        <v>Okay</v>
      </c>
    </row>
    <row r="1540" spans="1:15" x14ac:dyDescent="0.3">
      <c r="A1540">
        <v>44579</v>
      </c>
      <c r="B1540" t="s">
        <v>19</v>
      </c>
      <c r="C1540" t="s">
        <v>28</v>
      </c>
      <c r="D1540">
        <v>21</v>
      </c>
      <c r="E1540">
        <v>150</v>
      </c>
      <c r="F1540">
        <v>427.86</v>
      </c>
      <c r="G1540" t="s">
        <v>32</v>
      </c>
      <c r="H1540" s="1">
        <v>45440</v>
      </c>
      <c r="I1540" s="1">
        <v>45460</v>
      </c>
      <c r="J1540" t="s">
        <v>38</v>
      </c>
      <c r="K1540" t="b">
        <f>Table1[[#This Row],[CurrentStock]]&lt;Table1[[#This Row],[ReorderLevel]]</f>
        <v>1</v>
      </c>
      <c r="L1540" s="9">
        <f>Table1[[#This Row],[CurrentStock]]*Table1[[#This Row],[UnitPrice]]</f>
        <v>8985.06</v>
      </c>
      <c r="M1540">
        <f>IF(Table1[[#This Row],[ReorderLevel]]-Table1[[#This Row],[CurrentStock]]&gt;0,Table1[[#This Row],[ReorderLevel]]-Table1[[#This Row],[CurrentStock]],"")</f>
        <v>129</v>
      </c>
      <c r="N1540" t="str">
        <f>IF(Table1[[#This Row],[CurrentStock]]&gt;Table1[[#This Row],[ReorderLevel]]*3,"Over Stock","Okay")</f>
        <v>Okay</v>
      </c>
      <c r="O1540" t="str">
        <f>IF(Table1[[#This Row],[CurrentStock]]&lt;Table1[[#This Row],[ReorderLevel]],"Reorder","Okay")</f>
        <v>Reorder</v>
      </c>
    </row>
    <row r="1541" spans="1:15" x14ac:dyDescent="0.3">
      <c r="A1541">
        <v>80640</v>
      </c>
      <c r="B1541" t="s">
        <v>25</v>
      </c>
      <c r="C1541" t="s">
        <v>31</v>
      </c>
      <c r="D1541">
        <v>303</v>
      </c>
      <c r="E1541">
        <v>150</v>
      </c>
      <c r="F1541">
        <v>93.35</v>
      </c>
      <c r="G1541" t="s">
        <v>34</v>
      </c>
      <c r="H1541" s="1">
        <v>45533</v>
      </c>
      <c r="I1541" s="1">
        <v>45541</v>
      </c>
      <c r="J1541" t="s">
        <v>38</v>
      </c>
      <c r="K1541" t="b">
        <f>Table1[[#This Row],[CurrentStock]]&lt;Table1[[#This Row],[ReorderLevel]]</f>
        <v>0</v>
      </c>
      <c r="L1541" s="9">
        <f>Table1[[#This Row],[CurrentStock]]*Table1[[#This Row],[UnitPrice]]</f>
        <v>28285.05</v>
      </c>
      <c r="M1541" t="str">
        <f>IF(Table1[[#This Row],[ReorderLevel]]-Table1[[#This Row],[CurrentStock]]&gt;0,Table1[[#This Row],[ReorderLevel]]-Table1[[#This Row],[CurrentStock]],"")</f>
        <v/>
      </c>
      <c r="N1541" t="str">
        <f>IF(Table1[[#This Row],[CurrentStock]]&gt;Table1[[#This Row],[ReorderLevel]]*3,"Over Stock","Okay")</f>
        <v>Okay</v>
      </c>
      <c r="O1541" t="str">
        <f>IF(Table1[[#This Row],[CurrentStock]]&lt;Table1[[#This Row],[ReorderLevel]],"Reorder","Okay")</f>
        <v>Okay</v>
      </c>
    </row>
    <row r="1542" spans="1:15" x14ac:dyDescent="0.3">
      <c r="A1542">
        <v>28366</v>
      </c>
      <c r="B1542" t="s">
        <v>22</v>
      </c>
      <c r="C1542" t="s">
        <v>27</v>
      </c>
      <c r="D1542">
        <v>351</v>
      </c>
      <c r="E1542">
        <v>30</v>
      </c>
      <c r="F1542">
        <v>167.9</v>
      </c>
      <c r="G1542" t="s">
        <v>35</v>
      </c>
      <c r="H1542" s="1">
        <v>45377</v>
      </c>
      <c r="I1542" s="1">
        <v>45395</v>
      </c>
      <c r="J1542" t="s">
        <v>37</v>
      </c>
      <c r="K1542" t="b">
        <f>Table1[[#This Row],[CurrentStock]]&lt;Table1[[#This Row],[ReorderLevel]]</f>
        <v>0</v>
      </c>
      <c r="L1542" s="9">
        <f>Table1[[#This Row],[CurrentStock]]*Table1[[#This Row],[UnitPrice]]</f>
        <v>58932.9</v>
      </c>
      <c r="M1542" t="str">
        <f>IF(Table1[[#This Row],[ReorderLevel]]-Table1[[#This Row],[CurrentStock]]&gt;0,Table1[[#This Row],[ReorderLevel]]-Table1[[#This Row],[CurrentStock]],"")</f>
        <v/>
      </c>
      <c r="N1542" t="str">
        <f>IF(Table1[[#This Row],[CurrentStock]]&gt;Table1[[#This Row],[ReorderLevel]]*3,"Over Stock","Okay")</f>
        <v>Over Stock</v>
      </c>
      <c r="O1542" t="str">
        <f>IF(Table1[[#This Row],[CurrentStock]]&lt;Table1[[#This Row],[ReorderLevel]],"Reorder","Okay")</f>
        <v>Okay</v>
      </c>
    </row>
    <row r="1543" spans="1:15" x14ac:dyDescent="0.3">
      <c r="A1543">
        <v>78617</v>
      </c>
      <c r="B1543" t="s">
        <v>13</v>
      </c>
      <c r="C1543" t="s">
        <v>29</v>
      </c>
      <c r="D1543">
        <v>441</v>
      </c>
      <c r="E1543">
        <v>150</v>
      </c>
      <c r="F1543">
        <v>313.13</v>
      </c>
      <c r="G1543" t="s">
        <v>33</v>
      </c>
      <c r="H1543" s="1">
        <v>45474</v>
      </c>
      <c r="I1543" s="1">
        <v>45490</v>
      </c>
      <c r="J1543" t="s">
        <v>39</v>
      </c>
      <c r="K1543" t="b">
        <f>Table1[[#This Row],[CurrentStock]]&lt;Table1[[#This Row],[ReorderLevel]]</f>
        <v>0</v>
      </c>
      <c r="L1543" s="9">
        <f>Table1[[#This Row],[CurrentStock]]*Table1[[#This Row],[UnitPrice]]</f>
        <v>138090.32999999999</v>
      </c>
      <c r="M1543" t="str">
        <f>IF(Table1[[#This Row],[ReorderLevel]]-Table1[[#This Row],[CurrentStock]]&gt;0,Table1[[#This Row],[ReorderLevel]]-Table1[[#This Row],[CurrentStock]],"")</f>
        <v/>
      </c>
      <c r="N1543" t="str">
        <f>IF(Table1[[#This Row],[CurrentStock]]&gt;Table1[[#This Row],[ReorderLevel]]*3,"Over Stock","Okay")</f>
        <v>Okay</v>
      </c>
      <c r="O1543" t="str">
        <f>IF(Table1[[#This Row],[CurrentStock]]&lt;Table1[[#This Row],[ReorderLevel]],"Reorder","Okay")</f>
        <v>Okay</v>
      </c>
    </row>
    <row r="1544" spans="1:15" x14ac:dyDescent="0.3">
      <c r="A1544">
        <v>84642</v>
      </c>
      <c r="B1544" t="s">
        <v>10</v>
      </c>
      <c r="C1544" t="s">
        <v>27</v>
      </c>
      <c r="D1544">
        <v>350</v>
      </c>
      <c r="E1544">
        <v>40</v>
      </c>
      <c r="F1544">
        <v>488.6</v>
      </c>
      <c r="G1544" t="s">
        <v>35</v>
      </c>
      <c r="H1544" s="1">
        <v>45492</v>
      </c>
      <c r="I1544" s="1">
        <v>45510</v>
      </c>
      <c r="J1544" t="s">
        <v>37</v>
      </c>
      <c r="K1544" t="b">
        <f>Table1[[#This Row],[CurrentStock]]&lt;Table1[[#This Row],[ReorderLevel]]</f>
        <v>0</v>
      </c>
      <c r="L1544" s="9">
        <f>Table1[[#This Row],[CurrentStock]]*Table1[[#This Row],[UnitPrice]]</f>
        <v>171010</v>
      </c>
      <c r="M1544" t="str">
        <f>IF(Table1[[#This Row],[ReorderLevel]]-Table1[[#This Row],[CurrentStock]]&gt;0,Table1[[#This Row],[ReorderLevel]]-Table1[[#This Row],[CurrentStock]],"")</f>
        <v/>
      </c>
      <c r="N1544" t="str">
        <f>IF(Table1[[#This Row],[CurrentStock]]&gt;Table1[[#This Row],[ReorderLevel]]*3,"Over Stock","Okay")</f>
        <v>Over Stock</v>
      </c>
      <c r="O1544" t="str">
        <f>IF(Table1[[#This Row],[CurrentStock]]&lt;Table1[[#This Row],[ReorderLevel]],"Reorder","Okay")</f>
        <v>Okay</v>
      </c>
    </row>
    <row r="1545" spans="1:15" x14ac:dyDescent="0.3">
      <c r="A1545">
        <v>89865</v>
      </c>
      <c r="B1545" t="s">
        <v>25</v>
      </c>
      <c r="C1545" t="s">
        <v>31</v>
      </c>
      <c r="D1545">
        <v>366</v>
      </c>
      <c r="E1545">
        <v>100</v>
      </c>
      <c r="F1545">
        <v>459.86</v>
      </c>
      <c r="G1545" t="s">
        <v>34</v>
      </c>
      <c r="H1545" s="1">
        <v>45346</v>
      </c>
      <c r="I1545" s="1">
        <v>45359</v>
      </c>
      <c r="J1545" t="s">
        <v>38</v>
      </c>
      <c r="K1545" t="b">
        <f>Table1[[#This Row],[CurrentStock]]&lt;Table1[[#This Row],[ReorderLevel]]</f>
        <v>0</v>
      </c>
      <c r="L1545" s="9">
        <f>Table1[[#This Row],[CurrentStock]]*Table1[[#This Row],[UnitPrice]]</f>
        <v>168308.76</v>
      </c>
      <c r="M1545" t="str">
        <f>IF(Table1[[#This Row],[ReorderLevel]]-Table1[[#This Row],[CurrentStock]]&gt;0,Table1[[#This Row],[ReorderLevel]]-Table1[[#This Row],[CurrentStock]],"")</f>
        <v/>
      </c>
      <c r="N1545" t="str">
        <f>IF(Table1[[#This Row],[CurrentStock]]&gt;Table1[[#This Row],[ReorderLevel]]*3,"Over Stock","Okay")</f>
        <v>Over Stock</v>
      </c>
      <c r="O1545" t="str">
        <f>IF(Table1[[#This Row],[CurrentStock]]&lt;Table1[[#This Row],[ReorderLevel]],"Reorder","Okay")</f>
        <v>Okay</v>
      </c>
    </row>
    <row r="1546" spans="1:15" x14ac:dyDescent="0.3">
      <c r="A1546">
        <v>44052</v>
      </c>
      <c r="B1546" t="s">
        <v>10</v>
      </c>
      <c r="C1546" t="s">
        <v>27</v>
      </c>
      <c r="D1546">
        <v>391</v>
      </c>
      <c r="E1546">
        <v>20</v>
      </c>
      <c r="F1546">
        <v>98.39</v>
      </c>
      <c r="G1546" t="s">
        <v>33</v>
      </c>
      <c r="H1546" s="1">
        <v>45338</v>
      </c>
      <c r="I1546" s="1">
        <v>45353</v>
      </c>
      <c r="J1546" t="s">
        <v>38</v>
      </c>
      <c r="K1546" t="b">
        <f>Table1[[#This Row],[CurrentStock]]&lt;Table1[[#This Row],[ReorderLevel]]</f>
        <v>0</v>
      </c>
      <c r="L1546" s="9">
        <f>Table1[[#This Row],[CurrentStock]]*Table1[[#This Row],[UnitPrice]]</f>
        <v>38470.49</v>
      </c>
      <c r="M1546" t="str">
        <f>IF(Table1[[#This Row],[ReorderLevel]]-Table1[[#This Row],[CurrentStock]]&gt;0,Table1[[#This Row],[ReorderLevel]]-Table1[[#This Row],[CurrentStock]],"")</f>
        <v/>
      </c>
      <c r="N1546" t="str">
        <f>IF(Table1[[#This Row],[CurrentStock]]&gt;Table1[[#This Row],[ReorderLevel]]*3,"Over Stock","Okay")</f>
        <v>Over Stock</v>
      </c>
      <c r="O1546" t="str">
        <f>IF(Table1[[#This Row],[CurrentStock]]&lt;Table1[[#This Row],[ReorderLevel]],"Reorder","Okay")</f>
        <v>Okay</v>
      </c>
    </row>
    <row r="1547" spans="1:15" x14ac:dyDescent="0.3">
      <c r="A1547">
        <v>38702</v>
      </c>
      <c r="B1547" t="s">
        <v>24</v>
      </c>
      <c r="C1547" t="s">
        <v>31</v>
      </c>
      <c r="D1547">
        <v>260</v>
      </c>
      <c r="E1547">
        <v>100</v>
      </c>
      <c r="F1547">
        <v>381.89</v>
      </c>
      <c r="G1547" t="s">
        <v>32</v>
      </c>
      <c r="H1547" s="1">
        <v>45629</v>
      </c>
      <c r="I1547" s="1">
        <v>45638</v>
      </c>
      <c r="J1547" t="s">
        <v>37</v>
      </c>
      <c r="K1547" t="b">
        <f>Table1[[#This Row],[CurrentStock]]&lt;Table1[[#This Row],[ReorderLevel]]</f>
        <v>0</v>
      </c>
      <c r="L1547" s="9">
        <f>Table1[[#This Row],[CurrentStock]]*Table1[[#This Row],[UnitPrice]]</f>
        <v>99291.4</v>
      </c>
      <c r="M1547" t="str">
        <f>IF(Table1[[#This Row],[ReorderLevel]]-Table1[[#This Row],[CurrentStock]]&gt;0,Table1[[#This Row],[ReorderLevel]]-Table1[[#This Row],[CurrentStock]],"")</f>
        <v/>
      </c>
      <c r="N1547" t="str">
        <f>IF(Table1[[#This Row],[CurrentStock]]&gt;Table1[[#This Row],[ReorderLevel]]*3,"Over Stock","Okay")</f>
        <v>Okay</v>
      </c>
      <c r="O1547" t="str">
        <f>IF(Table1[[#This Row],[CurrentStock]]&lt;Table1[[#This Row],[ReorderLevel]],"Reorder","Okay")</f>
        <v>Okay</v>
      </c>
    </row>
    <row r="1548" spans="1:15" x14ac:dyDescent="0.3">
      <c r="A1548">
        <v>76198</v>
      </c>
      <c r="B1548" t="s">
        <v>16</v>
      </c>
      <c r="C1548" t="s">
        <v>30</v>
      </c>
      <c r="D1548">
        <v>411</v>
      </c>
      <c r="E1548">
        <v>100</v>
      </c>
      <c r="F1548">
        <v>75.069999999999993</v>
      </c>
      <c r="G1548" t="s">
        <v>36</v>
      </c>
      <c r="H1548" s="1">
        <v>45567</v>
      </c>
      <c r="I1548" s="1">
        <v>45589</v>
      </c>
      <c r="J1548" t="s">
        <v>38</v>
      </c>
      <c r="K1548" t="b">
        <f>Table1[[#This Row],[CurrentStock]]&lt;Table1[[#This Row],[ReorderLevel]]</f>
        <v>0</v>
      </c>
      <c r="L1548" s="9">
        <f>Table1[[#This Row],[CurrentStock]]*Table1[[#This Row],[UnitPrice]]</f>
        <v>30853.769999999997</v>
      </c>
      <c r="M1548" t="str">
        <f>IF(Table1[[#This Row],[ReorderLevel]]-Table1[[#This Row],[CurrentStock]]&gt;0,Table1[[#This Row],[ReorderLevel]]-Table1[[#This Row],[CurrentStock]],"")</f>
        <v/>
      </c>
      <c r="N1548" t="str">
        <f>IF(Table1[[#This Row],[CurrentStock]]&gt;Table1[[#This Row],[ReorderLevel]]*3,"Over Stock","Okay")</f>
        <v>Over Stock</v>
      </c>
      <c r="O1548" t="str">
        <f>IF(Table1[[#This Row],[CurrentStock]]&lt;Table1[[#This Row],[ReorderLevel]],"Reorder","Okay")</f>
        <v>Okay</v>
      </c>
    </row>
    <row r="1549" spans="1:15" x14ac:dyDescent="0.3">
      <c r="A1549">
        <v>75296</v>
      </c>
      <c r="B1549" t="s">
        <v>18</v>
      </c>
      <c r="C1549" t="s">
        <v>28</v>
      </c>
      <c r="D1549">
        <v>175</v>
      </c>
      <c r="E1549">
        <v>80</v>
      </c>
      <c r="F1549">
        <v>216.57</v>
      </c>
      <c r="G1549" t="s">
        <v>36</v>
      </c>
      <c r="H1549" s="1">
        <v>45514</v>
      </c>
      <c r="I1549" s="1">
        <v>45521</v>
      </c>
      <c r="J1549" t="s">
        <v>39</v>
      </c>
      <c r="K1549" t="b">
        <f>Table1[[#This Row],[CurrentStock]]&lt;Table1[[#This Row],[ReorderLevel]]</f>
        <v>0</v>
      </c>
      <c r="L1549" s="9">
        <f>Table1[[#This Row],[CurrentStock]]*Table1[[#This Row],[UnitPrice]]</f>
        <v>37899.75</v>
      </c>
      <c r="M1549" t="str">
        <f>IF(Table1[[#This Row],[ReorderLevel]]-Table1[[#This Row],[CurrentStock]]&gt;0,Table1[[#This Row],[ReorderLevel]]-Table1[[#This Row],[CurrentStock]],"")</f>
        <v/>
      </c>
      <c r="N1549" t="str">
        <f>IF(Table1[[#This Row],[CurrentStock]]&gt;Table1[[#This Row],[ReorderLevel]]*3,"Over Stock","Okay")</f>
        <v>Okay</v>
      </c>
      <c r="O1549" t="str">
        <f>IF(Table1[[#This Row],[CurrentStock]]&lt;Table1[[#This Row],[ReorderLevel]],"Reorder","Okay")</f>
        <v>Okay</v>
      </c>
    </row>
    <row r="1550" spans="1:15" x14ac:dyDescent="0.3">
      <c r="A1550">
        <v>88437</v>
      </c>
      <c r="B1550" t="s">
        <v>21</v>
      </c>
      <c r="C1550" t="s">
        <v>31</v>
      </c>
      <c r="D1550">
        <v>342</v>
      </c>
      <c r="E1550">
        <v>100</v>
      </c>
      <c r="F1550">
        <v>349.79</v>
      </c>
      <c r="G1550" t="s">
        <v>36</v>
      </c>
      <c r="H1550" s="1">
        <v>45346</v>
      </c>
      <c r="I1550" s="1">
        <v>45358</v>
      </c>
      <c r="J1550" t="s">
        <v>38</v>
      </c>
      <c r="K1550" t="b">
        <f>Table1[[#This Row],[CurrentStock]]&lt;Table1[[#This Row],[ReorderLevel]]</f>
        <v>0</v>
      </c>
      <c r="L1550" s="9">
        <f>Table1[[#This Row],[CurrentStock]]*Table1[[#This Row],[UnitPrice]]</f>
        <v>119628.18000000001</v>
      </c>
      <c r="M1550" t="str">
        <f>IF(Table1[[#This Row],[ReorderLevel]]-Table1[[#This Row],[CurrentStock]]&gt;0,Table1[[#This Row],[ReorderLevel]]-Table1[[#This Row],[CurrentStock]],"")</f>
        <v/>
      </c>
      <c r="N1550" t="str">
        <f>IF(Table1[[#This Row],[CurrentStock]]&gt;Table1[[#This Row],[ReorderLevel]]*3,"Over Stock","Okay")</f>
        <v>Over Stock</v>
      </c>
      <c r="O1550" t="str">
        <f>IF(Table1[[#This Row],[CurrentStock]]&lt;Table1[[#This Row],[ReorderLevel]],"Reorder","Okay")</f>
        <v>Okay</v>
      </c>
    </row>
    <row r="1551" spans="1:15" x14ac:dyDescent="0.3">
      <c r="A1551">
        <v>35444</v>
      </c>
      <c r="B1551" t="s">
        <v>25</v>
      </c>
      <c r="C1551" t="s">
        <v>31</v>
      </c>
      <c r="D1551">
        <v>176</v>
      </c>
      <c r="E1551">
        <v>20</v>
      </c>
      <c r="F1551">
        <v>59.74</v>
      </c>
      <c r="G1551" t="s">
        <v>32</v>
      </c>
      <c r="H1551" s="1">
        <v>45592</v>
      </c>
      <c r="I1551" s="1">
        <v>45599</v>
      </c>
      <c r="J1551" t="s">
        <v>39</v>
      </c>
      <c r="K1551" t="b">
        <f>Table1[[#This Row],[CurrentStock]]&lt;Table1[[#This Row],[ReorderLevel]]</f>
        <v>0</v>
      </c>
      <c r="L1551" s="9">
        <f>Table1[[#This Row],[CurrentStock]]*Table1[[#This Row],[UnitPrice]]</f>
        <v>10514.24</v>
      </c>
      <c r="M1551" t="str">
        <f>IF(Table1[[#This Row],[ReorderLevel]]-Table1[[#This Row],[CurrentStock]]&gt;0,Table1[[#This Row],[ReorderLevel]]-Table1[[#This Row],[CurrentStock]],"")</f>
        <v/>
      </c>
      <c r="N1551" t="str">
        <f>IF(Table1[[#This Row],[CurrentStock]]&gt;Table1[[#This Row],[ReorderLevel]]*3,"Over Stock","Okay")</f>
        <v>Over Stock</v>
      </c>
      <c r="O1551" t="str">
        <f>IF(Table1[[#This Row],[CurrentStock]]&lt;Table1[[#This Row],[ReorderLevel]],"Reorder","Okay")</f>
        <v>Okay</v>
      </c>
    </row>
    <row r="1552" spans="1:15" x14ac:dyDescent="0.3">
      <c r="A1552">
        <v>10511</v>
      </c>
      <c r="B1552" t="s">
        <v>25</v>
      </c>
      <c r="C1552" t="s">
        <v>31</v>
      </c>
      <c r="D1552">
        <v>261</v>
      </c>
      <c r="E1552">
        <v>40</v>
      </c>
      <c r="F1552">
        <v>253.5</v>
      </c>
      <c r="G1552" t="s">
        <v>32</v>
      </c>
      <c r="H1552" s="1">
        <v>45428</v>
      </c>
      <c r="I1552" s="1">
        <v>45460</v>
      </c>
      <c r="J1552" t="s">
        <v>38</v>
      </c>
      <c r="K1552" t="b">
        <f>Table1[[#This Row],[CurrentStock]]&lt;Table1[[#This Row],[ReorderLevel]]</f>
        <v>0</v>
      </c>
      <c r="L1552" s="9">
        <f>Table1[[#This Row],[CurrentStock]]*Table1[[#This Row],[UnitPrice]]</f>
        <v>66163.5</v>
      </c>
      <c r="M1552" t="str">
        <f>IF(Table1[[#This Row],[ReorderLevel]]-Table1[[#This Row],[CurrentStock]]&gt;0,Table1[[#This Row],[ReorderLevel]]-Table1[[#This Row],[CurrentStock]],"")</f>
        <v/>
      </c>
      <c r="N1552" t="str">
        <f>IF(Table1[[#This Row],[CurrentStock]]&gt;Table1[[#This Row],[ReorderLevel]]*3,"Over Stock","Okay")</f>
        <v>Over Stock</v>
      </c>
      <c r="O1552" t="str">
        <f>IF(Table1[[#This Row],[CurrentStock]]&lt;Table1[[#This Row],[ReorderLevel]],"Reorder","Okay")</f>
        <v>Okay</v>
      </c>
    </row>
    <row r="1553" spans="1:15" x14ac:dyDescent="0.3">
      <c r="A1553">
        <v>44469</v>
      </c>
      <c r="B1553" t="s">
        <v>26</v>
      </c>
      <c r="C1553" t="s">
        <v>30</v>
      </c>
      <c r="D1553">
        <v>37</v>
      </c>
      <c r="E1553">
        <v>40</v>
      </c>
      <c r="F1553">
        <v>481.56</v>
      </c>
      <c r="G1553" t="s">
        <v>35</v>
      </c>
      <c r="H1553" s="1">
        <v>45481</v>
      </c>
      <c r="I1553" s="1">
        <v>45491</v>
      </c>
      <c r="J1553" t="s">
        <v>38</v>
      </c>
      <c r="K1553" t="b">
        <f>Table1[[#This Row],[CurrentStock]]&lt;Table1[[#This Row],[ReorderLevel]]</f>
        <v>1</v>
      </c>
      <c r="L1553" s="9">
        <f>Table1[[#This Row],[CurrentStock]]*Table1[[#This Row],[UnitPrice]]</f>
        <v>17817.72</v>
      </c>
      <c r="M1553">
        <f>IF(Table1[[#This Row],[ReorderLevel]]-Table1[[#This Row],[CurrentStock]]&gt;0,Table1[[#This Row],[ReorderLevel]]-Table1[[#This Row],[CurrentStock]],"")</f>
        <v>3</v>
      </c>
      <c r="N1553" t="str">
        <f>IF(Table1[[#This Row],[CurrentStock]]&gt;Table1[[#This Row],[ReorderLevel]]*3,"Over Stock","Okay")</f>
        <v>Okay</v>
      </c>
      <c r="O1553" t="str">
        <f>IF(Table1[[#This Row],[CurrentStock]]&lt;Table1[[#This Row],[ReorderLevel]],"Reorder","Okay")</f>
        <v>Reorder</v>
      </c>
    </row>
    <row r="1554" spans="1:15" x14ac:dyDescent="0.3">
      <c r="A1554">
        <v>27408</v>
      </c>
      <c r="B1554" t="s">
        <v>18</v>
      </c>
      <c r="C1554" t="s">
        <v>28</v>
      </c>
      <c r="D1554">
        <v>208</v>
      </c>
      <c r="E1554">
        <v>150</v>
      </c>
      <c r="F1554">
        <v>167.61</v>
      </c>
      <c r="G1554" t="s">
        <v>35</v>
      </c>
      <c r="H1554" s="1">
        <v>45449</v>
      </c>
      <c r="I1554" s="1">
        <v>45474</v>
      </c>
      <c r="J1554" t="s">
        <v>38</v>
      </c>
      <c r="K1554" t="b">
        <f>Table1[[#This Row],[CurrentStock]]&lt;Table1[[#This Row],[ReorderLevel]]</f>
        <v>0</v>
      </c>
      <c r="L1554" s="9">
        <f>Table1[[#This Row],[CurrentStock]]*Table1[[#This Row],[UnitPrice]]</f>
        <v>34862.880000000005</v>
      </c>
      <c r="M1554" t="str">
        <f>IF(Table1[[#This Row],[ReorderLevel]]-Table1[[#This Row],[CurrentStock]]&gt;0,Table1[[#This Row],[ReorderLevel]]-Table1[[#This Row],[CurrentStock]],"")</f>
        <v/>
      </c>
      <c r="N1554" t="str">
        <f>IF(Table1[[#This Row],[CurrentStock]]&gt;Table1[[#This Row],[ReorderLevel]]*3,"Over Stock","Okay")</f>
        <v>Okay</v>
      </c>
      <c r="O1554" t="str">
        <f>IF(Table1[[#This Row],[CurrentStock]]&lt;Table1[[#This Row],[ReorderLevel]],"Reorder","Okay")</f>
        <v>Okay</v>
      </c>
    </row>
    <row r="1555" spans="1:15" x14ac:dyDescent="0.3">
      <c r="A1555">
        <v>94814</v>
      </c>
      <c r="B1555" t="s">
        <v>18</v>
      </c>
      <c r="C1555" t="s">
        <v>28</v>
      </c>
      <c r="D1555">
        <v>29</v>
      </c>
      <c r="E1555">
        <v>40</v>
      </c>
      <c r="F1555">
        <v>411.43</v>
      </c>
      <c r="G1555" t="s">
        <v>34</v>
      </c>
      <c r="H1555" s="1">
        <v>45566</v>
      </c>
      <c r="I1555" s="1">
        <v>45600</v>
      </c>
      <c r="J1555" t="s">
        <v>38</v>
      </c>
      <c r="K1555" t="b">
        <f>Table1[[#This Row],[CurrentStock]]&lt;Table1[[#This Row],[ReorderLevel]]</f>
        <v>1</v>
      </c>
      <c r="L1555" s="9">
        <f>Table1[[#This Row],[CurrentStock]]*Table1[[#This Row],[UnitPrice]]</f>
        <v>11931.47</v>
      </c>
      <c r="M1555">
        <f>IF(Table1[[#This Row],[ReorderLevel]]-Table1[[#This Row],[CurrentStock]]&gt;0,Table1[[#This Row],[ReorderLevel]]-Table1[[#This Row],[CurrentStock]],"")</f>
        <v>11</v>
      </c>
      <c r="N1555" t="str">
        <f>IF(Table1[[#This Row],[CurrentStock]]&gt;Table1[[#This Row],[ReorderLevel]]*3,"Over Stock","Okay")</f>
        <v>Okay</v>
      </c>
      <c r="O1555" t="str">
        <f>IF(Table1[[#This Row],[CurrentStock]]&lt;Table1[[#This Row],[ReorderLevel]],"Reorder","Okay")</f>
        <v>Reorder</v>
      </c>
    </row>
    <row r="1556" spans="1:15" x14ac:dyDescent="0.3">
      <c r="A1556">
        <v>16265</v>
      </c>
      <c r="B1556" t="s">
        <v>22</v>
      </c>
      <c r="C1556" t="s">
        <v>27</v>
      </c>
      <c r="D1556">
        <v>76</v>
      </c>
      <c r="E1556">
        <v>100</v>
      </c>
      <c r="F1556">
        <v>320.08</v>
      </c>
      <c r="G1556" t="s">
        <v>34</v>
      </c>
      <c r="H1556" s="1">
        <v>45321</v>
      </c>
      <c r="I1556" s="1">
        <v>45338</v>
      </c>
      <c r="J1556" t="s">
        <v>38</v>
      </c>
      <c r="K1556" t="b">
        <f>Table1[[#This Row],[CurrentStock]]&lt;Table1[[#This Row],[ReorderLevel]]</f>
        <v>1</v>
      </c>
      <c r="L1556" s="9">
        <f>Table1[[#This Row],[CurrentStock]]*Table1[[#This Row],[UnitPrice]]</f>
        <v>24326.079999999998</v>
      </c>
      <c r="M1556">
        <f>IF(Table1[[#This Row],[ReorderLevel]]-Table1[[#This Row],[CurrentStock]]&gt;0,Table1[[#This Row],[ReorderLevel]]-Table1[[#This Row],[CurrentStock]],"")</f>
        <v>24</v>
      </c>
      <c r="N1556" t="str">
        <f>IF(Table1[[#This Row],[CurrentStock]]&gt;Table1[[#This Row],[ReorderLevel]]*3,"Over Stock","Okay")</f>
        <v>Okay</v>
      </c>
      <c r="O1556" t="str">
        <f>IF(Table1[[#This Row],[CurrentStock]]&lt;Table1[[#This Row],[ReorderLevel]],"Reorder","Okay")</f>
        <v>Reorder</v>
      </c>
    </row>
    <row r="1557" spans="1:15" x14ac:dyDescent="0.3">
      <c r="A1557">
        <v>27084</v>
      </c>
      <c r="B1557" t="s">
        <v>20</v>
      </c>
      <c r="C1557" t="s">
        <v>29</v>
      </c>
      <c r="D1557">
        <v>252</v>
      </c>
      <c r="E1557">
        <v>150</v>
      </c>
      <c r="F1557">
        <v>26.88</v>
      </c>
      <c r="G1557" t="s">
        <v>33</v>
      </c>
      <c r="H1557" s="1">
        <v>45298</v>
      </c>
      <c r="I1557" s="1">
        <v>45322</v>
      </c>
      <c r="J1557" t="s">
        <v>39</v>
      </c>
      <c r="K1557" t="b">
        <f>Table1[[#This Row],[CurrentStock]]&lt;Table1[[#This Row],[ReorderLevel]]</f>
        <v>0</v>
      </c>
      <c r="L1557" s="9">
        <f>Table1[[#This Row],[CurrentStock]]*Table1[[#This Row],[UnitPrice]]</f>
        <v>6773.7599999999993</v>
      </c>
      <c r="M1557" t="str">
        <f>IF(Table1[[#This Row],[ReorderLevel]]-Table1[[#This Row],[CurrentStock]]&gt;0,Table1[[#This Row],[ReorderLevel]]-Table1[[#This Row],[CurrentStock]],"")</f>
        <v/>
      </c>
      <c r="N1557" t="str">
        <f>IF(Table1[[#This Row],[CurrentStock]]&gt;Table1[[#This Row],[ReorderLevel]]*3,"Over Stock","Okay")</f>
        <v>Okay</v>
      </c>
      <c r="O1557" t="str">
        <f>IF(Table1[[#This Row],[CurrentStock]]&lt;Table1[[#This Row],[ReorderLevel]],"Reorder","Okay")</f>
        <v>Okay</v>
      </c>
    </row>
    <row r="1558" spans="1:15" x14ac:dyDescent="0.3">
      <c r="A1558">
        <v>11908</v>
      </c>
      <c r="B1558" t="s">
        <v>14</v>
      </c>
      <c r="C1558" t="s">
        <v>27</v>
      </c>
      <c r="D1558">
        <v>49</v>
      </c>
      <c r="E1558">
        <v>150</v>
      </c>
      <c r="F1558">
        <v>308.3</v>
      </c>
      <c r="G1558" t="s">
        <v>32</v>
      </c>
      <c r="H1558" s="1">
        <v>45441</v>
      </c>
      <c r="I1558" s="1">
        <v>45466</v>
      </c>
      <c r="J1558" t="s">
        <v>39</v>
      </c>
      <c r="K1558" t="b">
        <f>Table1[[#This Row],[CurrentStock]]&lt;Table1[[#This Row],[ReorderLevel]]</f>
        <v>1</v>
      </c>
      <c r="L1558" s="9">
        <f>Table1[[#This Row],[CurrentStock]]*Table1[[#This Row],[UnitPrice]]</f>
        <v>15106.7</v>
      </c>
      <c r="M1558">
        <f>IF(Table1[[#This Row],[ReorderLevel]]-Table1[[#This Row],[CurrentStock]]&gt;0,Table1[[#This Row],[ReorderLevel]]-Table1[[#This Row],[CurrentStock]],"")</f>
        <v>101</v>
      </c>
      <c r="N1558" t="str">
        <f>IF(Table1[[#This Row],[CurrentStock]]&gt;Table1[[#This Row],[ReorderLevel]]*3,"Over Stock","Okay")</f>
        <v>Okay</v>
      </c>
      <c r="O1558" t="str">
        <f>IF(Table1[[#This Row],[CurrentStock]]&lt;Table1[[#This Row],[ReorderLevel]],"Reorder","Okay")</f>
        <v>Reorder</v>
      </c>
    </row>
    <row r="1559" spans="1:15" x14ac:dyDescent="0.3">
      <c r="A1559">
        <v>50449</v>
      </c>
      <c r="B1559" t="s">
        <v>17</v>
      </c>
      <c r="C1559" t="s">
        <v>30</v>
      </c>
      <c r="D1559">
        <v>254</v>
      </c>
      <c r="E1559">
        <v>20</v>
      </c>
      <c r="F1559">
        <v>417.97</v>
      </c>
      <c r="G1559" t="s">
        <v>34</v>
      </c>
      <c r="H1559" s="1">
        <v>45426</v>
      </c>
      <c r="I1559" s="1">
        <v>45431</v>
      </c>
      <c r="J1559" t="s">
        <v>39</v>
      </c>
      <c r="K1559" t="b">
        <f>Table1[[#This Row],[CurrentStock]]&lt;Table1[[#This Row],[ReorderLevel]]</f>
        <v>0</v>
      </c>
      <c r="L1559" s="9">
        <f>Table1[[#This Row],[CurrentStock]]*Table1[[#This Row],[UnitPrice]]</f>
        <v>106164.38</v>
      </c>
      <c r="M1559" t="str">
        <f>IF(Table1[[#This Row],[ReorderLevel]]-Table1[[#This Row],[CurrentStock]]&gt;0,Table1[[#This Row],[ReorderLevel]]-Table1[[#This Row],[CurrentStock]],"")</f>
        <v/>
      </c>
      <c r="N1559" t="str">
        <f>IF(Table1[[#This Row],[CurrentStock]]&gt;Table1[[#This Row],[ReorderLevel]]*3,"Over Stock","Okay")</f>
        <v>Over Stock</v>
      </c>
      <c r="O1559" t="str">
        <f>IF(Table1[[#This Row],[CurrentStock]]&lt;Table1[[#This Row],[ReorderLevel]],"Reorder","Okay")</f>
        <v>Okay</v>
      </c>
    </row>
    <row r="1560" spans="1:15" x14ac:dyDescent="0.3">
      <c r="A1560">
        <v>35176</v>
      </c>
      <c r="B1560" t="s">
        <v>14</v>
      </c>
      <c r="C1560" t="s">
        <v>27</v>
      </c>
      <c r="D1560">
        <v>359</v>
      </c>
      <c r="E1560">
        <v>30</v>
      </c>
      <c r="F1560">
        <v>324.33999999999997</v>
      </c>
      <c r="G1560" t="s">
        <v>33</v>
      </c>
      <c r="H1560" s="1">
        <v>45433</v>
      </c>
      <c r="I1560" s="1">
        <v>45457</v>
      </c>
      <c r="J1560" t="s">
        <v>37</v>
      </c>
      <c r="K1560" t="b">
        <f>Table1[[#This Row],[CurrentStock]]&lt;Table1[[#This Row],[ReorderLevel]]</f>
        <v>0</v>
      </c>
      <c r="L1560" s="9">
        <f>Table1[[#This Row],[CurrentStock]]*Table1[[#This Row],[UnitPrice]]</f>
        <v>116438.06</v>
      </c>
      <c r="M1560" t="str">
        <f>IF(Table1[[#This Row],[ReorderLevel]]-Table1[[#This Row],[CurrentStock]]&gt;0,Table1[[#This Row],[ReorderLevel]]-Table1[[#This Row],[CurrentStock]],"")</f>
        <v/>
      </c>
      <c r="N1560" t="str">
        <f>IF(Table1[[#This Row],[CurrentStock]]&gt;Table1[[#This Row],[ReorderLevel]]*3,"Over Stock","Okay")</f>
        <v>Over Stock</v>
      </c>
      <c r="O1560" t="str">
        <f>IF(Table1[[#This Row],[CurrentStock]]&lt;Table1[[#This Row],[ReorderLevel]],"Reorder","Okay")</f>
        <v>Okay</v>
      </c>
    </row>
    <row r="1561" spans="1:15" x14ac:dyDescent="0.3">
      <c r="A1561">
        <v>76404</v>
      </c>
      <c r="B1561" t="s">
        <v>22</v>
      </c>
      <c r="C1561" t="s">
        <v>27</v>
      </c>
      <c r="D1561">
        <v>429</v>
      </c>
      <c r="E1561">
        <v>80</v>
      </c>
      <c r="F1561">
        <v>402.21</v>
      </c>
      <c r="G1561" t="s">
        <v>33</v>
      </c>
      <c r="H1561" s="1">
        <v>45299</v>
      </c>
      <c r="I1561" s="1">
        <v>45334</v>
      </c>
      <c r="J1561" t="s">
        <v>38</v>
      </c>
      <c r="K1561" t="b">
        <f>Table1[[#This Row],[CurrentStock]]&lt;Table1[[#This Row],[ReorderLevel]]</f>
        <v>0</v>
      </c>
      <c r="L1561" s="9">
        <f>Table1[[#This Row],[CurrentStock]]*Table1[[#This Row],[UnitPrice]]</f>
        <v>172548.09</v>
      </c>
      <c r="M1561" t="str">
        <f>IF(Table1[[#This Row],[ReorderLevel]]-Table1[[#This Row],[CurrentStock]]&gt;0,Table1[[#This Row],[ReorderLevel]]-Table1[[#This Row],[CurrentStock]],"")</f>
        <v/>
      </c>
      <c r="N1561" t="str">
        <f>IF(Table1[[#This Row],[CurrentStock]]&gt;Table1[[#This Row],[ReorderLevel]]*3,"Over Stock","Okay")</f>
        <v>Over Stock</v>
      </c>
      <c r="O1561" t="str">
        <f>IF(Table1[[#This Row],[CurrentStock]]&lt;Table1[[#This Row],[ReorderLevel]],"Reorder","Okay")</f>
        <v>Okay</v>
      </c>
    </row>
    <row r="1562" spans="1:15" x14ac:dyDescent="0.3">
      <c r="A1562">
        <v>31584</v>
      </c>
      <c r="B1562" t="s">
        <v>12</v>
      </c>
      <c r="C1562" t="s">
        <v>28</v>
      </c>
      <c r="D1562">
        <v>34</v>
      </c>
      <c r="E1562">
        <v>20</v>
      </c>
      <c r="F1562">
        <v>333.85</v>
      </c>
      <c r="G1562" t="s">
        <v>33</v>
      </c>
      <c r="H1562" s="1">
        <v>45344</v>
      </c>
      <c r="I1562" s="1">
        <v>45375</v>
      </c>
      <c r="J1562" t="s">
        <v>37</v>
      </c>
      <c r="K1562" t="b">
        <f>Table1[[#This Row],[CurrentStock]]&lt;Table1[[#This Row],[ReorderLevel]]</f>
        <v>0</v>
      </c>
      <c r="L1562" s="9">
        <f>Table1[[#This Row],[CurrentStock]]*Table1[[#This Row],[UnitPrice]]</f>
        <v>11350.900000000001</v>
      </c>
      <c r="M1562" t="str">
        <f>IF(Table1[[#This Row],[ReorderLevel]]-Table1[[#This Row],[CurrentStock]]&gt;0,Table1[[#This Row],[ReorderLevel]]-Table1[[#This Row],[CurrentStock]],"")</f>
        <v/>
      </c>
      <c r="N1562" t="str">
        <f>IF(Table1[[#This Row],[CurrentStock]]&gt;Table1[[#This Row],[ReorderLevel]]*3,"Over Stock","Okay")</f>
        <v>Okay</v>
      </c>
      <c r="O1562" t="str">
        <f>IF(Table1[[#This Row],[CurrentStock]]&lt;Table1[[#This Row],[ReorderLevel]],"Reorder","Okay")</f>
        <v>Okay</v>
      </c>
    </row>
    <row r="1563" spans="1:15" x14ac:dyDescent="0.3">
      <c r="A1563">
        <v>15362</v>
      </c>
      <c r="B1563" t="s">
        <v>25</v>
      </c>
      <c r="C1563" t="s">
        <v>31</v>
      </c>
      <c r="D1563">
        <v>316</v>
      </c>
      <c r="E1563">
        <v>80</v>
      </c>
      <c r="F1563">
        <v>14.45</v>
      </c>
      <c r="G1563" t="s">
        <v>32</v>
      </c>
      <c r="H1563" s="1">
        <v>45389</v>
      </c>
      <c r="I1563" s="1">
        <v>45427</v>
      </c>
      <c r="J1563" t="s">
        <v>38</v>
      </c>
      <c r="K1563" t="b">
        <f>Table1[[#This Row],[CurrentStock]]&lt;Table1[[#This Row],[ReorderLevel]]</f>
        <v>0</v>
      </c>
      <c r="L1563" s="9">
        <f>Table1[[#This Row],[CurrentStock]]*Table1[[#This Row],[UnitPrice]]</f>
        <v>4566.2</v>
      </c>
      <c r="M1563" t="str">
        <f>IF(Table1[[#This Row],[ReorderLevel]]-Table1[[#This Row],[CurrentStock]]&gt;0,Table1[[#This Row],[ReorderLevel]]-Table1[[#This Row],[CurrentStock]],"")</f>
        <v/>
      </c>
      <c r="N1563" t="str">
        <f>IF(Table1[[#This Row],[CurrentStock]]&gt;Table1[[#This Row],[ReorderLevel]]*3,"Over Stock","Okay")</f>
        <v>Over Stock</v>
      </c>
      <c r="O1563" t="str">
        <f>IF(Table1[[#This Row],[CurrentStock]]&lt;Table1[[#This Row],[ReorderLevel]],"Reorder","Okay")</f>
        <v>Okay</v>
      </c>
    </row>
    <row r="1564" spans="1:15" x14ac:dyDescent="0.3">
      <c r="A1564">
        <v>69267</v>
      </c>
      <c r="B1564" t="s">
        <v>12</v>
      </c>
      <c r="C1564" t="s">
        <v>28</v>
      </c>
      <c r="D1564">
        <v>205</v>
      </c>
      <c r="E1564">
        <v>100</v>
      </c>
      <c r="F1564">
        <v>414.07</v>
      </c>
      <c r="G1564" t="s">
        <v>36</v>
      </c>
      <c r="H1564" s="1">
        <v>45403</v>
      </c>
      <c r="I1564" s="1">
        <v>45436</v>
      </c>
      <c r="J1564" t="s">
        <v>37</v>
      </c>
      <c r="K1564" t="b">
        <f>Table1[[#This Row],[CurrentStock]]&lt;Table1[[#This Row],[ReorderLevel]]</f>
        <v>0</v>
      </c>
      <c r="L1564" s="9">
        <f>Table1[[#This Row],[CurrentStock]]*Table1[[#This Row],[UnitPrice]]</f>
        <v>84884.35</v>
      </c>
      <c r="M1564" t="str">
        <f>IF(Table1[[#This Row],[ReorderLevel]]-Table1[[#This Row],[CurrentStock]]&gt;0,Table1[[#This Row],[ReorderLevel]]-Table1[[#This Row],[CurrentStock]],"")</f>
        <v/>
      </c>
      <c r="N1564" t="str">
        <f>IF(Table1[[#This Row],[CurrentStock]]&gt;Table1[[#This Row],[ReorderLevel]]*3,"Over Stock","Okay")</f>
        <v>Okay</v>
      </c>
      <c r="O1564" t="str">
        <f>IF(Table1[[#This Row],[CurrentStock]]&lt;Table1[[#This Row],[ReorderLevel]],"Reorder","Okay")</f>
        <v>Okay</v>
      </c>
    </row>
    <row r="1565" spans="1:15" x14ac:dyDescent="0.3">
      <c r="A1565">
        <v>30239</v>
      </c>
      <c r="B1565" t="s">
        <v>12</v>
      </c>
      <c r="C1565" t="s">
        <v>28</v>
      </c>
      <c r="D1565">
        <v>345</v>
      </c>
      <c r="E1565">
        <v>30</v>
      </c>
      <c r="F1565">
        <v>93.23</v>
      </c>
      <c r="G1565" t="s">
        <v>33</v>
      </c>
      <c r="H1565" s="1">
        <v>45642</v>
      </c>
      <c r="I1565" s="1">
        <v>45673</v>
      </c>
      <c r="J1565" t="s">
        <v>39</v>
      </c>
      <c r="K1565" t="b">
        <f>Table1[[#This Row],[CurrentStock]]&lt;Table1[[#This Row],[ReorderLevel]]</f>
        <v>0</v>
      </c>
      <c r="L1565" s="9">
        <f>Table1[[#This Row],[CurrentStock]]*Table1[[#This Row],[UnitPrice]]</f>
        <v>32164.350000000002</v>
      </c>
      <c r="M1565" t="str">
        <f>IF(Table1[[#This Row],[ReorderLevel]]-Table1[[#This Row],[CurrentStock]]&gt;0,Table1[[#This Row],[ReorderLevel]]-Table1[[#This Row],[CurrentStock]],"")</f>
        <v/>
      </c>
      <c r="N1565" t="str">
        <f>IF(Table1[[#This Row],[CurrentStock]]&gt;Table1[[#This Row],[ReorderLevel]]*3,"Over Stock","Okay")</f>
        <v>Over Stock</v>
      </c>
      <c r="O1565" t="str">
        <f>IF(Table1[[#This Row],[CurrentStock]]&lt;Table1[[#This Row],[ReorderLevel]],"Reorder","Okay")</f>
        <v>Okay</v>
      </c>
    </row>
    <row r="1566" spans="1:15" x14ac:dyDescent="0.3">
      <c r="A1566">
        <v>53290</v>
      </c>
      <c r="B1566" t="s">
        <v>14</v>
      </c>
      <c r="C1566" t="s">
        <v>27</v>
      </c>
      <c r="D1566">
        <v>15</v>
      </c>
      <c r="E1566">
        <v>50</v>
      </c>
      <c r="F1566">
        <v>401.39</v>
      </c>
      <c r="G1566" t="s">
        <v>32</v>
      </c>
      <c r="H1566" s="1">
        <v>45470</v>
      </c>
      <c r="I1566" s="1">
        <v>45475</v>
      </c>
      <c r="J1566" t="s">
        <v>39</v>
      </c>
      <c r="K1566" t="b">
        <f>Table1[[#This Row],[CurrentStock]]&lt;Table1[[#This Row],[ReorderLevel]]</f>
        <v>1</v>
      </c>
      <c r="L1566" s="9">
        <f>Table1[[#This Row],[CurrentStock]]*Table1[[#This Row],[UnitPrice]]</f>
        <v>6020.8499999999995</v>
      </c>
      <c r="M1566">
        <f>IF(Table1[[#This Row],[ReorderLevel]]-Table1[[#This Row],[CurrentStock]]&gt;0,Table1[[#This Row],[ReorderLevel]]-Table1[[#This Row],[CurrentStock]],"")</f>
        <v>35</v>
      </c>
      <c r="N1566" t="str">
        <f>IF(Table1[[#This Row],[CurrentStock]]&gt;Table1[[#This Row],[ReorderLevel]]*3,"Over Stock","Okay")</f>
        <v>Okay</v>
      </c>
      <c r="O1566" t="str">
        <f>IF(Table1[[#This Row],[CurrentStock]]&lt;Table1[[#This Row],[ReorderLevel]],"Reorder","Okay")</f>
        <v>Reorder</v>
      </c>
    </row>
    <row r="1567" spans="1:15" x14ac:dyDescent="0.3">
      <c r="A1567">
        <v>40399</v>
      </c>
      <c r="B1567" t="s">
        <v>18</v>
      </c>
      <c r="C1567" t="s">
        <v>28</v>
      </c>
      <c r="D1567">
        <v>444</v>
      </c>
      <c r="E1567">
        <v>100</v>
      </c>
      <c r="F1567">
        <v>363.61</v>
      </c>
      <c r="G1567" t="s">
        <v>32</v>
      </c>
      <c r="H1567" s="1">
        <v>45596</v>
      </c>
      <c r="I1567" s="1">
        <v>45604</v>
      </c>
      <c r="J1567" t="s">
        <v>38</v>
      </c>
      <c r="K1567" t="b">
        <f>Table1[[#This Row],[CurrentStock]]&lt;Table1[[#This Row],[ReorderLevel]]</f>
        <v>0</v>
      </c>
      <c r="L1567" s="9">
        <f>Table1[[#This Row],[CurrentStock]]*Table1[[#This Row],[UnitPrice]]</f>
        <v>161442.84</v>
      </c>
      <c r="M1567" t="str">
        <f>IF(Table1[[#This Row],[ReorderLevel]]-Table1[[#This Row],[CurrentStock]]&gt;0,Table1[[#This Row],[ReorderLevel]]-Table1[[#This Row],[CurrentStock]],"")</f>
        <v/>
      </c>
      <c r="N1567" t="str">
        <f>IF(Table1[[#This Row],[CurrentStock]]&gt;Table1[[#This Row],[ReorderLevel]]*3,"Over Stock","Okay")</f>
        <v>Over Stock</v>
      </c>
      <c r="O1567" t="str">
        <f>IF(Table1[[#This Row],[CurrentStock]]&lt;Table1[[#This Row],[ReorderLevel]],"Reorder","Okay")</f>
        <v>Okay</v>
      </c>
    </row>
    <row r="1568" spans="1:15" x14ac:dyDescent="0.3">
      <c r="A1568">
        <v>54345</v>
      </c>
      <c r="B1568" t="s">
        <v>11</v>
      </c>
      <c r="C1568" t="s">
        <v>27</v>
      </c>
      <c r="D1568">
        <v>214</v>
      </c>
      <c r="E1568">
        <v>150</v>
      </c>
      <c r="F1568">
        <v>392.11</v>
      </c>
      <c r="G1568" t="s">
        <v>33</v>
      </c>
      <c r="H1568" s="1">
        <v>45394</v>
      </c>
      <c r="I1568" s="1">
        <v>45406</v>
      </c>
      <c r="J1568" t="s">
        <v>39</v>
      </c>
      <c r="K1568" t="b">
        <f>Table1[[#This Row],[CurrentStock]]&lt;Table1[[#This Row],[ReorderLevel]]</f>
        <v>0</v>
      </c>
      <c r="L1568" s="9">
        <f>Table1[[#This Row],[CurrentStock]]*Table1[[#This Row],[UnitPrice]]</f>
        <v>83911.540000000008</v>
      </c>
      <c r="M1568" t="str">
        <f>IF(Table1[[#This Row],[ReorderLevel]]-Table1[[#This Row],[CurrentStock]]&gt;0,Table1[[#This Row],[ReorderLevel]]-Table1[[#This Row],[CurrentStock]],"")</f>
        <v/>
      </c>
      <c r="N1568" t="str">
        <f>IF(Table1[[#This Row],[CurrentStock]]&gt;Table1[[#This Row],[ReorderLevel]]*3,"Over Stock","Okay")</f>
        <v>Okay</v>
      </c>
      <c r="O1568" t="str">
        <f>IF(Table1[[#This Row],[CurrentStock]]&lt;Table1[[#This Row],[ReorderLevel]],"Reorder","Okay")</f>
        <v>Okay</v>
      </c>
    </row>
    <row r="1569" spans="1:15" x14ac:dyDescent="0.3">
      <c r="A1569">
        <v>48349</v>
      </c>
      <c r="B1569" t="s">
        <v>22</v>
      </c>
      <c r="C1569" t="s">
        <v>27</v>
      </c>
      <c r="D1569">
        <v>234</v>
      </c>
      <c r="E1569">
        <v>100</v>
      </c>
      <c r="F1569">
        <v>377.47</v>
      </c>
      <c r="G1569" t="s">
        <v>35</v>
      </c>
      <c r="H1569" s="1">
        <v>45390</v>
      </c>
      <c r="I1569" s="1">
        <v>45427</v>
      </c>
      <c r="J1569" t="s">
        <v>37</v>
      </c>
      <c r="K1569" t="b">
        <f>Table1[[#This Row],[CurrentStock]]&lt;Table1[[#This Row],[ReorderLevel]]</f>
        <v>0</v>
      </c>
      <c r="L1569" s="9">
        <f>Table1[[#This Row],[CurrentStock]]*Table1[[#This Row],[UnitPrice]]</f>
        <v>88327.98000000001</v>
      </c>
      <c r="M1569" t="str">
        <f>IF(Table1[[#This Row],[ReorderLevel]]-Table1[[#This Row],[CurrentStock]]&gt;0,Table1[[#This Row],[ReorderLevel]]-Table1[[#This Row],[CurrentStock]],"")</f>
        <v/>
      </c>
      <c r="N1569" t="str">
        <f>IF(Table1[[#This Row],[CurrentStock]]&gt;Table1[[#This Row],[ReorderLevel]]*3,"Over Stock","Okay")</f>
        <v>Okay</v>
      </c>
      <c r="O1569" t="str">
        <f>IF(Table1[[#This Row],[CurrentStock]]&lt;Table1[[#This Row],[ReorderLevel]],"Reorder","Okay")</f>
        <v>Okay</v>
      </c>
    </row>
    <row r="1570" spans="1:15" x14ac:dyDescent="0.3">
      <c r="A1570">
        <v>29163</v>
      </c>
      <c r="B1570" t="s">
        <v>12</v>
      </c>
      <c r="C1570" t="s">
        <v>28</v>
      </c>
      <c r="D1570">
        <v>135</v>
      </c>
      <c r="E1570">
        <v>30</v>
      </c>
      <c r="F1570">
        <v>290.99</v>
      </c>
      <c r="G1570" t="s">
        <v>34</v>
      </c>
      <c r="H1570" s="1">
        <v>45589</v>
      </c>
      <c r="I1570" s="1">
        <v>45619</v>
      </c>
      <c r="J1570" t="s">
        <v>37</v>
      </c>
      <c r="K1570" t="b">
        <f>Table1[[#This Row],[CurrentStock]]&lt;Table1[[#This Row],[ReorderLevel]]</f>
        <v>0</v>
      </c>
      <c r="L1570" s="9">
        <f>Table1[[#This Row],[CurrentStock]]*Table1[[#This Row],[UnitPrice]]</f>
        <v>39283.65</v>
      </c>
      <c r="M1570" t="str">
        <f>IF(Table1[[#This Row],[ReorderLevel]]-Table1[[#This Row],[CurrentStock]]&gt;0,Table1[[#This Row],[ReorderLevel]]-Table1[[#This Row],[CurrentStock]],"")</f>
        <v/>
      </c>
      <c r="N1570" t="str">
        <f>IF(Table1[[#This Row],[CurrentStock]]&gt;Table1[[#This Row],[ReorderLevel]]*3,"Over Stock","Okay")</f>
        <v>Over Stock</v>
      </c>
      <c r="O1570" t="str">
        <f>IF(Table1[[#This Row],[CurrentStock]]&lt;Table1[[#This Row],[ReorderLevel]],"Reorder","Okay")</f>
        <v>Okay</v>
      </c>
    </row>
    <row r="1571" spans="1:15" x14ac:dyDescent="0.3">
      <c r="A1571">
        <v>16416</v>
      </c>
      <c r="B1571" t="s">
        <v>20</v>
      </c>
      <c r="C1571" t="s">
        <v>29</v>
      </c>
      <c r="D1571">
        <v>267</v>
      </c>
      <c r="E1571">
        <v>50</v>
      </c>
      <c r="F1571">
        <v>434.89</v>
      </c>
      <c r="G1571" t="s">
        <v>33</v>
      </c>
      <c r="H1571" s="1">
        <v>45485</v>
      </c>
      <c r="I1571" s="1">
        <v>45491</v>
      </c>
      <c r="J1571" t="s">
        <v>39</v>
      </c>
      <c r="K1571" t="b">
        <f>Table1[[#This Row],[CurrentStock]]&lt;Table1[[#This Row],[ReorderLevel]]</f>
        <v>0</v>
      </c>
      <c r="L1571" s="9">
        <f>Table1[[#This Row],[CurrentStock]]*Table1[[#This Row],[UnitPrice]]</f>
        <v>116115.62999999999</v>
      </c>
      <c r="M1571" t="str">
        <f>IF(Table1[[#This Row],[ReorderLevel]]-Table1[[#This Row],[CurrentStock]]&gt;0,Table1[[#This Row],[ReorderLevel]]-Table1[[#This Row],[CurrentStock]],"")</f>
        <v/>
      </c>
      <c r="N1571" t="str">
        <f>IF(Table1[[#This Row],[CurrentStock]]&gt;Table1[[#This Row],[ReorderLevel]]*3,"Over Stock","Okay")</f>
        <v>Over Stock</v>
      </c>
      <c r="O1571" t="str">
        <f>IF(Table1[[#This Row],[CurrentStock]]&lt;Table1[[#This Row],[ReorderLevel]],"Reorder","Okay")</f>
        <v>Okay</v>
      </c>
    </row>
    <row r="1572" spans="1:15" x14ac:dyDescent="0.3">
      <c r="A1572">
        <v>14861</v>
      </c>
      <c r="B1572" t="s">
        <v>15</v>
      </c>
      <c r="C1572" t="s">
        <v>29</v>
      </c>
      <c r="D1572">
        <v>52</v>
      </c>
      <c r="E1572">
        <v>20</v>
      </c>
      <c r="F1572">
        <v>243.31</v>
      </c>
      <c r="G1572" t="s">
        <v>33</v>
      </c>
      <c r="H1572" s="1">
        <v>45519</v>
      </c>
      <c r="I1572" s="1">
        <v>45548</v>
      </c>
      <c r="J1572" t="s">
        <v>38</v>
      </c>
      <c r="K1572" t="b">
        <f>Table1[[#This Row],[CurrentStock]]&lt;Table1[[#This Row],[ReorderLevel]]</f>
        <v>0</v>
      </c>
      <c r="L1572" s="9">
        <f>Table1[[#This Row],[CurrentStock]]*Table1[[#This Row],[UnitPrice]]</f>
        <v>12652.12</v>
      </c>
      <c r="M1572" t="str">
        <f>IF(Table1[[#This Row],[ReorderLevel]]-Table1[[#This Row],[CurrentStock]]&gt;0,Table1[[#This Row],[ReorderLevel]]-Table1[[#This Row],[CurrentStock]],"")</f>
        <v/>
      </c>
      <c r="N1572" t="str">
        <f>IF(Table1[[#This Row],[CurrentStock]]&gt;Table1[[#This Row],[ReorderLevel]]*3,"Over Stock","Okay")</f>
        <v>Okay</v>
      </c>
      <c r="O1572" t="str">
        <f>IF(Table1[[#This Row],[CurrentStock]]&lt;Table1[[#This Row],[ReorderLevel]],"Reorder","Okay")</f>
        <v>Okay</v>
      </c>
    </row>
    <row r="1573" spans="1:15" x14ac:dyDescent="0.3">
      <c r="A1573">
        <v>45571</v>
      </c>
      <c r="B1573" t="s">
        <v>17</v>
      </c>
      <c r="C1573" t="s">
        <v>30</v>
      </c>
      <c r="D1573">
        <v>457</v>
      </c>
      <c r="E1573">
        <v>150</v>
      </c>
      <c r="F1573">
        <v>495.34</v>
      </c>
      <c r="G1573" t="s">
        <v>33</v>
      </c>
      <c r="H1573" s="1">
        <v>45441</v>
      </c>
      <c r="I1573" s="1">
        <v>45468</v>
      </c>
      <c r="J1573" t="s">
        <v>38</v>
      </c>
      <c r="K1573" t="b">
        <f>Table1[[#This Row],[CurrentStock]]&lt;Table1[[#This Row],[ReorderLevel]]</f>
        <v>0</v>
      </c>
      <c r="L1573" s="9">
        <f>Table1[[#This Row],[CurrentStock]]*Table1[[#This Row],[UnitPrice]]</f>
        <v>226370.37999999998</v>
      </c>
      <c r="M1573" t="str">
        <f>IF(Table1[[#This Row],[ReorderLevel]]-Table1[[#This Row],[CurrentStock]]&gt;0,Table1[[#This Row],[ReorderLevel]]-Table1[[#This Row],[CurrentStock]],"")</f>
        <v/>
      </c>
      <c r="N1573" t="str">
        <f>IF(Table1[[#This Row],[CurrentStock]]&gt;Table1[[#This Row],[ReorderLevel]]*3,"Over Stock","Okay")</f>
        <v>Over Stock</v>
      </c>
      <c r="O1573" t="str">
        <f>IF(Table1[[#This Row],[CurrentStock]]&lt;Table1[[#This Row],[ReorderLevel]],"Reorder","Okay")</f>
        <v>Okay</v>
      </c>
    </row>
    <row r="1574" spans="1:15" x14ac:dyDescent="0.3">
      <c r="A1574">
        <v>28330</v>
      </c>
      <c r="B1574" t="s">
        <v>10</v>
      </c>
      <c r="C1574" t="s">
        <v>27</v>
      </c>
      <c r="D1574">
        <v>108</v>
      </c>
      <c r="E1574">
        <v>20</v>
      </c>
      <c r="F1574">
        <v>485.42</v>
      </c>
      <c r="G1574" t="s">
        <v>34</v>
      </c>
      <c r="H1574" s="1">
        <v>45309</v>
      </c>
      <c r="I1574" s="1">
        <v>45319</v>
      </c>
      <c r="J1574" t="s">
        <v>38</v>
      </c>
      <c r="K1574" t="b">
        <f>Table1[[#This Row],[CurrentStock]]&lt;Table1[[#This Row],[ReorderLevel]]</f>
        <v>0</v>
      </c>
      <c r="L1574" s="9">
        <f>Table1[[#This Row],[CurrentStock]]*Table1[[#This Row],[UnitPrice]]</f>
        <v>52425.36</v>
      </c>
      <c r="M1574" t="str">
        <f>IF(Table1[[#This Row],[ReorderLevel]]-Table1[[#This Row],[CurrentStock]]&gt;0,Table1[[#This Row],[ReorderLevel]]-Table1[[#This Row],[CurrentStock]],"")</f>
        <v/>
      </c>
      <c r="N1574" t="str">
        <f>IF(Table1[[#This Row],[CurrentStock]]&gt;Table1[[#This Row],[ReorderLevel]]*3,"Over Stock","Okay")</f>
        <v>Over Stock</v>
      </c>
      <c r="O1574" t="str">
        <f>IF(Table1[[#This Row],[CurrentStock]]&lt;Table1[[#This Row],[ReorderLevel]],"Reorder","Okay")</f>
        <v>Okay</v>
      </c>
    </row>
    <row r="1575" spans="1:15" x14ac:dyDescent="0.3">
      <c r="A1575">
        <v>48921</v>
      </c>
      <c r="B1575" t="s">
        <v>23</v>
      </c>
      <c r="C1575" t="s">
        <v>30</v>
      </c>
      <c r="D1575">
        <v>260</v>
      </c>
      <c r="E1575">
        <v>150</v>
      </c>
      <c r="F1575">
        <v>292.64999999999998</v>
      </c>
      <c r="G1575" t="s">
        <v>33</v>
      </c>
      <c r="H1575" s="1">
        <v>45588</v>
      </c>
      <c r="I1575" s="1">
        <v>45612</v>
      </c>
      <c r="J1575" t="s">
        <v>39</v>
      </c>
      <c r="K1575" t="b">
        <f>Table1[[#This Row],[CurrentStock]]&lt;Table1[[#This Row],[ReorderLevel]]</f>
        <v>0</v>
      </c>
      <c r="L1575" s="9">
        <f>Table1[[#This Row],[CurrentStock]]*Table1[[#This Row],[UnitPrice]]</f>
        <v>76089</v>
      </c>
      <c r="M1575" t="str">
        <f>IF(Table1[[#This Row],[ReorderLevel]]-Table1[[#This Row],[CurrentStock]]&gt;0,Table1[[#This Row],[ReorderLevel]]-Table1[[#This Row],[CurrentStock]],"")</f>
        <v/>
      </c>
      <c r="N1575" t="str">
        <f>IF(Table1[[#This Row],[CurrentStock]]&gt;Table1[[#This Row],[ReorderLevel]]*3,"Over Stock","Okay")</f>
        <v>Okay</v>
      </c>
      <c r="O1575" t="str">
        <f>IF(Table1[[#This Row],[CurrentStock]]&lt;Table1[[#This Row],[ReorderLevel]],"Reorder","Okay")</f>
        <v>Okay</v>
      </c>
    </row>
    <row r="1576" spans="1:15" x14ac:dyDescent="0.3">
      <c r="A1576">
        <v>26746</v>
      </c>
      <c r="B1576" t="s">
        <v>18</v>
      </c>
      <c r="C1576" t="s">
        <v>28</v>
      </c>
      <c r="D1576">
        <v>400</v>
      </c>
      <c r="E1576">
        <v>80</v>
      </c>
      <c r="F1576">
        <v>156.16</v>
      </c>
      <c r="G1576" t="s">
        <v>32</v>
      </c>
      <c r="H1576" s="1">
        <v>45554</v>
      </c>
      <c r="I1576" s="1">
        <v>45567</v>
      </c>
      <c r="J1576" t="s">
        <v>39</v>
      </c>
      <c r="K1576" t="b">
        <f>Table1[[#This Row],[CurrentStock]]&lt;Table1[[#This Row],[ReorderLevel]]</f>
        <v>0</v>
      </c>
      <c r="L1576" s="9">
        <f>Table1[[#This Row],[CurrentStock]]*Table1[[#This Row],[UnitPrice]]</f>
        <v>62464</v>
      </c>
      <c r="M1576" t="str">
        <f>IF(Table1[[#This Row],[ReorderLevel]]-Table1[[#This Row],[CurrentStock]]&gt;0,Table1[[#This Row],[ReorderLevel]]-Table1[[#This Row],[CurrentStock]],"")</f>
        <v/>
      </c>
      <c r="N1576" t="str">
        <f>IF(Table1[[#This Row],[CurrentStock]]&gt;Table1[[#This Row],[ReorderLevel]]*3,"Over Stock","Okay")</f>
        <v>Over Stock</v>
      </c>
      <c r="O1576" t="str">
        <f>IF(Table1[[#This Row],[CurrentStock]]&lt;Table1[[#This Row],[ReorderLevel]],"Reorder","Okay")</f>
        <v>Okay</v>
      </c>
    </row>
    <row r="1577" spans="1:15" x14ac:dyDescent="0.3">
      <c r="A1577">
        <v>31159</v>
      </c>
      <c r="B1577" t="s">
        <v>10</v>
      </c>
      <c r="C1577" t="s">
        <v>27</v>
      </c>
      <c r="D1577">
        <v>258</v>
      </c>
      <c r="E1577">
        <v>150</v>
      </c>
      <c r="F1577">
        <v>382.45</v>
      </c>
      <c r="G1577" t="s">
        <v>35</v>
      </c>
      <c r="H1577" s="1">
        <v>45580</v>
      </c>
      <c r="I1577" s="1">
        <v>45590</v>
      </c>
      <c r="J1577" t="s">
        <v>37</v>
      </c>
      <c r="K1577" t="b">
        <f>Table1[[#This Row],[CurrentStock]]&lt;Table1[[#This Row],[ReorderLevel]]</f>
        <v>0</v>
      </c>
      <c r="L1577" s="9">
        <f>Table1[[#This Row],[CurrentStock]]*Table1[[#This Row],[UnitPrice]]</f>
        <v>98672.099999999991</v>
      </c>
      <c r="M1577" t="str">
        <f>IF(Table1[[#This Row],[ReorderLevel]]-Table1[[#This Row],[CurrentStock]]&gt;0,Table1[[#This Row],[ReorderLevel]]-Table1[[#This Row],[CurrentStock]],"")</f>
        <v/>
      </c>
      <c r="N1577" t="str">
        <f>IF(Table1[[#This Row],[CurrentStock]]&gt;Table1[[#This Row],[ReorderLevel]]*3,"Over Stock","Okay")</f>
        <v>Okay</v>
      </c>
      <c r="O1577" t="str">
        <f>IF(Table1[[#This Row],[CurrentStock]]&lt;Table1[[#This Row],[ReorderLevel]],"Reorder","Okay")</f>
        <v>Okay</v>
      </c>
    </row>
    <row r="1578" spans="1:15" x14ac:dyDescent="0.3">
      <c r="A1578">
        <v>17464</v>
      </c>
      <c r="B1578" t="s">
        <v>22</v>
      </c>
      <c r="C1578" t="s">
        <v>27</v>
      </c>
      <c r="D1578">
        <v>323</v>
      </c>
      <c r="E1578">
        <v>80</v>
      </c>
      <c r="F1578">
        <v>240.27</v>
      </c>
      <c r="G1578" t="s">
        <v>36</v>
      </c>
      <c r="H1578" s="1">
        <v>45607</v>
      </c>
      <c r="I1578" s="1">
        <v>45631</v>
      </c>
      <c r="J1578" t="s">
        <v>39</v>
      </c>
      <c r="K1578" t="b">
        <f>Table1[[#This Row],[CurrentStock]]&lt;Table1[[#This Row],[ReorderLevel]]</f>
        <v>0</v>
      </c>
      <c r="L1578" s="9">
        <f>Table1[[#This Row],[CurrentStock]]*Table1[[#This Row],[UnitPrice]]</f>
        <v>77607.210000000006</v>
      </c>
      <c r="M1578" t="str">
        <f>IF(Table1[[#This Row],[ReorderLevel]]-Table1[[#This Row],[CurrentStock]]&gt;0,Table1[[#This Row],[ReorderLevel]]-Table1[[#This Row],[CurrentStock]],"")</f>
        <v/>
      </c>
      <c r="N1578" t="str">
        <f>IF(Table1[[#This Row],[CurrentStock]]&gt;Table1[[#This Row],[ReorderLevel]]*3,"Over Stock","Okay")</f>
        <v>Over Stock</v>
      </c>
      <c r="O1578" t="str">
        <f>IF(Table1[[#This Row],[CurrentStock]]&lt;Table1[[#This Row],[ReorderLevel]],"Reorder","Okay")</f>
        <v>Okay</v>
      </c>
    </row>
    <row r="1579" spans="1:15" x14ac:dyDescent="0.3">
      <c r="A1579">
        <v>25791</v>
      </c>
      <c r="B1579" t="s">
        <v>18</v>
      </c>
      <c r="C1579" t="s">
        <v>28</v>
      </c>
      <c r="D1579">
        <v>320</v>
      </c>
      <c r="E1579">
        <v>100</v>
      </c>
      <c r="F1579">
        <v>444.02</v>
      </c>
      <c r="G1579" t="s">
        <v>34</v>
      </c>
      <c r="H1579" s="1">
        <v>45610</v>
      </c>
      <c r="I1579" s="1">
        <v>45648</v>
      </c>
      <c r="J1579" t="s">
        <v>39</v>
      </c>
      <c r="K1579" t="b">
        <f>Table1[[#This Row],[CurrentStock]]&lt;Table1[[#This Row],[ReorderLevel]]</f>
        <v>0</v>
      </c>
      <c r="L1579" s="9">
        <f>Table1[[#This Row],[CurrentStock]]*Table1[[#This Row],[UnitPrice]]</f>
        <v>142086.39999999999</v>
      </c>
      <c r="M1579" t="str">
        <f>IF(Table1[[#This Row],[ReorderLevel]]-Table1[[#This Row],[CurrentStock]]&gt;0,Table1[[#This Row],[ReorderLevel]]-Table1[[#This Row],[CurrentStock]],"")</f>
        <v/>
      </c>
      <c r="N1579" t="str">
        <f>IF(Table1[[#This Row],[CurrentStock]]&gt;Table1[[#This Row],[ReorderLevel]]*3,"Over Stock","Okay")</f>
        <v>Over Stock</v>
      </c>
      <c r="O1579" t="str">
        <f>IF(Table1[[#This Row],[CurrentStock]]&lt;Table1[[#This Row],[ReorderLevel]],"Reorder","Okay")</f>
        <v>Okay</v>
      </c>
    </row>
    <row r="1580" spans="1:15" x14ac:dyDescent="0.3">
      <c r="A1580">
        <v>61408</v>
      </c>
      <c r="B1580" t="s">
        <v>17</v>
      </c>
      <c r="C1580" t="s">
        <v>30</v>
      </c>
      <c r="D1580">
        <v>218</v>
      </c>
      <c r="E1580">
        <v>100</v>
      </c>
      <c r="F1580">
        <v>274.77999999999997</v>
      </c>
      <c r="G1580" t="s">
        <v>32</v>
      </c>
      <c r="H1580" s="1">
        <v>45325</v>
      </c>
      <c r="I1580" s="1">
        <v>45332</v>
      </c>
      <c r="J1580" t="s">
        <v>37</v>
      </c>
      <c r="K1580" t="b">
        <f>Table1[[#This Row],[CurrentStock]]&lt;Table1[[#This Row],[ReorderLevel]]</f>
        <v>0</v>
      </c>
      <c r="L1580" s="9">
        <f>Table1[[#This Row],[CurrentStock]]*Table1[[#This Row],[UnitPrice]]</f>
        <v>59902.039999999994</v>
      </c>
      <c r="M1580" t="str">
        <f>IF(Table1[[#This Row],[ReorderLevel]]-Table1[[#This Row],[CurrentStock]]&gt;0,Table1[[#This Row],[ReorderLevel]]-Table1[[#This Row],[CurrentStock]],"")</f>
        <v/>
      </c>
      <c r="N1580" t="str">
        <f>IF(Table1[[#This Row],[CurrentStock]]&gt;Table1[[#This Row],[ReorderLevel]]*3,"Over Stock","Okay")</f>
        <v>Okay</v>
      </c>
      <c r="O1580" t="str">
        <f>IF(Table1[[#This Row],[CurrentStock]]&lt;Table1[[#This Row],[ReorderLevel]],"Reorder","Okay")</f>
        <v>Okay</v>
      </c>
    </row>
    <row r="1581" spans="1:15" x14ac:dyDescent="0.3">
      <c r="A1581">
        <v>95078</v>
      </c>
      <c r="B1581" t="s">
        <v>19</v>
      </c>
      <c r="C1581" t="s">
        <v>28</v>
      </c>
      <c r="D1581">
        <v>78</v>
      </c>
      <c r="E1581">
        <v>80</v>
      </c>
      <c r="F1581">
        <v>414.05</v>
      </c>
      <c r="G1581" t="s">
        <v>35</v>
      </c>
      <c r="H1581" s="1">
        <v>45621</v>
      </c>
      <c r="I1581" s="1">
        <v>45657</v>
      </c>
      <c r="J1581" t="s">
        <v>37</v>
      </c>
      <c r="K1581" t="b">
        <f>Table1[[#This Row],[CurrentStock]]&lt;Table1[[#This Row],[ReorderLevel]]</f>
        <v>1</v>
      </c>
      <c r="L1581" s="9">
        <f>Table1[[#This Row],[CurrentStock]]*Table1[[#This Row],[UnitPrice]]</f>
        <v>32295.9</v>
      </c>
      <c r="M1581">
        <f>IF(Table1[[#This Row],[ReorderLevel]]-Table1[[#This Row],[CurrentStock]]&gt;0,Table1[[#This Row],[ReorderLevel]]-Table1[[#This Row],[CurrentStock]],"")</f>
        <v>2</v>
      </c>
      <c r="N1581" t="str">
        <f>IF(Table1[[#This Row],[CurrentStock]]&gt;Table1[[#This Row],[ReorderLevel]]*3,"Over Stock","Okay")</f>
        <v>Okay</v>
      </c>
      <c r="O1581" t="str">
        <f>IF(Table1[[#This Row],[CurrentStock]]&lt;Table1[[#This Row],[ReorderLevel]],"Reorder","Okay")</f>
        <v>Reorder</v>
      </c>
    </row>
    <row r="1582" spans="1:15" x14ac:dyDescent="0.3">
      <c r="A1582">
        <v>65372</v>
      </c>
      <c r="B1582" t="s">
        <v>11</v>
      </c>
      <c r="C1582" t="s">
        <v>27</v>
      </c>
      <c r="D1582">
        <v>397</v>
      </c>
      <c r="E1582">
        <v>50</v>
      </c>
      <c r="F1582">
        <v>185.32</v>
      </c>
      <c r="G1582" t="s">
        <v>35</v>
      </c>
      <c r="H1582" s="1">
        <v>45319</v>
      </c>
      <c r="I1582" s="1">
        <v>45337</v>
      </c>
      <c r="J1582" t="s">
        <v>38</v>
      </c>
      <c r="K1582" t="b">
        <f>Table1[[#This Row],[CurrentStock]]&lt;Table1[[#This Row],[ReorderLevel]]</f>
        <v>0</v>
      </c>
      <c r="L1582" s="9">
        <f>Table1[[#This Row],[CurrentStock]]*Table1[[#This Row],[UnitPrice]]</f>
        <v>73572.039999999994</v>
      </c>
      <c r="M1582" t="str">
        <f>IF(Table1[[#This Row],[ReorderLevel]]-Table1[[#This Row],[CurrentStock]]&gt;0,Table1[[#This Row],[ReorderLevel]]-Table1[[#This Row],[CurrentStock]],"")</f>
        <v/>
      </c>
      <c r="N1582" t="str">
        <f>IF(Table1[[#This Row],[CurrentStock]]&gt;Table1[[#This Row],[ReorderLevel]]*3,"Over Stock","Okay")</f>
        <v>Over Stock</v>
      </c>
      <c r="O1582" t="str">
        <f>IF(Table1[[#This Row],[CurrentStock]]&lt;Table1[[#This Row],[ReorderLevel]],"Reorder","Okay")</f>
        <v>Okay</v>
      </c>
    </row>
    <row r="1583" spans="1:15" x14ac:dyDescent="0.3">
      <c r="A1583">
        <v>83844</v>
      </c>
      <c r="B1583" t="s">
        <v>11</v>
      </c>
      <c r="C1583" t="s">
        <v>27</v>
      </c>
      <c r="D1583">
        <v>88</v>
      </c>
      <c r="E1583">
        <v>20</v>
      </c>
      <c r="F1583">
        <v>143.26</v>
      </c>
      <c r="G1583" t="s">
        <v>36</v>
      </c>
      <c r="H1583" s="1">
        <v>45386</v>
      </c>
      <c r="I1583" s="1">
        <v>45407</v>
      </c>
      <c r="J1583" t="s">
        <v>38</v>
      </c>
      <c r="K1583" t="b">
        <f>Table1[[#This Row],[CurrentStock]]&lt;Table1[[#This Row],[ReorderLevel]]</f>
        <v>0</v>
      </c>
      <c r="L1583" s="9">
        <f>Table1[[#This Row],[CurrentStock]]*Table1[[#This Row],[UnitPrice]]</f>
        <v>12606.88</v>
      </c>
      <c r="M1583" t="str">
        <f>IF(Table1[[#This Row],[ReorderLevel]]-Table1[[#This Row],[CurrentStock]]&gt;0,Table1[[#This Row],[ReorderLevel]]-Table1[[#This Row],[CurrentStock]],"")</f>
        <v/>
      </c>
      <c r="N1583" t="str">
        <f>IF(Table1[[#This Row],[CurrentStock]]&gt;Table1[[#This Row],[ReorderLevel]]*3,"Over Stock","Okay")</f>
        <v>Over Stock</v>
      </c>
      <c r="O1583" t="str">
        <f>IF(Table1[[#This Row],[CurrentStock]]&lt;Table1[[#This Row],[ReorderLevel]],"Reorder","Okay")</f>
        <v>Okay</v>
      </c>
    </row>
    <row r="1584" spans="1:15" x14ac:dyDescent="0.3">
      <c r="A1584">
        <v>57419</v>
      </c>
      <c r="B1584" t="s">
        <v>21</v>
      </c>
      <c r="C1584" t="s">
        <v>31</v>
      </c>
      <c r="D1584">
        <v>431</v>
      </c>
      <c r="E1584">
        <v>40</v>
      </c>
      <c r="F1584">
        <v>34</v>
      </c>
      <c r="G1584" t="s">
        <v>36</v>
      </c>
      <c r="H1584" s="1">
        <v>45511</v>
      </c>
      <c r="I1584" s="1">
        <v>45530</v>
      </c>
      <c r="J1584" t="s">
        <v>39</v>
      </c>
      <c r="K1584" t="b">
        <f>Table1[[#This Row],[CurrentStock]]&lt;Table1[[#This Row],[ReorderLevel]]</f>
        <v>0</v>
      </c>
      <c r="L1584" s="9">
        <f>Table1[[#This Row],[CurrentStock]]*Table1[[#This Row],[UnitPrice]]</f>
        <v>14654</v>
      </c>
      <c r="M1584" t="str">
        <f>IF(Table1[[#This Row],[ReorderLevel]]-Table1[[#This Row],[CurrentStock]]&gt;0,Table1[[#This Row],[ReorderLevel]]-Table1[[#This Row],[CurrentStock]],"")</f>
        <v/>
      </c>
      <c r="N1584" t="str">
        <f>IF(Table1[[#This Row],[CurrentStock]]&gt;Table1[[#This Row],[ReorderLevel]]*3,"Over Stock","Okay")</f>
        <v>Over Stock</v>
      </c>
      <c r="O1584" t="str">
        <f>IF(Table1[[#This Row],[CurrentStock]]&lt;Table1[[#This Row],[ReorderLevel]],"Reorder","Okay")</f>
        <v>Okay</v>
      </c>
    </row>
    <row r="1585" spans="1:15" x14ac:dyDescent="0.3">
      <c r="A1585">
        <v>49419</v>
      </c>
      <c r="B1585" t="s">
        <v>11</v>
      </c>
      <c r="C1585" t="s">
        <v>27</v>
      </c>
      <c r="D1585">
        <v>364</v>
      </c>
      <c r="E1585">
        <v>20</v>
      </c>
      <c r="F1585">
        <v>364.42</v>
      </c>
      <c r="G1585" t="s">
        <v>35</v>
      </c>
      <c r="H1585" s="1">
        <v>45393</v>
      </c>
      <c r="I1585" s="1">
        <v>45410</v>
      </c>
      <c r="J1585" t="s">
        <v>38</v>
      </c>
      <c r="K1585" t="b">
        <f>Table1[[#This Row],[CurrentStock]]&lt;Table1[[#This Row],[ReorderLevel]]</f>
        <v>0</v>
      </c>
      <c r="L1585" s="9">
        <f>Table1[[#This Row],[CurrentStock]]*Table1[[#This Row],[UnitPrice]]</f>
        <v>132648.88</v>
      </c>
      <c r="M1585" t="str">
        <f>IF(Table1[[#This Row],[ReorderLevel]]-Table1[[#This Row],[CurrentStock]]&gt;0,Table1[[#This Row],[ReorderLevel]]-Table1[[#This Row],[CurrentStock]],"")</f>
        <v/>
      </c>
      <c r="N1585" t="str">
        <f>IF(Table1[[#This Row],[CurrentStock]]&gt;Table1[[#This Row],[ReorderLevel]]*3,"Over Stock","Okay")</f>
        <v>Over Stock</v>
      </c>
      <c r="O1585" t="str">
        <f>IF(Table1[[#This Row],[CurrentStock]]&lt;Table1[[#This Row],[ReorderLevel]],"Reorder","Okay")</f>
        <v>Okay</v>
      </c>
    </row>
    <row r="1586" spans="1:15" x14ac:dyDescent="0.3">
      <c r="A1586">
        <v>17393</v>
      </c>
      <c r="B1586" t="s">
        <v>11</v>
      </c>
      <c r="C1586" t="s">
        <v>27</v>
      </c>
      <c r="D1586">
        <v>14</v>
      </c>
      <c r="E1586">
        <v>100</v>
      </c>
      <c r="F1586">
        <v>40.15</v>
      </c>
      <c r="G1586" t="s">
        <v>34</v>
      </c>
      <c r="H1586" s="1">
        <v>45347</v>
      </c>
      <c r="I1586" s="1">
        <v>45382</v>
      </c>
      <c r="J1586" t="s">
        <v>38</v>
      </c>
      <c r="K1586" t="b">
        <f>Table1[[#This Row],[CurrentStock]]&lt;Table1[[#This Row],[ReorderLevel]]</f>
        <v>1</v>
      </c>
      <c r="L1586" s="9">
        <f>Table1[[#This Row],[CurrentStock]]*Table1[[#This Row],[UnitPrice]]</f>
        <v>562.1</v>
      </c>
      <c r="M1586">
        <f>IF(Table1[[#This Row],[ReorderLevel]]-Table1[[#This Row],[CurrentStock]]&gt;0,Table1[[#This Row],[ReorderLevel]]-Table1[[#This Row],[CurrentStock]],"")</f>
        <v>86</v>
      </c>
      <c r="N1586" t="str">
        <f>IF(Table1[[#This Row],[CurrentStock]]&gt;Table1[[#This Row],[ReorderLevel]]*3,"Over Stock","Okay")</f>
        <v>Okay</v>
      </c>
      <c r="O1586" t="str">
        <f>IF(Table1[[#This Row],[CurrentStock]]&lt;Table1[[#This Row],[ReorderLevel]],"Reorder","Okay")</f>
        <v>Reorder</v>
      </c>
    </row>
    <row r="1587" spans="1:15" x14ac:dyDescent="0.3">
      <c r="A1587">
        <v>34726</v>
      </c>
      <c r="B1587" t="s">
        <v>21</v>
      </c>
      <c r="C1587" t="s">
        <v>31</v>
      </c>
      <c r="D1587">
        <v>172</v>
      </c>
      <c r="E1587">
        <v>50</v>
      </c>
      <c r="F1587">
        <v>243.86</v>
      </c>
      <c r="G1587" t="s">
        <v>35</v>
      </c>
      <c r="H1587" s="1">
        <v>45600</v>
      </c>
      <c r="I1587" s="1">
        <v>45633</v>
      </c>
      <c r="J1587" t="s">
        <v>39</v>
      </c>
      <c r="K1587" t="b">
        <f>Table1[[#This Row],[CurrentStock]]&lt;Table1[[#This Row],[ReorderLevel]]</f>
        <v>0</v>
      </c>
      <c r="L1587" s="9">
        <f>Table1[[#This Row],[CurrentStock]]*Table1[[#This Row],[UnitPrice]]</f>
        <v>41943.920000000006</v>
      </c>
      <c r="M1587" t="str">
        <f>IF(Table1[[#This Row],[ReorderLevel]]-Table1[[#This Row],[CurrentStock]]&gt;0,Table1[[#This Row],[ReorderLevel]]-Table1[[#This Row],[CurrentStock]],"")</f>
        <v/>
      </c>
      <c r="N1587" t="str">
        <f>IF(Table1[[#This Row],[CurrentStock]]&gt;Table1[[#This Row],[ReorderLevel]]*3,"Over Stock","Okay")</f>
        <v>Over Stock</v>
      </c>
      <c r="O1587" t="str">
        <f>IF(Table1[[#This Row],[CurrentStock]]&lt;Table1[[#This Row],[ReorderLevel]],"Reorder","Okay")</f>
        <v>Okay</v>
      </c>
    </row>
    <row r="1588" spans="1:15" x14ac:dyDescent="0.3">
      <c r="A1588">
        <v>27809</v>
      </c>
      <c r="B1588" t="s">
        <v>17</v>
      </c>
      <c r="C1588" t="s">
        <v>30</v>
      </c>
      <c r="D1588">
        <v>170</v>
      </c>
      <c r="E1588">
        <v>30</v>
      </c>
      <c r="F1588">
        <v>177.08</v>
      </c>
      <c r="G1588" t="s">
        <v>36</v>
      </c>
      <c r="H1588" s="1">
        <v>45321</v>
      </c>
      <c r="I1588" s="1">
        <v>45358</v>
      </c>
      <c r="J1588" t="s">
        <v>37</v>
      </c>
      <c r="K1588" t="b">
        <f>Table1[[#This Row],[CurrentStock]]&lt;Table1[[#This Row],[ReorderLevel]]</f>
        <v>0</v>
      </c>
      <c r="L1588" s="9">
        <f>Table1[[#This Row],[CurrentStock]]*Table1[[#This Row],[UnitPrice]]</f>
        <v>30103.600000000002</v>
      </c>
      <c r="M1588" t="str">
        <f>IF(Table1[[#This Row],[ReorderLevel]]-Table1[[#This Row],[CurrentStock]]&gt;0,Table1[[#This Row],[ReorderLevel]]-Table1[[#This Row],[CurrentStock]],"")</f>
        <v/>
      </c>
      <c r="N1588" t="str">
        <f>IF(Table1[[#This Row],[CurrentStock]]&gt;Table1[[#This Row],[ReorderLevel]]*3,"Over Stock","Okay")</f>
        <v>Over Stock</v>
      </c>
      <c r="O1588" t="str">
        <f>IF(Table1[[#This Row],[CurrentStock]]&lt;Table1[[#This Row],[ReorderLevel]],"Reorder","Okay")</f>
        <v>Okay</v>
      </c>
    </row>
    <row r="1589" spans="1:15" x14ac:dyDescent="0.3">
      <c r="A1589">
        <v>99119</v>
      </c>
      <c r="B1589" t="s">
        <v>19</v>
      </c>
      <c r="C1589" t="s">
        <v>28</v>
      </c>
      <c r="D1589">
        <v>371</v>
      </c>
      <c r="E1589">
        <v>50</v>
      </c>
      <c r="F1589">
        <v>259.47000000000003</v>
      </c>
      <c r="G1589" t="s">
        <v>33</v>
      </c>
      <c r="H1589" s="1">
        <v>45594</v>
      </c>
      <c r="I1589" s="1">
        <v>45620</v>
      </c>
      <c r="J1589" t="s">
        <v>39</v>
      </c>
      <c r="K1589" t="b">
        <f>Table1[[#This Row],[CurrentStock]]&lt;Table1[[#This Row],[ReorderLevel]]</f>
        <v>0</v>
      </c>
      <c r="L1589" s="9">
        <f>Table1[[#This Row],[CurrentStock]]*Table1[[#This Row],[UnitPrice]]</f>
        <v>96263.37000000001</v>
      </c>
      <c r="M1589" t="str">
        <f>IF(Table1[[#This Row],[ReorderLevel]]-Table1[[#This Row],[CurrentStock]]&gt;0,Table1[[#This Row],[ReorderLevel]]-Table1[[#This Row],[CurrentStock]],"")</f>
        <v/>
      </c>
      <c r="N1589" t="str">
        <f>IF(Table1[[#This Row],[CurrentStock]]&gt;Table1[[#This Row],[ReorderLevel]]*3,"Over Stock","Okay")</f>
        <v>Over Stock</v>
      </c>
      <c r="O1589" t="str">
        <f>IF(Table1[[#This Row],[CurrentStock]]&lt;Table1[[#This Row],[ReorderLevel]],"Reorder","Okay")</f>
        <v>Okay</v>
      </c>
    </row>
    <row r="1590" spans="1:15" x14ac:dyDescent="0.3">
      <c r="A1590">
        <v>50129</v>
      </c>
      <c r="B1590" t="s">
        <v>12</v>
      </c>
      <c r="C1590" t="s">
        <v>28</v>
      </c>
      <c r="D1590">
        <v>488</v>
      </c>
      <c r="E1590">
        <v>40</v>
      </c>
      <c r="F1590">
        <v>170.94</v>
      </c>
      <c r="G1590" t="s">
        <v>32</v>
      </c>
      <c r="H1590" s="1">
        <v>45462</v>
      </c>
      <c r="I1590" s="1">
        <v>45468</v>
      </c>
      <c r="J1590" t="s">
        <v>37</v>
      </c>
      <c r="K1590" t="b">
        <f>Table1[[#This Row],[CurrentStock]]&lt;Table1[[#This Row],[ReorderLevel]]</f>
        <v>0</v>
      </c>
      <c r="L1590" s="9">
        <f>Table1[[#This Row],[CurrentStock]]*Table1[[#This Row],[UnitPrice]]</f>
        <v>83418.720000000001</v>
      </c>
      <c r="M1590" t="str">
        <f>IF(Table1[[#This Row],[ReorderLevel]]-Table1[[#This Row],[CurrentStock]]&gt;0,Table1[[#This Row],[ReorderLevel]]-Table1[[#This Row],[CurrentStock]],"")</f>
        <v/>
      </c>
      <c r="N1590" t="str">
        <f>IF(Table1[[#This Row],[CurrentStock]]&gt;Table1[[#This Row],[ReorderLevel]]*3,"Over Stock","Okay")</f>
        <v>Over Stock</v>
      </c>
      <c r="O1590" t="str">
        <f>IF(Table1[[#This Row],[CurrentStock]]&lt;Table1[[#This Row],[ReorderLevel]],"Reorder","Okay")</f>
        <v>Okay</v>
      </c>
    </row>
    <row r="1591" spans="1:15" x14ac:dyDescent="0.3">
      <c r="A1591">
        <v>26246</v>
      </c>
      <c r="B1591" t="s">
        <v>14</v>
      </c>
      <c r="C1591" t="s">
        <v>27</v>
      </c>
      <c r="D1591">
        <v>379</v>
      </c>
      <c r="E1591">
        <v>40</v>
      </c>
      <c r="F1591">
        <v>190.95</v>
      </c>
      <c r="G1591" t="s">
        <v>36</v>
      </c>
      <c r="H1591" s="1">
        <v>45455</v>
      </c>
      <c r="I1591" s="1">
        <v>45488</v>
      </c>
      <c r="J1591" t="s">
        <v>37</v>
      </c>
      <c r="K1591" t="b">
        <f>Table1[[#This Row],[CurrentStock]]&lt;Table1[[#This Row],[ReorderLevel]]</f>
        <v>0</v>
      </c>
      <c r="L1591" s="9">
        <f>Table1[[#This Row],[CurrentStock]]*Table1[[#This Row],[UnitPrice]]</f>
        <v>72370.05</v>
      </c>
      <c r="M1591" t="str">
        <f>IF(Table1[[#This Row],[ReorderLevel]]-Table1[[#This Row],[CurrentStock]]&gt;0,Table1[[#This Row],[ReorderLevel]]-Table1[[#This Row],[CurrentStock]],"")</f>
        <v/>
      </c>
      <c r="N1591" t="str">
        <f>IF(Table1[[#This Row],[CurrentStock]]&gt;Table1[[#This Row],[ReorderLevel]]*3,"Over Stock","Okay")</f>
        <v>Over Stock</v>
      </c>
      <c r="O1591" t="str">
        <f>IF(Table1[[#This Row],[CurrentStock]]&lt;Table1[[#This Row],[ReorderLevel]],"Reorder","Okay")</f>
        <v>Okay</v>
      </c>
    </row>
    <row r="1592" spans="1:15" x14ac:dyDescent="0.3">
      <c r="A1592">
        <v>44169</v>
      </c>
      <c r="B1592" t="s">
        <v>25</v>
      </c>
      <c r="C1592" t="s">
        <v>31</v>
      </c>
      <c r="D1592">
        <v>300</v>
      </c>
      <c r="E1592">
        <v>150</v>
      </c>
      <c r="F1592">
        <v>39.39</v>
      </c>
      <c r="G1592" t="s">
        <v>32</v>
      </c>
      <c r="H1592" s="1">
        <v>45484</v>
      </c>
      <c r="I1592" s="1">
        <v>45506</v>
      </c>
      <c r="J1592" t="s">
        <v>38</v>
      </c>
      <c r="K1592" t="b">
        <f>Table1[[#This Row],[CurrentStock]]&lt;Table1[[#This Row],[ReorderLevel]]</f>
        <v>0</v>
      </c>
      <c r="L1592" s="9">
        <f>Table1[[#This Row],[CurrentStock]]*Table1[[#This Row],[UnitPrice]]</f>
        <v>11817</v>
      </c>
      <c r="M1592" t="str">
        <f>IF(Table1[[#This Row],[ReorderLevel]]-Table1[[#This Row],[CurrentStock]]&gt;0,Table1[[#This Row],[ReorderLevel]]-Table1[[#This Row],[CurrentStock]],"")</f>
        <v/>
      </c>
      <c r="N1592" t="str">
        <f>IF(Table1[[#This Row],[CurrentStock]]&gt;Table1[[#This Row],[ReorderLevel]]*3,"Over Stock","Okay")</f>
        <v>Okay</v>
      </c>
      <c r="O1592" t="str">
        <f>IF(Table1[[#This Row],[CurrentStock]]&lt;Table1[[#This Row],[ReorderLevel]],"Reorder","Okay")</f>
        <v>Okay</v>
      </c>
    </row>
    <row r="1593" spans="1:15" x14ac:dyDescent="0.3">
      <c r="A1593">
        <v>40716</v>
      </c>
      <c r="B1593" t="s">
        <v>18</v>
      </c>
      <c r="C1593" t="s">
        <v>28</v>
      </c>
      <c r="D1593">
        <v>171</v>
      </c>
      <c r="E1593">
        <v>30</v>
      </c>
      <c r="F1593">
        <v>46.42</v>
      </c>
      <c r="G1593" t="s">
        <v>32</v>
      </c>
      <c r="H1593" s="1">
        <v>45299</v>
      </c>
      <c r="I1593" s="1">
        <v>45337</v>
      </c>
      <c r="J1593" t="s">
        <v>39</v>
      </c>
      <c r="K1593" t="b">
        <f>Table1[[#This Row],[CurrentStock]]&lt;Table1[[#This Row],[ReorderLevel]]</f>
        <v>0</v>
      </c>
      <c r="L1593" s="9">
        <f>Table1[[#This Row],[CurrentStock]]*Table1[[#This Row],[UnitPrice]]</f>
        <v>7937.8200000000006</v>
      </c>
      <c r="M1593" t="str">
        <f>IF(Table1[[#This Row],[ReorderLevel]]-Table1[[#This Row],[CurrentStock]]&gt;0,Table1[[#This Row],[ReorderLevel]]-Table1[[#This Row],[CurrentStock]],"")</f>
        <v/>
      </c>
      <c r="N1593" t="str">
        <f>IF(Table1[[#This Row],[CurrentStock]]&gt;Table1[[#This Row],[ReorderLevel]]*3,"Over Stock","Okay")</f>
        <v>Over Stock</v>
      </c>
      <c r="O1593" t="str">
        <f>IF(Table1[[#This Row],[CurrentStock]]&lt;Table1[[#This Row],[ReorderLevel]],"Reorder","Okay")</f>
        <v>Okay</v>
      </c>
    </row>
    <row r="1594" spans="1:15" x14ac:dyDescent="0.3">
      <c r="A1594">
        <v>19496</v>
      </c>
      <c r="B1594" t="s">
        <v>21</v>
      </c>
      <c r="C1594" t="s">
        <v>31</v>
      </c>
      <c r="D1594">
        <v>422</v>
      </c>
      <c r="E1594">
        <v>50</v>
      </c>
      <c r="F1594">
        <v>373.08</v>
      </c>
      <c r="G1594" t="s">
        <v>34</v>
      </c>
      <c r="H1594" s="1">
        <v>45346</v>
      </c>
      <c r="I1594" s="1">
        <v>45376</v>
      </c>
      <c r="J1594" t="s">
        <v>38</v>
      </c>
      <c r="K1594" t="b">
        <f>Table1[[#This Row],[CurrentStock]]&lt;Table1[[#This Row],[ReorderLevel]]</f>
        <v>0</v>
      </c>
      <c r="L1594" s="9">
        <f>Table1[[#This Row],[CurrentStock]]*Table1[[#This Row],[UnitPrice]]</f>
        <v>157439.75999999998</v>
      </c>
      <c r="M1594" t="str">
        <f>IF(Table1[[#This Row],[ReorderLevel]]-Table1[[#This Row],[CurrentStock]]&gt;0,Table1[[#This Row],[ReorderLevel]]-Table1[[#This Row],[CurrentStock]],"")</f>
        <v/>
      </c>
      <c r="N1594" t="str">
        <f>IF(Table1[[#This Row],[CurrentStock]]&gt;Table1[[#This Row],[ReorderLevel]]*3,"Over Stock","Okay")</f>
        <v>Over Stock</v>
      </c>
      <c r="O1594" t="str">
        <f>IF(Table1[[#This Row],[CurrentStock]]&lt;Table1[[#This Row],[ReorderLevel]],"Reorder","Okay")</f>
        <v>Okay</v>
      </c>
    </row>
    <row r="1595" spans="1:15" x14ac:dyDescent="0.3">
      <c r="A1595">
        <v>64610</v>
      </c>
      <c r="B1595" t="s">
        <v>21</v>
      </c>
      <c r="C1595" t="s">
        <v>31</v>
      </c>
      <c r="D1595">
        <v>494</v>
      </c>
      <c r="E1595">
        <v>50</v>
      </c>
      <c r="F1595">
        <v>228.06</v>
      </c>
      <c r="G1595" t="s">
        <v>34</v>
      </c>
      <c r="H1595" s="1">
        <v>45499</v>
      </c>
      <c r="I1595" s="1">
        <v>45508</v>
      </c>
      <c r="J1595" t="s">
        <v>39</v>
      </c>
      <c r="K1595" t="b">
        <f>Table1[[#This Row],[CurrentStock]]&lt;Table1[[#This Row],[ReorderLevel]]</f>
        <v>0</v>
      </c>
      <c r="L1595" s="9">
        <f>Table1[[#This Row],[CurrentStock]]*Table1[[#This Row],[UnitPrice]]</f>
        <v>112661.64</v>
      </c>
      <c r="M1595" t="str">
        <f>IF(Table1[[#This Row],[ReorderLevel]]-Table1[[#This Row],[CurrentStock]]&gt;0,Table1[[#This Row],[ReorderLevel]]-Table1[[#This Row],[CurrentStock]],"")</f>
        <v/>
      </c>
      <c r="N1595" t="str">
        <f>IF(Table1[[#This Row],[CurrentStock]]&gt;Table1[[#This Row],[ReorderLevel]]*3,"Over Stock","Okay")</f>
        <v>Over Stock</v>
      </c>
      <c r="O1595" t="str">
        <f>IF(Table1[[#This Row],[CurrentStock]]&lt;Table1[[#This Row],[ReorderLevel]],"Reorder","Okay")</f>
        <v>Okay</v>
      </c>
    </row>
    <row r="1596" spans="1:15" x14ac:dyDescent="0.3">
      <c r="A1596">
        <v>65919</v>
      </c>
      <c r="B1596" t="s">
        <v>24</v>
      </c>
      <c r="C1596" t="s">
        <v>31</v>
      </c>
      <c r="D1596">
        <v>102</v>
      </c>
      <c r="E1596">
        <v>150</v>
      </c>
      <c r="F1596">
        <v>363.45</v>
      </c>
      <c r="G1596" t="s">
        <v>35</v>
      </c>
      <c r="H1596" s="1">
        <v>45336</v>
      </c>
      <c r="I1596" s="1">
        <v>45354</v>
      </c>
      <c r="J1596" t="s">
        <v>38</v>
      </c>
      <c r="K1596" t="b">
        <f>Table1[[#This Row],[CurrentStock]]&lt;Table1[[#This Row],[ReorderLevel]]</f>
        <v>1</v>
      </c>
      <c r="L1596" s="9">
        <f>Table1[[#This Row],[CurrentStock]]*Table1[[#This Row],[UnitPrice]]</f>
        <v>37071.9</v>
      </c>
      <c r="M1596">
        <f>IF(Table1[[#This Row],[ReorderLevel]]-Table1[[#This Row],[CurrentStock]]&gt;0,Table1[[#This Row],[ReorderLevel]]-Table1[[#This Row],[CurrentStock]],"")</f>
        <v>48</v>
      </c>
      <c r="N1596" t="str">
        <f>IF(Table1[[#This Row],[CurrentStock]]&gt;Table1[[#This Row],[ReorderLevel]]*3,"Over Stock","Okay")</f>
        <v>Okay</v>
      </c>
      <c r="O1596" t="str">
        <f>IF(Table1[[#This Row],[CurrentStock]]&lt;Table1[[#This Row],[ReorderLevel]],"Reorder","Okay")</f>
        <v>Reorder</v>
      </c>
    </row>
    <row r="1597" spans="1:15" x14ac:dyDescent="0.3">
      <c r="A1597">
        <v>36296</v>
      </c>
      <c r="B1597" t="s">
        <v>23</v>
      </c>
      <c r="C1597" t="s">
        <v>30</v>
      </c>
      <c r="D1597">
        <v>126</v>
      </c>
      <c r="E1597">
        <v>80</v>
      </c>
      <c r="F1597">
        <v>247.72</v>
      </c>
      <c r="G1597" t="s">
        <v>35</v>
      </c>
      <c r="H1597" s="1">
        <v>45643</v>
      </c>
      <c r="I1597" s="1">
        <v>45668</v>
      </c>
      <c r="J1597" t="s">
        <v>38</v>
      </c>
      <c r="K1597" t="b">
        <f>Table1[[#This Row],[CurrentStock]]&lt;Table1[[#This Row],[ReorderLevel]]</f>
        <v>0</v>
      </c>
      <c r="L1597" s="9">
        <f>Table1[[#This Row],[CurrentStock]]*Table1[[#This Row],[UnitPrice]]</f>
        <v>31212.720000000001</v>
      </c>
      <c r="M1597" t="str">
        <f>IF(Table1[[#This Row],[ReorderLevel]]-Table1[[#This Row],[CurrentStock]]&gt;0,Table1[[#This Row],[ReorderLevel]]-Table1[[#This Row],[CurrentStock]],"")</f>
        <v/>
      </c>
      <c r="N1597" t="str">
        <f>IF(Table1[[#This Row],[CurrentStock]]&gt;Table1[[#This Row],[ReorderLevel]]*3,"Over Stock","Okay")</f>
        <v>Okay</v>
      </c>
      <c r="O1597" t="str">
        <f>IF(Table1[[#This Row],[CurrentStock]]&lt;Table1[[#This Row],[ReorderLevel]],"Reorder","Okay")</f>
        <v>Okay</v>
      </c>
    </row>
    <row r="1598" spans="1:15" x14ac:dyDescent="0.3">
      <c r="A1598">
        <v>87865</v>
      </c>
      <c r="B1598" t="s">
        <v>23</v>
      </c>
      <c r="C1598" t="s">
        <v>30</v>
      </c>
      <c r="D1598">
        <v>350</v>
      </c>
      <c r="E1598">
        <v>100</v>
      </c>
      <c r="F1598">
        <v>28.02</v>
      </c>
      <c r="G1598" t="s">
        <v>32</v>
      </c>
      <c r="H1598" s="1">
        <v>45590</v>
      </c>
      <c r="I1598" s="1">
        <v>45623</v>
      </c>
      <c r="J1598" t="s">
        <v>37</v>
      </c>
      <c r="K1598" t="b">
        <f>Table1[[#This Row],[CurrentStock]]&lt;Table1[[#This Row],[ReorderLevel]]</f>
        <v>0</v>
      </c>
      <c r="L1598" s="9">
        <f>Table1[[#This Row],[CurrentStock]]*Table1[[#This Row],[UnitPrice]]</f>
        <v>9807</v>
      </c>
      <c r="M1598" t="str">
        <f>IF(Table1[[#This Row],[ReorderLevel]]-Table1[[#This Row],[CurrentStock]]&gt;0,Table1[[#This Row],[ReorderLevel]]-Table1[[#This Row],[CurrentStock]],"")</f>
        <v/>
      </c>
      <c r="N1598" t="str">
        <f>IF(Table1[[#This Row],[CurrentStock]]&gt;Table1[[#This Row],[ReorderLevel]]*3,"Over Stock","Okay")</f>
        <v>Over Stock</v>
      </c>
      <c r="O1598" t="str">
        <f>IF(Table1[[#This Row],[CurrentStock]]&lt;Table1[[#This Row],[ReorderLevel]],"Reorder","Okay")</f>
        <v>Okay</v>
      </c>
    </row>
    <row r="1599" spans="1:15" x14ac:dyDescent="0.3">
      <c r="A1599">
        <v>59862</v>
      </c>
      <c r="B1599" t="s">
        <v>22</v>
      </c>
      <c r="C1599" t="s">
        <v>27</v>
      </c>
      <c r="D1599">
        <v>270</v>
      </c>
      <c r="E1599">
        <v>150</v>
      </c>
      <c r="F1599">
        <v>378.42</v>
      </c>
      <c r="G1599" t="s">
        <v>35</v>
      </c>
      <c r="H1599" s="1">
        <v>45349</v>
      </c>
      <c r="I1599" s="1">
        <v>45384</v>
      </c>
      <c r="J1599" t="s">
        <v>38</v>
      </c>
      <c r="K1599" t="b">
        <f>Table1[[#This Row],[CurrentStock]]&lt;Table1[[#This Row],[ReorderLevel]]</f>
        <v>0</v>
      </c>
      <c r="L1599" s="9">
        <f>Table1[[#This Row],[CurrentStock]]*Table1[[#This Row],[UnitPrice]]</f>
        <v>102173.40000000001</v>
      </c>
      <c r="M1599" t="str">
        <f>IF(Table1[[#This Row],[ReorderLevel]]-Table1[[#This Row],[CurrentStock]]&gt;0,Table1[[#This Row],[ReorderLevel]]-Table1[[#This Row],[CurrentStock]],"")</f>
        <v/>
      </c>
      <c r="N1599" t="str">
        <f>IF(Table1[[#This Row],[CurrentStock]]&gt;Table1[[#This Row],[ReorderLevel]]*3,"Over Stock","Okay")</f>
        <v>Okay</v>
      </c>
      <c r="O1599" t="str">
        <f>IF(Table1[[#This Row],[CurrentStock]]&lt;Table1[[#This Row],[ReorderLevel]],"Reorder","Okay")</f>
        <v>Okay</v>
      </c>
    </row>
    <row r="1600" spans="1:15" x14ac:dyDescent="0.3">
      <c r="A1600">
        <v>55986</v>
      </c>
      <c r="B1600" t="s">
        <v>22</v>
      </c>
      <c r="C1600" t="s">
        <v>27</v>
      </c>
      <c r="D1600">
        <v>413</v>
      </c>
      <c r="E1600">
        <v>40</v>
      </c>
      <c r="F1600">
        <v>68.260000000000005</v>
      </c>
      <c r="G1600" t="s">
        <v>34</v>
      </c>
      <c r="H1600" s="1">
        <v>45343</v>
      </c>
      <c r="I1600" s="1">
        <v>45361</v>
      </c>
      <c r="J1600" t="s">
        <v>39</v>
      </c>
      <c r="K1600" t="b">
        <f>Table1[[#This Row],[CurrentStock]]&lt;Table1[[#This Row],[ReorderLevel]]</f>
        <v>0</v>
      </c>
      <c r="L1600" s="9">
        <f>Table1[[#This Row],[CurrentStock]]*Table1[[#This Row],[UnitPrice]]</f>
        <v>28191.38</v>
      </c>
      <c r="M1600" t="str">
        <f>IF(Table1[[#This Row],[ReorderLevel]]-Table1[[#This Row],[CurrentStock]]&gt;0,Table1[[#This Row],[ReorderLevel]]-Table1[[#This Row],[CurrentStock]],"")</f>
        <v/>
      </c>
      <c r="N1600" t="str">
        <f>IF(Table1[[#This Row],[CurrentStock]]&gt;Table1[[#This Row],[ReorderLevel]]*3,"Over Stock","Okay")</f>
        <v>Over Stock</v>
      </c>
      <c r="O1600" t="str">
        <f>IF(Table1[[#This Row],[CurrentStock]]&lt;Table1[[#This Row],[ReorderLevel]],"Reorder","Okay")</f>
        <v>Okay</v>
      </c>
    </row>
    <row r="1601" spans="1:15" x14ac:dyDescent="0.3">
      <c r="A1601">
        <v>14158</v>
      </c>
      <c r="B1601" t="s">
        <v>25</v>
      </c>
      <c r="C1601" t="s">
        <v>31</v>
      </c>
      <c r="D1601">
        <v>166</v>
      </c>
      <c r="E1601">
        <v>150</v>
      </c>
      <c r="F1601">
        <v>371.23</v>
      </c>
      <c r="G1601" t="s">
        <v>36</v>
      </c>
      <c r="H1601" s="1">
        <v>45533</v>
      </c>
      <c r="I1601" s="1">
        <v>45551</v>
      </c>
      <c r="J1601" t="s">
        <v>38</v>
      </c>
      <c r="K1601" t="b">
        <f>Table1[[#This Row],[CurrentStock]]&lt;Table1[[#This Row],[ReorderLevel]]</f>
        <v>0</v>
      </c>
      <c r="L1601" s="9">
        <f>Table1[[#This Row],[CurrentStock]]*Table1[[#This Row],[UnitPrice]]</f>
        <v>61624.18</v>
      </c>
      <c r="M1601" t="str">
        <f>IF(Table1[[#This Row],[ReorderLevel]]-Table1[[#This Row],[CurrentStock]]&gt;0,Table1[[#This Row],[ReorderLevel]]-Table1[[#This Row],[CurrentStock]],"")</f>
        <v/>
      </c>
      <c r="N1601" t="str">
        <f>IF(Table1[[#This Row],[CurrentStock]]&gt;Table1[[#This Row],[ReorderLevel]]*3,"Over Stock","Okay")</f>
        <v>Okay</v>
      </c>
      <c r="O1601" t="str">
        <f>IF(Table1[[#This Row],[CurrentStock]]&lt;Table1[[#This Row],[ReorderLevel]],"Reorder","Okay")</f>
        <v>Okay</v>
      </c>
    </row>
    <row r="1602" spans="1:15" x14ac:dyDescent="0.3">
      <c r="A1602">
        <v>70558</v>
      </c>
      <c r="B1602" t="s">
        <v>26</v>
      </c>
      <c r="C1602" t="s">
        <v>30</v>
      </c>
      <c r="D1602">
        <v>364</v>
      </c>
      <c r="E1602">
        <v>100</v>
      </c>
      <c r="F1602">
        <v>171.4</v>
      </c>
      <c r="G1602" t="s">
        <v>36</v>
      </c>
      <c r="H1602" s="1">
        <v>45360</v>
      </c>
      <c r="I1602" s="1">
        <v>45368</v>
      </c>
      <c r="J1602" t="s">
        <v>38</v>
      </c>
      <c r="K1602" t="b">
        <f>Table1[[#This Row],[CurrentStock]]&lt;Table1[[#This Row],[ReorderLevel]]</f>
        <v>0</v>
      </c>
      <c r="L1602" s="9">
        <f>Table1[[#This Row],[CurrentStock]]*Table1[[#This Row],[UnitPrice]]</f>
        <v>62389.599999999999</v>
      </c>
      <c r="M1602" t="str">
        <f>IF(Table1[[#This Row],[ReorderLevel]]-Table1[[#This Row],[CurrentStock]]&gt;0,Table1[[#This Row],[ReorderLevel]]-Table1[[#This Row],[CurrentStock]],"")</f>
        <v/>
      </c>
      <c r="N1602" t="str">
        <f>IF(Table1[[#This Row],[CurrentStock]]&gt;Table1[[#This Row],[ReorderLevel]]*3,"Over Stock","Okay")</f>
        <v>Over Stock</v>
      </c>
      <c r="O1602" t="str">
        <f>IF(Table1[[#This Row],[CurrentStock]]&lt;Table1[[#This Row],[ReorderLevel]],"Reorder","Okay")</f>
        <v>Okay</v>
      </c>
    </row>
    <row r="1603" spans="1:15" x14ac:dyDescent="0.3">
      <c r="A1603">
        <v>15316</v>
      </c>
      <c r="B1603" t="s">
        <v>19</v>
      </c>
      <c r="C1603" t="s">
        <v>28</v>
      </c>
      <c r="D1603">
        <v>378</v>
      </c>
      <c r="E1603">
        <v>30</v>
      </c>
      <c r="F1603">
        <v>353.14</v>
      </c>
      <c r="G1603" t="s">
        <v>32</v>
      </c>
      <c r="H1603" s="1">
        <v>45446</v>
      </c>
      <c r="I1603" s="1">
        <v>45459</v>
      </c>
      <c r="J1603" t="s">
        <v>39</v>
      </c>
      <c r="K1603" t="b">
        <f>Table1[[#This Row],[CurrentStock]]&lt;Table1[[#This Row],[ReorderLevel]]</f>
        <v>0</v>
      </c>
      <c r="L1603" s="9">
        <f>Table1[[#This Row],[CurrentStock]]*Table1[[#This Row],[UnitPrice]]</f>
        <v>133486.91999999998</v>
      </c>
      <c r="M1603" t="str">
        <f>IF(Table1[[#This Row],[ReorderLevel]]-Table1[[#This Row],[CurrentStock]]&gt;0,Table1[[#This Row],[ReorderLevel]]-Table1[[#This Row],[CurrentStock]],"")</f>
        <v/>
      </c>
      <c r="N1603" t="str">
        <f>IF(Table1[[#This Row],[CurrentStock]]&gt;Table1[[#This Row],[ReorderLevel]]*3,"Over Stock","Okay")</f>
        <v>Over Stock</v>
      </c>
      <c r="O1603" t="str">
        <f>IF(Table1[[#This Row],[CurrentStock]]&lt;Table1[[#This Row],[ReorderLevel]],"Reorder","Okay")</f>
        <v>Okay</v>
      </c>
    </row>
    <row r="1604" spans="1:15" x14ac:dyDescent="0.3">
      <c r="A1604">
        <v>75439</v>
      </c>
      <c r="B1604" t="s">
        <v>15</v>
      </c>
      <c r="C1604" t="s">
        <v>29</v>
      </c>
      <c r="D1604">
        <v>148</v>
      </c>
      <c r="E1604">
        <v>40</v>
      </c>
      <c r="F1604">
        <v>452.26</v>
      </c>
      <c r="G1604" t="s">
        <v>32</v>
      </c>
      <c r="H1604" s="1">
        <v>45481</v>
      </c>
      <c r="I1604" s="1">
        <v>45510</v>
      </c>
      <c r="J1604" t="s">
        <v>39</v>
      </c>
      <c r="K1604" t="b">
        <f>Table1[[#This Row],[CurrentStock]]&lt;Table1[[#This Row],[ReorderLevel]]</f>
        <v>0</v>
      </c>
      <c r="L1604" s="9">
        <f>Table1[[#This Row],[CurrentStock]]*Table1[[#This Row],[UnitPrice]]</f>
        <v>66934.48</v>
      </c>
      <c r="M1604" t="str">
        <f>IF(Table1[[#This Row],[ReorderLevel]]-Table1[[#This Row],[CurrentStock]]&gt;0,Table1[[#This Row],[ReorderLevel]]-Table1[[#This Row],[CurrentStock]],"")</f>
        <v/>
      </c>
      <c r="N1604" t="str">
        <f>IF(Table1[[#This Row],[CurrentStock]]&gt;Table1[[#This Row],[ReorderLevel]]*3,"Over Stock","Okay")</f>
        <v>Over Stock</v>
      </c>
      <c r="O1604" t="str">
        <f>IF(Table1[[#This Row],[CurrentStock]]&lt;Table1[[#This Row],[ReorderLevel]],"Reorder","Okay")</f>
        <v>Okay</v>
      </c>
    </row>
    <row r="1605" spans="1:15" x14ac:dyDescent="0.3">
      <c r="A1605">
        <v>70857</v>
      </c>
      <c r="B1605" t="s">
        <v>25</v>
      </c>
      <c r="C1605" t="s">
        <v>31</v>
      </c>
      <c r="D1605">
        <v>86</v>
      </c>
      <c r="E1605">
        <v>20</v>
      </c>
      <c r="F1605">
        <v>140.66</v>
      </c>
      <c r="G1605" t="s">
        <v>36</v>
      </c>
      <c r="H1605" s="1">
        <v>45443</v>
      </c>
      <c r="I1605" s="1">
        <v>45478</v>
      </c>
      <c r="J1605" t="s">
        <v>39</v>
      </c>
      <c r="K1605" t="b">
        <f>Table1[[#This Row],[CurrentStock]]&lt;Table1[[#This Row],[ReorderLevel]]</f>
        <v>0</v>
      </c>
      <c r="L1605" s="9">
        <f>Table1[[#This Row],[CurrentStock]]*Table1[[#This Row],[UnitPrice]]</f>
        <v>12096.76</v>
      </c>
      <c r="M1605" t="str">
        <f>IF(Table1[[#This Row],[ReorderLevel]]-Table1[[#This Row],[CurrentStock]]&gt;0,Table1[[#This Row],[ReorderLevel]]-Table1[[#This Row],[CurrentStock]],"")</f>
        <v/>
      </c>
      <c r="N1605" t="str">
        <f>IF(Table1[[#This Row],[CurrentStock]]&gt;Table1[[#This Row],[ReorderLevel]]*3,"Over Stock","Okay")</f>
        <v>Over Stock</v>
      </c>
      <c r="O1605" t="str">
        <f>IF(Table1[[#This Row],[CurrentStock]]&lt;Table1[[#This Row],[ReorderLevel]],"Reorder","Okay")</f>
        <v>Okay</v>
      </c>
    </row>
    <row r="1606" spans="1:15" x14ac:dyDescent="0.3">
      <c r="A1606">
        <v>77561</v>
      </c>
      <c r="B1606" t="s">
        <v>24</v>
      </c>
      <c r="C1606" t="s">
        <v>31</v>
      </c>
      <c r="D1606">
        <v>163</v>
      </c>
      <c r="E1606">
        <v>50</v>
      </c>
      <c r="F1606">
        <v>212.09</v>
      </c>
      <c r="G1606" t="s">
        <v>32</v>
      </c>
      <c r="H1606" s="1">
        <v>45309</v>
      </c>
      <c r="I1606" s="1">
        <v>45321</v>
      </c>
      <c r="J1606" t="s">
        <v>39</v>
      </c>
      <c r="K1606" t="b">
        <f>Table1[[#This Row],[CurrentStock]]&lt;Table1[[#This Row],[ReorderLevel]]</f>
        <v>0</v>
      </c>
      <c r="L1606" s="9">
        <f>Table1[[#This Row],[CurrentStock]]*Table1[[#This Row],[UnitPrice]]</f>
        <v>34570.67</v>
      </c>
      <c r="M1606" t="str">
        <f>IF(Table1[[#This Row],[ReorderLevel]]-Table1[[#This Row],[CurrentStock]]&gt;0,Table1[[#This Row],[ReorderLevel]]-Table1[[#This Row],[CurrentStock]],"")</f>
        <v/>
      </c>
      <c r="N1606" t="str">
        <f>IF(Table1[[#This Row],[CurrentStock]]&gt;Table1[[#This Row],[ReorderLevel]]*3,"Over Stock","Okay")</f>
        <v>Over Stock</v>
      </c>
      <c r="O1606" t="str">
        <f>IF(Table1[[#This Row],[CurrentStock]]&lt;Table1[[#This Row],[ReorderLevel]],"Reorder","Okay")</f>
        <v>Okay</v>
      </c>
    </row>
    <row r="1607" spans="1:15" x14ac:dyDescent="0.3">
      <c r="A1607">
        <v>54588</v>
      </c>
      <c r="B1607" t="s">
        <v>12</v>
      </c>
      <c r="C1607" t="s">
        <v>28</v>
      </c>
      <c r="D1607">
        <v>380</v>
      </c>
      <c r="E1607">
        <v>80</v>
      </c>
      <c r="F1607">
        <v>308.79000000000002</v>
      </c>
      <c r="G1607" t="s">
        <v>33</v>
      </c>
      <c r="H1607" s="1">
        <v>45585</v>
      </c>
      <c r="I1607" s="1">
        <v>45617</v>
      </c>
      <c r="J1607" t="s">
        <v>37</v>
      </c>
      <c r="K1607" t="b">
        <f>Table1[[#This Row],[CurrentStock]]&lt;Table1[[#This Row],[ReorderLevel]]</f>
        <v>0</v>
      </c>
      <c r="L1607" s="9">
        <f>Table1[[#This Row],[CurrentStock]]*Table1[[#This Row],[UnitPrice]]</f>
        <v>117340.20000000001</v>
      </c>
      <c r="M1607" t="str">
        <f>IF(Table1[[#This Row],[ReorderLevel]]-Table1[[#This Row],[CurrentStock]]&gt;0,Table1[[#This Row],[ReorderLevel]]-Table1[[#This Row],[CurrentStock]],"")</f>
        <v/>
      </c>
      <c r="N1607" t="str">
        <f>IF(Table1[[#This Row],[CurrentStock]]&gt;Table1[[#This Row],[ReorderLevel]]*3,"Over Stock","Okay")</f>
        <v>Over Stock</v>
      </c>
      <c r="O1607" t="str">
        <f>IF(Table1[[#This Row],[CurrentStock]]&lt;Table1[[#This Row],[ReorderLevel]],"Reorder","Okay")</f>
        <v>Okay</v>
      </c>
    </row>
    <row r="1608" spans="1:15" x14ac:dyDescent="0.3">
      <c r="A1608">
        <v>55678</v>
      </c>
      <c r="B1608" t="s">
        <v>12</v>
      </c>
      <c r="C1608" t="s">
        <v>28</v>
      </c>
      <c r="D1608">
        <v>295</v>
      </c>
      <c r="E1608">
        <v>150</v>
      </c>
      <c r="F1608">
        <v>365.01</v>
      </c>
      <c r="G1608" t="s">
        <v>33</v>
      </c>
      <c r="H1608" s="1">
        <v>45507</v>
      </c>
      <c r="I1608" s="1">
        <v>45521</v>
      </c>
      <c r="J1608" t="s">
        <v>37</v>
      </c>
      <c r="K1608" t="b">
        <f>Table1[[#This Row],[CurrentStock]]&lt;Table1[[#This Row],[ReorderLevel]]</f>
        <v>0</v>
      </c>
      <c r="L1608" s="9">
        <f>Table1[[#This Row],[CurrentStock]]*Table1[[#This Row],[UnitPrice]]</f>
        <v>107677.95</v>
      </c>
      <c r="M1608" t="str">
        <f>IF(Table1[[#This Row],[ReorderLevel]]-Table1[[#This Row],[CurrentStock]]&gt;0,Table1[[#This Row],[ReorderLevel]]-Table1[[#This Row],[CurrentStock]],"")</f>
        <v/>
      </c>
      <c r="N1608" t="str">
        <f>IF(Table1[[#This Row],[CurrentStock]]&gt;Table1[[#This Row],[ReorderLevel]]*3,"Over Stock","Okay")</f>
        <v>Okay</v>
      </c>
      <c r="O1608" t="str">
        <f>IF(Table1[[#This Row],[CurrentStock]]&lt;Table1[[#This Row],[ReorderLevel]],"Reorder","Okay")</f>
        <v>Okay</v>
      </c>
    </row>
    <row r="1609" spans="1:15" x14ac:dyDescent="0.3">
      <c r="A1609">
        <v>30943</v>
      </c>
      <c r="B1609" t="s">
        <v>14</v>
      </c>
      <c r="C1609" t="s">
        <v>27</v>
      </c>
      <c r="D1609">
        <v>378</v>
      </c>
      <c r="E1609">
        <v>20</v>
      </c>
      <c r="F1609">
        <v>182.8</v>
      </c>
      <c r="G1609" t="s">
        <v>33</v>
      </c>
      <c r="H1609" s="1">
        <v>45529</v>
      </c>
      <c r="I1609" s="1">
        <v>45548</v>
      </c>
      <c r="J1609" t="s">
        <v>37</v>
      </c>
      <c r="K1609" t="b">
        <f>Table1[[#This Row],[CurrentStock]]&lt;Table1[[#This Row],[ReorderLevel]]</f>
        <v>0</v>
      </c>
      <c r="L1609" s="9">
        <f>Table1[[#This Row],[CurrentStock]]*Table1[[#This Row],[UnitPrice]]</f>
        <v>69098.400000000009</v>
      </c>
      <c r="M1609" t="str">
        <f>IF(Table1[[#This Row],[ReorderLevel]]-Table1[[#This Row],[CurrentStock]]&gt;0,Table1[[#This Row],[ReorderLevel]]-Table1[[#This Row],[CurrentStock]],"")</f>
        <v/>
      </c>
      <c r="N1609" t="str">
        <f>IF(Table1[[#This Row],[CurrentStock]]&gt;Table1[[#This Row],[ReorderLevel]]*3,"Over Stock","Okay")</f>
        <v>Over Stock</v>
      </c>
      <c r="O1609" t="str">
        <f>IF(Table1[[#This Row],[CurrentStock]]&lt;Table1[[#This Row],[ReorderLevel]],"Reorder","Okay")</f>
        <v>Okay</v>
      </c>
    </row>
    <row r="1610" spans="1:15" x14ac:dyDescent="0.3">
      <c r="A1610">
        <v>24708</v>
      </c>
      <c r="B1610" t="s">
        <v>10</v>
      </c>
      <c r="C1610" t="s">
        <v>27</v>
      </c>
      <c r="D1610">
        <v>49</v>
      </c>
      <c r="E1610">
        <v>80</v>
      </c>
      <c r="F1610">
        <v>475.39</v>
      </c>
      <c r="G1610" t="s">
        <v>35</v>
      </c>
      <c r="H1610" s="1">
        <v>45557</v>
      </c>
      <c r="I1610" s="1">
        <v>45588</v>
      </c>
      <c r="J1610" t="s">
        <v>38</v>
      </c>
      <c r="K1610" t="b">
        <f>Table1[[#This Row],[CurrentStock]]&lt;Table1[[#This Row],[ReorderLevel]]</f>
        <v>1</v>
      </c>
      <c r="L1610" s="9">
        <f>Table1[[#This Row],[CurrentStock]]*Table1[[#This Row],[UnitPrice]]</f>
        <v>23294.11</v>
      </c>
      <c r="M1610">
        <f>IF(Table1[[#This Row],[ReorderLevel]]-Table1[[#This Row],[CurrentStock]]&gt;0,Table1[[#This Row],[ReorderLevel]]-Table1[[#This Row],[CurrentStock]],"")</f>
        <v>31</v>
      </c>
      <c r="N1610" t="str">
        <f>IF(Table1[[#This Row],[CurrentStock]]&gt;Table1[[#This Row],[ReorderLevel]]*3,"Over Stock","Okay")</f>
        <v>Okay</v>
      </c>
      <c r="O1610" t="str">
        <f>IF(Table1[[#This Row],[CurrentStock]]&lt;Table1[[#This Row],[ReorderLevel]],"Reorder","Okay")</f>
        <v>Reorder</v>
      </c>
    </row>
    <row r="1611" spans="1:15" x14ac:dyDescent="0.3">
      <c r="A1611">
        <v>16563</v>
      </c>
      <c r="B1611" t="s">
        <v>11</v>
      </c>
      <c r="C1611" t="s">
        <v>27</v>
      </c>
      <c r="D1611">
        <v>158</v>
      </c>
      <c r="E1611">
        <v>80</v>
      </c>
      <c r="F1611">
        <v>446.44</v>
      </c>
      <c r="G1611" t="s">
        <v>34</v>
      </c>
      <c r="H1611" s="1">
        <v>45605</v>
      </c>
      <c r="I1611" s="1">
        <v>45635</v>
      </c>
      <c r="J1611" t="s">
        <v>37</v>
      </c>
      <c r="K1611" t="b">
        <f>Table1[[#This Row],[CurrentStock]]&lt;Table1[[#This Row],[ReorderLevel]]</f>
        <v>0</v>
      </c>
      <c r="L1611" s="9">
        <f>Table1[[#This Row],[CurrentStock]]*Table1[[#This Row],[UnitPrice]]</f>
        <v>70537.52</v>
      </c>
      <c r="M1611" t="str">
        <f>IF(Table1[[#This Row],[ReorderLevel]]-Table1[[#This Row],[CurrentStock]]&gt;0,Table1[[#This Row],[ReorderLevel]]-Table1[[#This Row],[CurrentStock]],"")</f>
        <v/>
      </c>
      <c r="N1611" t="str">
        <f>IF(Table1[[#This Row],[CurrentStock]]&gt;Table1[[#This Row],[ReorderLevel]]*3,"Over Stock","Okay")</f>
        <v>Okay</v>
      </c>
      <c r="O1611" t="str">
        <f>IF(Table1[[#This Row],[CurrentStock]]&lt;Table1[[#This Row],[ReorderLevel]],"Reorder","Okay")</f>
        <v>Okay</v>
      </c>
    </row>
    <row r="1612" spans="1:15" x14ac:dyDescent="0.3">
      <c r="A1612">
        <v>10184</v>
      </c>
      <c r="B1612" t="s">
        <v>13</v>
      </c>
      <c r="C1612" t="s">
        <v>29</v>
      </c>
      <c r="D1612">
        <v>269</v>
      </c>
      <c r="E1612">
        <v>20</v>
      </c>
      <c r="F1612">
        <v>442.65</v>
      </c>
      <c r="G1612" t="s">
        <v>35</v>
      </c>
      <c r="H1612" s="1">
        <v>45510</v>
      </c>
      <c r="I1612" s="1">
        <v>45515</v>
      </c>
      <c r="J1612" t="s">
        <v>39</v>
      </c>
      <c r="K1612" t="b">
        <f>Table1[[#This Row],[CurrentStock]]&lt;Table1[[#This Row],[ReorderLevel]]</f>
        <v>0</v>
      </c>
      <c r="L1612" s="9">
        <f>Table1[[#This Row],[CurrentStock]]*Table1[[#This Row],[UnitPrice]]</f>
        <v>119072.84999999999</v>
      </c>
      <c r="M1612" t="str">
        <f>IF(Table1[[#This Row],[ReorderLevel]]-Table1[[#This Row],[CurrentStock]]&gt;0,Table1[[#This Row],[ReorderLevel]]-Table1[[#This Row],[CurrentStock]],"")</f>
        <v/>
      </c>
      <c r="N1612" t="str">
        <f>IF(Table1[[#This Row],[CurrentStock]]&gt;Table1[[#This Row],[ReorderLevel]]*3,"Over Stock","Okay")</f>
        <v>Over Stock</v>
      </c>
      <c r="O1612" t="str">
        <f>IF(Table1[[#This Row],[CurrentStock]]&lt;Table1[[#This Row],[ReorderLevel]],"Reorder","Okay")</f>
        <v>Okay</v>
      </c>
    </row>
    <row r="1613" spans="1:15" x14ac:dyDescent="0.3">
      <c r="A1613">
        <v>43368</v>
      </c>
      <c r="B1613" t="s">
        <v>21</v>
      </c>
      <c r="C1613" t="s">
        <v>31</v>
      </c>
      <c r="D1613">
        <v>245</v>
      </c>
      <c r="E1613">
        <v>150</v>
      </c>
      <c r="F1613">
        <v>62.34</v>
      </c>
      <c r="G1613" t="s">
        <v>36</v>
      </c>
      <c r="H1613" s="1">
        <v>45550</v>
      </c>
      <c r="I1613" s="1">
        <v>45588</v>
      </c>
      <c r="J1613" t="s">
        <v>39</v>
      </c>
      <c r="K1613" t="b">
        <f>Table1[[#This Row],[CurrentStock]]&lt;Table1[[#This Row],[ReorderLevel]]</f>
        <v>0</v>
      </c>
      <c r="L1613" s="9">
        <f>Table1[[#This Row],[CurrentStock]]*Table1[[#This Row],[UnitPrice]]</f>
        <v>15273.300000000001</v>
      </c>
      <c r="M1613" t="str">
        <f>IF(Table1[[#This Row],[ReorderLevel]]-Table1[[#This Row],[CurrentStock]]&gt;0,Table1[[#This Row],[ReorderLevel]]-Table1[[#This Row],[CurrentStock]],"")</f>
        <v/>
      </c>
      <c r="N1613" t="str">
        <f>IF(Table1[[#This Row],[CurrentStock]]&gt;Table1[[#This Row],[ReorderLevel]]*3,"Over Stock","Okay")</f>
        <v>Okay</v>
      </c>
      <c r="O1613" t="str">
        <f>IF(Table1[[#This Row],[CurrentStock]]&lt;Table1[[#This Row],[ReorderLevel]],"Reorder","Okay")</f>
        <v>Okay</v>
      </c>
    </row>
    <row r="1614" spans="1:15" x14ac:dyDescent="0.3">
      <c r="A1614">
        <v>44810</v>
      </c>
      <c r="B1614" t="s">
        <v>21</v>
      </c>
      <c r="C1614" t="s">
        <v>31</v>
      </c>
      <c r="D1614">
        <v>350</v>
      </c>
      <c r="E1614">
        <v>20</v>
      </c>
      <c r="F1614">
        <v>375.55</v>
      </c>
      <c r="G1614" t="s">
        <v>35</v>
      </c>
      <c r="H1614" s="1">
        <v>45312</v>
      </c>
      <c r="I1614" s="1">
        <v>45345</v>
      </c>
      <c r="J1614" t="s">
        <v>39</v>
      </c>
      <c r="K1614" t="b">
        <f>Table1[[#This Row],[CurrentStock]]&lt;Table1[[#This Row],[ReorderLevel]]</f>
        <v>0</v>
      </c>
      <c r="L1614" s="9">
        <f>Table1[[#This Row],[CurrentStock]]*Table1[[#This Row],[UnitPrice]]</f>
        <v>131442.5</v>
      </c>
      <c r="M1614" t="str">
        <f>IF(Table1[[#This Row],[ReorderLevel]]-Table1[[#This Row],[CurrentStock]]&gt;0,Table1[[#This Row],[ReorderLevel]]-Table1[[#This Row],[CurrentStock]],"")</f>
        <v/>
      </c>
      <c r="N1614" t="str">
        <f>IF(Table1[[#This Row],[CurrentStock]]&gt;Table1[[#This Row],[ReorderLevel]]*3,"Over Stock","Okay")</f>
        <v>Over Stock</v>
      </c>
      <c r="O1614" t="str">
        <f>IF(Table1[[#This Row],[CurrentStock]]&lt;Table1[[#This Row],[ReorderLevel]],"Reorder","Okay")</f>
        <v>Okay</v>
      </c>
    </row>
    <row r="1615" spans="1:15" x14ac:dyDescent="0.3">
      <c r="A1615">
        <v>97844</v>
      </c>
      <c r="B1615" t="s">
        <v>24</v>
      </c>
      <c r="C1615" t="s">
        <v>31</v>
      </c>
      <c r="D1615">
        <v>392</v>
      </c>
      <c r="E1615">
        <v>150</v>
      </c>
      <c r="F1615">
        <v>226.22</v>
      </c>
      <c r="G1615" t="s">
        <v>34</v>
      </c>
      <c r="H1615" s="1">
        <v>45604</v>
      </c>
      <c r="I1615" s="1">
        <v>45624</v>
      </c>
      <c r="J1615" t="s">
        <v>39</v>
      </c>
      <c r="K1615" t="b">
        <f>Table1[[#This Row],[CurrentStock]]&lt;Table1[[#This Row],[ReorderLevel]]</f>
        <v>0</v>
      </c>
      <c r="L1615" s="9">
        <f>Table1[[#This Row],[CurrentStock]]*Table1[[#This Row],[UnitPrice]]</f>
        <v>88678.24</v>
      </c>
      <c r="M1615" t="str">
        <f>IF(Table1[[#This Row],[ReorderLevel]]-Table1[[#This Row],[CurrentStock]]&gt;0,Table1[[#This Row],[ReorderLevel]]-Table1[[#This Row],[CurrentStock]],"")</f>
        <v/>
      </c>
      <c r="N1615" t="str">
        <f>IF(Table1[[#This Row],[CurrentStock]]&gt;Table1[[#This Row],[ReorderLevel]]*3,"Over Stock","Okay")</f>
        <v>Okay</v>
      </c>
      <c r="O1615" t="str">
        <f>IF(Table1[[#This Row],[CurrentStock]]&lt;Table1[[#This Row],[ReorderLevel]],"Reorder","Okay")</f>
        <v>Okay</v>
      </c>
    </row>
    <row r="1616" spans="1:15" x14ac:dyDescent="0.3">
      <c r="A1616">
        <v>34022</v>
      </c>
      <c r="B1616" t="s">
        <v>10</v>
      </c>
      <c r="C1616" t="s">
        <v>27</v>
      </c>
      <c r="D1616">
        <v>470</v>
      </c>
      <c r="E1616">
        <v>150</v>
      </c>
      <c r="F1616">
        <v>88.2</v>
      </c>
      <c r="G1616" t="s">
        <v>32</v>
      </c>
      <c r="H1616" s="1">
        <v>45310</v>
      </c>
      <c r="I1616" s="1">
        <v>45334</v>
      </c>
      <c r="J1616" t="s">
        <v>38</v>
      </c>
      <c r="K1616" t="b">
        <f>Table1[[#This Row],[CurrentStock]]&lt;Table1[[#This Row],[ReorderLevel]]</f>
        <v>0</v>
      </c>
      <c r="L1616" s="9">
        <f>Table1[[#This Row],[CurrentStock]]*Table1[[#This Row],[UnitPrice]]</f>
        <v>41454</v>
      </c>
      <c r="M1616" t="str">
        <f>IF(Table1[[#This Row],[ReorderLevel]]-Table1[[#This Row],[CurrentStock]]&gt;0,Table1[[#This Row],[ReorderLevel]]-Table1[[#This Row],[CurrentStock]],"")</f>
        <v/>
      </c>
      <c r="N1616" t="str">
        <f>IF(Table1[[#This Row],[CurrentStock]]&gt;Table1[[#This Row],[ReorderLevel]]*3,"Over Stock","Okay")</f>
        <v>Over Stock</v>
      </c>
      <c r="O1616" t="str">
        <f>IF(Table1[[#This Row],[CurrentStock]]&lt;Table1[[#This Row],[ReorderLevel]],"Reorder","Okay")</f>
        <v>Okay</v>
      </c>
    </row>
    <row r="1617" spans="1:15" x14ac:dyDescent="0.3">
      <c r="A1617">
        <v>48286</v>
      </c>
      <c r="B1617" t="s">
        <v>17</v>
      </c>
      <c r="C1617" t="s">
        <v>30</v>
      </c>
      <c r="D1617">
        <v>162</v>
      </c>
      <c r="E1617">
        <v>20</v>
      </c>
      <c r="F1617">
        <v>492.31</v>
      </c>
      <c r="G1617" t="s">
        <v>33</v>
      </c>
      <c r="H1617" s="1">
        <v>45621</v>
      </c>
      <c r="I1617" s="1">
        <v>45648</v>
      </c>
      <c r="J1617" t="s">
        <v>37</v>
      </c>
      <c r="K1617" t="b">
        <f>Table1[[#This Row],[CurrentStock]]&lt;Table1[[#This Row],[ReorderLevel]]</f>
        <v>0</v>
      </c>
      <c r="L1617" s="9">
        <f>Table1[[#This Row],[CurrentStock]]*Table1[[#This Row],[UnitPrice]]</f>
        <v>79754.22</v>
      </c>
      <c r="M1617" t="str">
        <f>IF(Table1[[#This Row],[ReorderLevel]]-Table1[[#This Row],[CurrentStock]]&gt;0,Table1[[#This Row],[ReorderLevel]]-Table1[[#This Row],[CurrentStock]],"")</f>
        <v/>
      </c>
      <c r="N1617" t="str">
        <f>IF(Table1[[#This Row],[CurrentStock]]&gt;Table1[[#This Row],[ReorderLevel]]*3,"Over Stock","Okay")</f>
        <v>Over Stock</v>
      </c>
      <c r="O1617" t="str">
        <f>IF(Table1[[#This Row],[CurrentStock]]&lt;Table1[[#This Row],[ReorderLevel]],"Reorder","Okay")</f>
        <v>Okay</v>
      </c>
    </row>
    <row r="1618" spans="1:15" x14ac:dyDescent="0.3">
      <c r="A1618">
        <v>33707</v>
      </c>
      <c r="B1618" t="s">
        <v>11</v>
      </c>
      <c r="C1618" t="s">
        <v>27</v>
      </c>
      <c r="D1618">
        <v>465</v>
      </c>
      <c r="E1618">
        <v>150</v>
      </c>
      <c r="F1618">
        <v>131.66</v>
      </c>
      <c r="G1618" t="s">
        <v>33</v>
      </c>
      <c r="H1618" s="1">
        <v>45581</v>
      </c>
      <c r="I1618" s="1">
        <v>45620</v>
      </c>
      <c r="J1618" t="s">
        <v>38</v>
      </c>
      <c r="K1618" t="b">
        <f>Table1[[#This Row],[CurrentStock]]&lt;Table1[[#This Row],[ReorderLevel]]</f>
        <v>0</v>
      </c>
      <c r="L1618" s="9">
        <f>Table1[[#This Row],[CurrentStock]]*Table1[[#This Row],[UnitPrice]]</f>
        <v>61221.9</v>
      </c>
      <c r="M1618" t="str">
        <f>IF(Table1[[#This Row],[ReorderLevel]]-Table1[[#This Row],[CurrentStock]]&gt;0,Table1[[#This Row],[ReorderLevel]]-Table1[[#This Row],[CurrentStock]],"")</f>
        <v/>
      </c>
      <c r="N1618" t="str">
        <f>IF(Table1[[#This Row],[CurrentStock]]&gt;Table1[[#This Row],[ReorderLevel]]*3,"Over Stock","Okay")</f>
        <v>Over Stock</v>
      </c>
      <c r="O1618" t="str">
        <f>IF(Table1[[#This Row],[CurrentStock]]&lt;Table1[[#This Row],[ReorderLevel]],"Reorder","Okay")</f>
        <v>Okay</v>
      </c>
    </row>
    <row r="1619" spans="1:15" x14ac:dyDescent="0.3">
      <c r="A1619">
        <v>42548</v>
      </c>
      <c r="B1619" t="s">
        <v>18</v>
      </c>
      <c r="C1619" t="s">
        <v>28</v>
      </c>
      <c r="D1619">
        <v>96</v>
      </c>
      <c r="E1619">
        <v>20</v>
      </c>
      <c r="F1619">
        <v>42.6</v>
      </c>
      <c r="G1619" t="s">
        <v>34</v>
      </c>
      <c r="H1619" s="1">
        <v>45408</v>
      </c>
      <c r="I1619" s="1">
        <v>45441</v>
      </c>
      <c r="J1619" t="s">
        <v>39</v>
      </c>
      <c r="K1619" t="b">
        <f>Table1[[#This Row],[CurrentStock]]&lt;Table1[[#This Row],[ReorderLevel]]</f>
        <v>0</v>
      </c>
      <c r="L1619" s="9">
        <f>Table1[[#This Row],[CurrentStock]]*Table1[[#This Row],[UnitPrice]]</f>
        <v>4089.6000000000004</v>
      </c>
      <c r="M1619" t="str">
        <f>IF(Table1[[#This Row],[ReorderLevel]]-Table1[[#This Row],[CurrentStock]]&gt;0,Table1[[#This Row],[ReorderLevel]]-Table1[[#This Row],[CurrentStock]],"")</f>
        <v/>
      </c>
      <c r="N1619" t="str">
        <f>IF(Table1[[#This Row],[CurrentStock]]&gt;Table1[[#This Row],[ReorderLevel]]*3,"Over Stock","Okay")</f>
        <v>Over Stock</v>
      </c>
      <c r="O1619" t="str">
        <f>IF(Table1[[#This Row],[CurrentStock]]&lt;Table1[[#This Row],[ReorderLevel]],"Reorder","Okay")</f>
        <v>Okay</v>
      </c>
    </row>
    <row r="1620" spans="1:15" x14ac:dyDescent="0.3">
      <c r="A1620">
        <v>15054</v>
      </c>
      <c r="B1620" t="s">
        <v>24</v>
      </c>
      <c r="C1620" t="s">
        <v>31</v>
      </c>
      <c r="D1620">
        <v>475</v>
      </c>
      <c r="E1620">
        <v>40</v>
      </c>
      <c r="F1620">
        <v>34.659999999999997</v>
      </c>
      <c r="G1620" t="s">
        <v>36</v>
      </c>
      <c r="H1620" s="1">
        <v>45471</v>
      </c>
      <c r="I1620" s="1">
        <v>45493</v>
      </c>
      <c r="J1620" t="s">
        <v>37</v>
      </c>
      <c r="K1620" t="b">
        <f>Table1[[#This Row],[CurrentStock]]&lt;Table1[[#This Row],[ReorderLevel]]</f>
        <v>0</v>
      </c>
      <c r="L1620" s="9">
        <f>Table1[[#This Row],[CurrentStock]]*Table1[[#This Row],[UnitPrice]]</f>
        <v>16463.5</v>
      </c>
      <c r="M1620" t="str">
        <f>IF(Table1[[#This Row],[ReorderLevel]]-Table1[[#This Row],[CurrentStock]]&gt;0,Table1[[#This Row],[ReorderLevel]]-Table1[[#This Row],[CurrentStock]],"")</f>
        <v/>
      </c>
      <c r="N1620" t="str">
        <f>IF(Table1[[#This Row],[CurrentStock]]&gt;Table1[[#This Row],[ReorderLevel]]*3,"Over Stock","Okay")</f>
        <v>Over Stock</v>
      </c>
      <c r="O1620" t="str">
        <f>IF(Table1[[#This Row],[CurrentStock]]&lt;Table1[[#This Row],[ReorderLevel]],"Reorder","Okay")</f>
        <v>Okay</v>
      </c>
    </row>
    <row r="1621" spans="1:15" x14ac:dyDescent="0.3">
      <c r="A1621">
        <v>25846</v>
      </c>
      <c r="B1621" t="s">
        <v>13</v>
      </c>
      <c r="C1621" t="s">
        <v>29</v>
      </c>
      <c r="D1621">
        <v>474</v>
      </c>
      <c r="E1621">
        <v>30</v>
      </c>
      <c r="F1621">
        <v>135.91</v>
      </c>
      <c r="G1621" t="s">
        <v>34</v>
      </c>
      <c r="H1621" s="1">
        <v>45302</v>
      </c>
      <c r="I1621" s="1">
        <v>45340</v>
      </c>
      <c r="J1621" t="s">
        <v>38</v>
      </c>
      <c r="K1621" t="b">
        <f>Table1[[#This Row],[CurrentStock]]&lt;Table1[[#This Row],[ReorderLevel]]</f>
        <v>0</v>
      </c>
      <c r="L1621" s="9">
        <f>Table1[[#This Row],[CurrentStock]]*Table1[[#This Row],[UnitPrice]]</f>
        <v>64421.34</v>
      </c>
      <c r="M1621" t="str">
        <f>IF(Table1[[#This Row],[ReorderLevel]]-Table1[[#This Row],[CurrentStock]]&gt;0,Table1[[#This Row],[ReorderLevel]]-Table1[[#This Row],[CurrentStock]],"")</f>
        <v/>
      </c>
      <c r="N1621" t="str">
        <f>IF(Table1[[#This Row],[CurrentStock]]&gt;Table1[[#This Row],[ReorderLevel]]*3,"Over Stock","Okay")</f>
        <v>Over Stock</v>
      </c>
      <c r="O1621" t="str">
        <f>IF(Table1[[#This Row],[CurrentStock]]&lt;Table1[[#This Row],[ReorderLevel]],"Reorder","Okay")</f>
        <v>Okay</v>
      </c>
    </row>
    <row r="1622" spans="1:15" x14ac:dyDescent="0.3">
      <c r="A1622">
        <v>90337</v>
      </c>
      <c r="B1622" t="s">
        <v>26</v>
      </c>
      <c r="C1622" t="s">
        <v>30</v>
      </c>
      <c r="D1622">
        <v>468</v>
      </c>
      <c r="E1622">
        <v>30</v>
      </c>
      <c r="F1622">
        <v>227.43</v>
      </c>
      <c r="G1622" t="s">
        <v>34</v>
      </c>
      <c r="H1622" s="1">
        <v>45551</v>
      </c>
      <c r="I1622" s="1">
        <v>45568</v>
      </c>
      <c r="J1622" t="s">
        <v>37</v>
      </c>
      <c r="K1622" t="b">
        <f>Table1[[#This Row],[CurrentStock]]&lt;Table1[[#This Row],[ReorderLevel]]</f>
        <v>0</v>
      </c>
      <c r="L1622" s="9">
        <f>Table1[[#This Row],[CurrentStock]]*Table1[[#This Row],[UnitPrice]]</f>
        <v>106437.24</v>
      </c>
      <c r="M1622" t="str">
        <f>IF(Table1[[#This Row],[ReorderLevel]]-Table1[[#This Row],[CurrentStock]]&gt;0,Table1[[#This Row],[ReorderLevel]]-Table1[[#This Row],[CurrentStock]],"")</f>
        <v/>
      </c>
      <c r="N1622" t="str">
        <f>IF(Table1[[#This Row],[CurrentStock]]&gt;Table1[[#This Row],[ReorderLevel]]*3,"Over Stock","Okay")</f>
        <v>Over Stock</v>
      </c>
      <c r="O1622" t="str">
        <f>IF(Table1[[#This Row],[CurrentStock]]&lt;Table1[[#This Row],[ReorderLevel]],"Reorder","Okay")</f>
        <v>Okay</v>
      </c>
    </row>
    <row r="1623" spans="1:15" x14ac:dyDescent="0.3">
      <c r="A1623">
        <v>82613</v>
      </c>
      <c r="B1623" t="s">
        <v>18</v>
      </c>
      <c r="C1623" t="s">
        <v>28</v>
      </c>
      <c r="D1623">
        <v>253</v>
      </c>
      <c r="E1623">
        <v>150</v>
      </c>
      <c r="F1623">
        <v>164.55</v>
      </c>
      <c r="G1623" t="s">
        <v>32</v>
      </c>
      <c r="H1623" s="1">
        <v>45502</v>
      </c>
      <c r="I1623" s="1">
        <v>45507</v>
      </c>
      <c r="J1623" t="s">
        <v>37</v>
      </c>
      <c r="K1623" t="b">
        <f>Table1[[#This Row],[CurrentStock]]&lt;Table1[[#This Row],[ReorderLevel]]</f>
        <v>0</v>
      </c>
      <c r="L1623" s="9">
        <f>Table1[[#This Row],[CurrentStock]]*Table1[[#This Row],[UnitPrice]]</f>
        <v>41631.15</v>
      </c>
      <c r="M1623" t="str">
        <f>IF(Table1[[#This Row],[ReorderLevel]]-Table1[[#This Row],[CurrentStock]]&gt;0,Table1[[#This Row],[ReorderLevel]]-Table1[[#This Row],[CurrentStock]],"")</f>
        <v/>
      </c>
      <c r="N1623" t="str">
        <f>IF(Table1[[#This Row],[CurrentStock]]&gt;Table1[[#This Row],[ReorderLevel]]*3,"Over Stock","Okay")</f>
        <v>Okay</v>
      </c>
      <c r="O1623" t="str">
        <f>IF(Table1[[#This Row],[CurrentStock]]&lt;Table1[[#This Row],[ReorderLevel]],"Reorder","Okay")</f>
        <v>Okay</v>
      </c>
    </row>
    <row r="1624" spans="1:15" x14ac:dyDescent="0.3">
      <c r="A1624">
        <v>59456</v>
      </c>
      <c r="B1624" t="s">
        <v>18</v>
      </c>
      <c r="C1624" t="s">
        <v>28</v>
      </c>
      <c r="D1624">
        <v>85</v>
      </c>
      <c r="E1624">
        <v>150</v>
      </c>
      <c r="F1624">
        <v>26.18</v>
      </c>
      <c r="G1624" t="s">
        <v>34</v>
      </c>
      <c r="H1624" s="1">
        <v>45595</v>
      </c>
      <c r="I1624" s="1">
        <v>45631</v>
      </c>
      <c r="J1624" t="s">
        <v>37</v>
      </c>
      <c r="K1624" t="b">
        <f>Table1[[#This Row],[CurrentStock]]&lt;Table1[[#This Row],[ReorderLevel]]</f>
        <v>1</v>
      </c>
      <c r="L1624" s="9">
        <f>Table1[[#This Row],[CurrentStock]]*Table1[[#This Row],[UnitPrice]]</f>
        <v>2225.3000000000002</v>
      </c>
      <c r="M1624">
        <f>IF(Table1[[#This Row],[ReorderLevel]]-Table1[[#This Row],[CurrentStock]]&gt;0,Table1[[#This Row],[ReorderLevel]]-Table1[[#This Row],[CurrentStock]],"")</f>
        <v>65</v>
      </c>
      <c r="N1624" t="str">
        <f>IF(Table1[[#This Row],[CurrentStock]]&gt;Table1[[#This Row],[ReorderLevel]]*3,"Over Stock","Okay")</f>
        <v>Okay</v>
      </c>
      <c r="O1624" t="str">
        <f>IF(Table1[[#This Row],[CurrentStock]]&lt;Table1[[#This Row],[ReorderLevel]],"Reorder","Okay")</f>
        <v>Reorder</v>
      </c>
    </row>
    <row r="1625" spans="1:15" x14ac:dyDescent="0.3">
      <c r="A1625">
        <v>35909</v>
      </c>
      <c r="B1625" t="s">
        <v>10</v>
      </c>
      <c r="C1625" t="s">
        <v>27</v>
      </c>
      <c r="D1625">
        <v>448</v>
      </c>
      <c r="E1625">
        <v>20</v>
      </c>
      <c r="F1625">
        <v>202.65</v>
      </c>
      <c r="G1625" t="s">
        <v>33</v>
      </c>
      <c r="H1625" s="1">
        <v>45484</v>
      </c>
      <c r="I1625" s="1">
        <v>45504</v>
      </c>
      <c r="J1625" t="s">
        <v>37</v>
      </c>
      <c r="K1625" t="b">
        <f>Table1[[#This Row],[CurrentStock]]&lt;Table1[[#This Row],[ReorderLevel]]</f>
        <v>0</v>
      </c>
      <c r="L1625" s="9">
        <f>Table1[[#This Row],[CurrentStock]]*Table1[[#This Row],[UnitPrice]]</f>
        <v>90787.199999999997</v>
      </c>
      <c r="M1625" t="str">
        <f>IF(Table1[[#This Row],[ReorderLevel]]-Table1[[#This Row],[CurrentStock]]&gt;0,Table1[[#This Row],[ReorderLevel]]-Table1[[#This Row],[CurrentStock]],"")</f>
        <v/>
      </c>
      <c r="N1625" t="str">
        <f>IF(Table1[[#This Row],[CurrentStock]]&gt;Table1[[#This Row],[ReorderLevel]]*3,"Over Stock","Okay")</f>
        <v>Over Stock</v>
      </c>
      <c r="O1625" t="str">
        <f>IF(Table1[[#This Row],[CurrentStock]]&lt;Table1[[#This Row],[ReorderLevel]],"Reorder","Okay")</f>
        <v>Okay</v>
      </c>
    </row>
    <row r="1626" spans="1:15" x14ac:dyDescent="0.3">
      <c r="A1626">
        <v>75382</v>
      </c>
      <c r="B1626" t="s">
        <v>10</v>
      </c>
      <c r="C1626" t="s">
        <v>27</v>
      </c>
      <c r="D1626">
        <v>278</v>
      </c>
      <c r="E1626">
        <v>100</v>
      </c>
      <c r="F1626">
        <v>409.2</v>
      </c>
      <c r="G1626" t="s">
        <v>35</v>
      </c>
      <c r="H1626" s="1">
        <v>45462</v>
      </c>
      <c r="I1626" s="1">
        <v>45474</v>
      </c>
      <c r="J1626" t="s">
        <v>38</v>
      </c>
      <c r="K1626" t="b">
        <f>Table1[[#This Row],[CurrentStock]]&lt;Table1[[#This Row],[ReorderLevel]]</f>
        <v>0</v>
      </c>
      <c r="L1626" s="9">
        <f>Table1[[#This Row],[CurrentStock]]*Table1[[#This Row],[UnitPrice]]</f>
        <v>113757.59999999999</v>
      </c>
      <c r="M1626" t="str">
        <f>IF(Table1[[#This Row],[ReorderLevel]]-Table1[[#This Row],[CurrentStock]]&gt;0,Table1[[#This Row],[ReorderLevel]]-Table1[[#This Row],[CurrentStock]],"")</f>
        <v/>
      </c>
      <c r="N1626" t="str">
        <f>IF(Table1[[#This Row],[CurrentStock]]&gt;Table1[[#This Row],[ReorderLevel]]*3,"Over Stock","Okay")</f>
        <v>Okay</v>
      </c>
      <c r="O1626" t="str">
        <f>IF(Table1[[#This Row],[CurrentStock]]&lt;Table1[[#This Row],[ReorderLevel]],"Reorder","Okay")</f>
        <v>Okay</v>
      </c>
    </row>
    <row r="1627" spans="1:15" x14ac:dyDescent="0.3">
      <c r="A1627">
        <v>19039</v>
      </c>
      <c r="B1627" t="s">
        <v>12</v>
      </c>
      <c r="C1627" t="s">
        <v>28</v>
      </c>
      <c r="D1627">
        <v>154</v>
      </c>
      <c r="E1627">
        <v>150</v>
      </c>
      <c r="F1627">
        <v>478.15</v>
      </c>
      <c r="G1627" t="s">
        <v>33</v>
      </c>
      <c r="H1627" s="1">
        <v>45654</v>
      </c>
      <c r="I1627" s="1">
        <v>45663</v>
      </c>
      <c r="J1627" t="s">
        <v>39</v>
      </c>
      <c r="K1627" t="b">
        <f>Table1[[#This Row],[CurrentStock]]&lt;Table1[[#This Row],[ReorderLevel]]</f>
        <v>0</v>
      </c>
      <c r="L1627" s="9">
        <f>Table1[[#This Row],[CurrentStock]]*Table1[[#This Row],[UnitPrice]]</f>
        <v>73635.099999999991</v>
      </c>
      <c r="M1627" t="str">
        <f>IF(Table1[[#This Row],[ReorderLevel]]-Table1[[#This Row],[CurrentStock]]&gt;0,Table1[[#This Row],[ReorderLevel]]-Table1[[#This Row],[CurrentStock]],"")</f>
        <v/>
      </c>
      <c r="N1627" t="str">
        <f>IF(Table1[[#This Row],[CurrentStock]]&gt;Table1[[#This Row],[ReorderLevel]]*3,"Over Stock","Okay")</f>
        <v>Okay</v>
      </c>
      <c r="O1627" t="str">
        <f>IF(Table1[[#This Row],[CurrentStock]]&lt;Table1[[#This Row],[ReorderLevel]],"Reorder","Okay")</f>
        <v>Okay</v>
      </c>
    </row>
    <row r="1628" spans="1:15" x14ac:dyDescent="0.3">
      <c r="A1628">
        <v>98789</v>
      </c>
      <c r="B1628" t="s">
        <v>25</v>
      </c>
      <c r="C1628" t="s">
        <v>31</v>
      </c>
      <c r="D1628">
        <v>391</v>
      </c>
      <c r="E1628">
        <v>150</v>
      </c>
      <c r="F1628">
        <v>156.47</v>
      </c>
      <c r="G1628" t="s">
        <v>34</v>
      </c>
      <c r="H1628" s="1">
        <v>45296</v>
      </c>
      <c r="I1628" s="1">
        <v>45326</v>
      </c>
      <c r="J1628" t="s">
        <v>38</v>
      </c>
      <c r="K1628" t="b">
        <f>Table1[[#This Row],[CurrentStock]]&lt;Table1[[#This Row],[ReorderLevel]]</f>
        <v>0</v>
      </c>
      <c r="L1628" s="9">
        <f>Table1[[#This Row],[CurrentStock]]*Table1[[#This Row],[UnitPrice]]</f>
        <v>61179.77</v>
      </c>
      <c r="M1628" t="str">
        <f>IF(Table1[[#This Row],[ReorderLevel]]-Table1[[#This Row],[CurrentStock]]&gt;0,Table1[[#This Row],[ReorderLevel]]-Table1[[#This Row],[CurrentStock]],"")</f>
        <v/>
      </c>
      <c r="N1628" t="str">
        <f>IF(Table1[[#This Row],[CurrentStock]]&gt;Table1[[#This Row],[ReorderLevel]]*3,"Over Stock","Okay")</f>
        <v>Okay</v>
      </c>
      <c r="O1628" t="str">
        <f>IF(Table1[[#This Row],[CurrentStock]]&lt;Table1[[#This Row],[ReorderLevel]],"Reorder","Okay")</f>
        <v>Okay</v>
      </c>
    </row>
    <row r="1629" spans="1:15" x14ac:dyDescent="0.3">
      <c r="A1629">
        <v>62331</v>
      </c>
      <c r="B1629" t="s">
        <v>26</v>
      </c>
      <c r="C1629" t="s">
        <v>30</v>
      </c>
      <c r="D1629">
        <v>240</v>
      </c>
      <c r="E1629">
        <v>50</v>
      </c>
      <c r="F1629">
        <v>353.68</v>
      </c>
      <c r="G1629" t="s">
        <v>35</v>
      </c>
      <c r="H1629" s="1">
        <v>45399</v>
      </c>
      <c r="I1629" s="1">
        <v>45427</v>
      </c>
      <c r="J1629" t="s">
        <v>39</v>
      </c>
      <c r="K1629" t="b">
        <f>Table1[[#This Row],[CurrentStock]]&lt;Table1[[#This Row],[ReorderLevel]]</f>
        <v>0</v>
      </c>
      <c r="L1629" s="9">
        <f>Table1[[#This Row],[CurrentStock]]*Table1[[#This Row],[UnitPrice]]</f>
        <v>84883.199999999997</v>
      </c>
      <c r="M1629" t="str">
        <f>IF(Table1[[#This Row],[ReorderLevel]]-Table1[[#This Row],[CurrentStock]]&gt;0,Table1[[#This Row],[ReorderLevel]]-Table1[[#This Row],[CurrentStock]],"")</f>
        <v/>
      </c>
      <c r="N1629" t="str">
        <f>IF(Table1[[#This Row],[CurrentStock]]&gt;Table1[[#This Row],[ReorderLevel]]*3,"Over Stock","Okay")</f>
        <v>Over Stock</v>
      </c>
      <c r="O1629" t="str">
        <f>IF(Table1[[#This Row],[CurrentStock]]&lt;Table1[[#This Row],[ReorderLevel]],"Reorder","Okay")</f>
        <v>Okay</v>
      </c>
    </row>
    <row r="1630" spans="1:15" x14ac:dyDescent="0.3">
      <c r="A1630">
        <v>18262</v>
      </c>
      <c r="B1630" t="s">
        <v>10</v>
      </c>
      <c r="C1630" t="s">
        <v>27</v>
      </c>
      <c r="D1630">
        <v>364</v>
      </c>
      <c r="E1630">
        <v>20</v>
      </c>
      <c r="F1630">
        <v>7.8</v>
      </c>
      <c r="G1630" t="s">
        <v>32</v>
      </c>
      <c r="H1630" s="1">
        <v>45305</v>
      </c>
      <c r="I1630" s="1">
        <v>45328</v>
      </c>
      <c r="J1630" t="s">
        <v>38</v>
      </c>
      <c r="K1630" t="b">
        <f>Table1[[#This Row],[CurrentStock]]&lt;Table1[[#This Row],[ReorderLevel]]</f>
        <v>0</v>
      </c>
      <c r="L1630" s="9">
        <f>Table1[[#This Row],[CurrentStock]]*Table1[[#This Row],[UnitPrice]]</f>
        <v>2839.2</v>
      </c>
      <c r="M1630" t="str">
        <f>IF(Table1[[#This Row],[ReorderLevel]]-Table1[[#This Row],[CurrentStock]]&gt;0,Table1[[#This Row],[ReorderLevel]]-Table1[[#This Row],[CurrentStock]],"")</f>
        <v/>
      </c>
      <c r="N1630" t="str">
        <f>IF(Table1[[#This Row],[CurrentStock]]&gt;Table1[[#This Row],[ReorderLevel]]*3,"Over Stock","Okay")</f>
        <v>Over Stock</v>
      </c>
      <c r="O1630" t="str">
        <f>IF(Table1[[#This Row],[CurrentStock]]&lt;Table1[[#This Row],[ReorderLevel]],"Reorder","Okay")</f>
        <v>Okay</v>
      </c>
    </row>
    <row r="1631" spans="1:15" x14ac:dyDescent="0.3">
      <c r="A1631">
        <v>59104</v>
      </c>
      <c r="B1631" t="s">
        <v>19</v>
      </c>
      <c r="C1631" t="s">
        <v>28</v>
      </c>
      <c r="D1631">
        <v>10</v>
      </c>
      <c r="E1631">
        <v>30</v>
      </c>
      <c r="F1631">
        <v>338.21</v>
      </c>
      <c r="G1631" t="s">
        <v>34</v>
      </c>
      <c r="H1631" s="1">
        <v>45487</v>
      </c>
      <c r="I1631" s="1">
        <v>45508</v>
      </c>
      <c r="J1631" t="s">
        <v>39</v>
      </c>
      <c r="K1631" t="b">
        <f>Table1[[#This Row],[CurrentStock]]&lt;Table1[[#This Row],[ReorderLevel]]</f>
        <v>1</v>
      </c>
      <c r="L1631" s="9">
        <f>Table1[[#This Row],[CurrentStock]]*Table1[[#This Row],[UnitPrice]]</f>
        <v>3382.1</v>
      </c>
      <c r="M1631">
        <f>IF(Table1[[#This Row],[ReorderLevel]]-Table1[[#This Row],[CurrentStock]]&gt;0,Table1[[#This Row],[ReorderLevel]]-Table1[[#This Row],[CurrentStock]],"")</f>
        <v>20</v>
      </c>
      <c r="N1631" t="str">
        <f>IF(Table1[[#This Row],[CurrentStock]]&gt;Table1[[#This Row],[ReorderLevel]]*3,"Over Stock","Okay")</f>
        <v>Okay</v>
      </c>
      <c r="O1631" t="str">
        <f>IF(Table1[[#This Row],[CurrentStock]]&lt;Table1[[#This Row],[ReorderLevel]],"Reorder","Okay")</f>
        <v>Reorder</v>
      </c>
    </row>
    <row r="1632" spans="1:15" x14ac:dyDescent="0.3">
      <c r="A1632">
        <v>22279</v>
      </c>
      <c r="B1632" t="s">
        <v>17</v>
      </c>
      <c r="C1632" t="s">
        <v>30</v>
      </c>
      <c r="D1632">
        <v>421</v>
      </c>
      <c r="E1632">
        <v>150</v>
      </c>
      <c r="F1632">
        <v>266.06</v>
      </c>
      <c r="G1632" t="s">
        <v>34</v>
      </c>
      <c r="H1632" s="1">
        <v>45638</v>
      </c>
      <c r="I1632" s="1">
        <v>45671</v>
      </c>
      <c r="J1632" t="s">
        <v>38</v>
      </c>
      <c r="K1632" t="b">
        <f>Table1[[#This Row],[CurrentStock]]&lt;Table1[[#This Row],[ReorderLevel]]</f>
        <v>0</v>
      </c>
      <c r="L1632" s="9">
        <f>Table1[[#This Row],[CurrentStock]]*Table1[[#This Row],[UnitPrice]]</f>
        <v>112011.26</v>
      </c>
      <c r="M1632" t="str">
        <f>IF(Table1[[#This Row],[ReorderLevel]]-Table1[[#This Row],[CurrentStock]]&gt;0,Table1[[#This Row],[ReorderLevel]]-Table1[[#This Row],[CurrentStock]],"")</f>
        <v/>
      </c>
      <c r="N1632" t="str">
        <f>IF(Table1[[#This Row],[CurrentStock]]&gt;Table1[[#This Row],[ReorderLevel]]*3,"Over Stock","Okay")</f>
        <v>Okay</v>
      </c>
      <c r="O1632" t="str">
        <f>IF(Table1[[#This Row],[CurrentStock]]&lt;Table1[[#This Row],[ReorderLevel]],"Reorder","Okay")</f>
        <v>Okay</v>
      </c>
    </row>
    <row r="1633" spans="1:15" x14ac:dyDescent="0.3">
      <c r="A1633">
        <v>83398</v>
      </c>
      <c r="B1633" t="s">
        <v>14</v>
      </c>
      <c r="C1633" t="s">
        <v>27</v>
      </c>
      <c r="D1633">
        <v>378</v>
      </c>
      <c r="E1633">
        <v>150</v>
      </c>
      <c r="F1633">
        <v>470.73</v>
      </c>
      <c r="G1633" t="s">
        <v>33</v>
      </c>
      <c r="H1633" s="1">
        <v>45546</v>
      </c>
      <c r="I1633" s="1">
        <v>45558</v>
      </c>
      <c r="J1633" t="s">
        <v>37</v>
      </c>
      <c r="K1633" t="b">
        <f>Table1[[#This Row],[CurrentStock]]&lt;Table1[[#This Row],[ReorderLevel]]</f>
        <v>0</v>
      </c>
      <c r="L1633" s="9">
        <f>Table1[[#This Row],[CurrentStock]]*Table1[[#This Row],[UnitPrice]]</f>
        <v>177935.94</v>
      </c>
      <c r="M1633" t="str">
        <f>IF(Table1[[#This Row],[ReorderLevel]]-Table1[[#This Row],[CurrentStock]]&gt;0,Table1[[#This Row],[ReorderLevel]]-Table1[[#This Row],[CurrentStock]],"")</f>
        <v/>
      </c>
      <c r="N1633" t="str">
        <f>IF(Table1[[#This Row],[CurrentStock]]&gt;Table1[[#This Row],[ReorderLevel]]*3,"Over Stock","Okay")</f>
        <v>Okay</v>
      </c>
      <c r="O1633" t="str">
        <f>IF(Table1[[#This Row],[CurrentStock]]&lt;Table1[[#This Row],[ReorderLevel]],"Reorder","Okay")</f>
        <v>Okay</v>
      </c>
    </row>
    <row r="1634" spans="1:15" x14ac:dyDescent="0.3">
      <c r="A1634">
        <v>56627</v>
      </c>
      <c r="B1634" t="s">
        <v>18</v>
      </c>
      <c r="C1634" t="s">
        <v>28</v>
      </c>
      <c r="D1634">
        <v>158</v>
      </c>
      <c r="E1634">
        <v>50</v>
      </c>
      <c r="F1634">
        <v>287.38</v>
      </c>
      <c r="G1634" t="s">
        <v>36</v>
      </c>
      <c r="H1634" s="1">
        <v>45608</v>
      </c>
      <c r="I1634" s="1">
        <v>45639</v>
      </c>
      <c r="J1634" t="s">
        <v>37</v>
      </c>
      <c r="K1634" t="b">
        <f>Table1[[#This Row],[CurrentStock]]&lt;Table1[[#This Row],[ReorderLevel]]</f>
        <v>0</v>
      </c>
      <c r="L1634" s="9">
        <f>Table1[[#This Row],[CurrentStock]]*Table1[[#This Row],[UnitPrice]]</f>
        <v>45406.04</v>
      </c>
      <c r="M1634" t="str">
        <f>IF(Table1[[#This Row],[ReorderLevel]]-Table1[[#This Row],[CurrentStock]]&gt;0,Table1[[#This Row],[ReorderLevel]]-Table1[[#This Row],[CurrentStock]],"")</f>
        <v/>
      </c>
      <c r="N1634" t="str">
        <f>IF(Table1[[#This Row],[CurrentStock]]&gt;Table1[[#This Row],[ReorderLevel]]*3,"Over Stock","Okay")</f>
        <v>Over Stock</v>
      </c>
      <c r="O1634" t="str">
        <f>IF(Table1[[#This Row],[CurrentStock]]&lt;Table1[[#This Row],[ReorderLevel]],"Reorder","Okay")</f>
        <v>Okay</v>
      </c>
    </row>
    <row r="1635" spans="1:15" x14ac:dyDescent="0.3">
      <c r="A1635">
        <v>73545</v>
      </c>
      <c r="B1635" t="s">
        <v>16</v>
      </c>
      <c r="C1635" t="s">
        <v>30</v>
      </c>
      <c r="D1635">
        <v>89</v>
      </c>
      <c r="E1635">
        <v>150</v>
      </c>
      <c r="F1635">
        <v>125.46</v>
      </c>
      <c r="G1635" t="s">
        <v>33</v>
      </c>
      <c r="H1635" s="1">
        <v>45313</v>
      </c>
      <c r="I1635" s="1">
        <v>45340</v>
      </c>
      <c r="J1635" t="s">
        <v>39</v>
      </c>
      <c r="K1635" t="b">
        <f>Table1[[#This Row],[CurrentStock]]&lt;Table1[[#This Row],[ReorderLevel]]</f>
        <v>1</v>
      </c>
      <c r="L1635" s="9">
        <f>Table1[[#This Row],[CurrentStock]]*Table1[[#This Row],[UnitPrice]]</f>
        <v>11165.939999999999</v>
      </c>
      <c r="M1635">
        <f>IF(Table1[[#This Row],[ReorderLevel]]-Table1[[#This Row],[CurrentStock]]&gt;0,Table1[[#This Row],[ReorderLevel]]-Table1[[#This Row],[CurrentStock]],"")</f>
        <v>61</v>
      </c>
      <c r="N1635" t="str">
        <f>IF(Table1[[#This Row],[CurrentStock]]&gt;Table1[[#This Row],[ReorderLevel]]*3,"Over Stock","Okay")</f>
        <v>Okay</v>
      </c>
      <c r="O1635" t="str">
        <f>IF(Table1[[#This Row],[CurrentStock]]&lt;Table1[[#This Row],[ReorderLevel]],"Reorder","Okay")</f>
        <v>Reorder</v>
      </c>
    </row>
    <row r="1636" spans="1:15" x14ac:dyDescent="0.3">
      <c r="A1636">
        <v>30998</v>
      </c>
      <c r="B1636" t="s">
        <v>21</v>
      </c>
      <c r="C1636" t="s">
        <v>31</v>
      </c>
      <c r="D1636">
        <v>493</v>
      </c>
      <c r="E1636">
        <v>30</v>
      </c>
      <c r="F1636">
        <v>268.93</v>
      </c>
      <c r="G1636" t="s">
        <v>36</v>
      </c>
      <c r="H1636" s="1">
        <v>45445</v>
      </c>
      <c r="I1636" s="1">
        <v>45456</v>
      </c>
      <c r="J1636" t="s">
        <v>37</v>
      </c>
      <c r="K1636" t="b">
        <f>Table1[[#This Row],[CurrentStock]]&lt;Table1[[#This Row],[ReorderLevel]]</f>
        <v>0</v>
      </c>
      <c r="L1636" s="9">
        <f>Table1[[#This Row],[CurrentStock]]*Table1[[#This Row],[UnitPrice]]</f>
        <v>132582.49</v>
      </c>
      <c r="M1636" t="str">
        <f>IF(Table1[[#This Row],[ReorderLevel]]-Table1[[#This Row],[CurrentStock]]&gt;0,Table1[[#This Row],[ReorderLevel]]-Table1[[#This Row],[CurrentStock]],"")</f>
        <v/>
      </c>
      <c r="N1636" t="str">
        <f>IF(Table1[[#This Row],[CurrentStock]]&gt;Table1[[#This Row],[ReorderLevel]]*3,"Over Stock","Okay")</f>
        <v>Over Stock</v>
      </c>
      <c r="O1636" t="str">
        <f>IF(Table1[[#This Row],[CurrentStock]]&lt;Table1[[#This Row],[ReorderLevel]],"Reorder","Okay")</f>
        <v>Okay</v>
      </c>
    </row>
    <row r="1637" spans="1:15" x14ac:dyDescent="0.3">
      <c r="A1637">
        <v>48734</v>
      </c>
      <c r="B1637" t="s">
        <v>24</v>
      </c>
      <c r="C1637" t="s">
        <v>31</v>
      </c>
      <c r="D1637">
        <v>152</v>
      </c>
      <c r="E1637">
        <v>30</v>
      </c>
      <c r="F1637">
        <v>298.86</v>
      </c>
      <c r="G1637" t="s">
        <v>35</v>
      </c>
      <c r="H1637" s="1">
        <v>45393</v>
      </c>
      <c r="I1637" s="1">
        <v>45412</v>
      </c>
      <c r="J1637" t="s">
        <v>38</v>
      </c>
      <c r="K1637" t="b">
        <f>Table1[[#This Row],[CurrentStock]]&lt;Table1[[#This Row],[ReorderLevel]]</f>
        <v>0</v>
      </c>
      <c r="L1637" s="9">
        <f>Table1[[#This Row],[CurrentStock]]*Table1[[#This Row],[UnitPrice]]</f>
        <v>45426.720000000001</v>
      </c>
      <c r="M1637" t="str">
        <f>IF(Table1[[#This Row],[ReorderLevel]]-Table1[[#This Row],[CurrentStock]]&gt;0,Table1[[#This Row],[ReorderLevel]]-Table1[[#This Row],[CurrentStock]],"")</f>
        <v/>
      </c>
      <c r="N1637" t="str">
        <f>IF(Table1[[#This Row],[CurrentStock]]&gt;Table1[[#This Row],[ReorderLevel]]*3,"Over Stock","Okay")</f>
        <v>Over Stock</v>
      </c>
      <c r="O1637" t="str">
        <f>IF(Table1[[#This Row],[CurrentStock]]&lt;Table1[[#This Row],[ReorderLevel]],"Reorder","Okay")</f>
        <v>Okay</v>
      </c>
    </row>
    <row r="1638" spans="1:15" x14ac:dyDescent="0.3">
      <c r="A1638">
        <v>28910</v>
      </c>
      <c r="B1638" t="s">
        <v>13</v>
      </c>
      <c r="C1638" t="s">
        <v>29</v>
      </c>
      <c r="D1638">
        <v>354</v>
      </c>
      <c r="E1638">
        <v>100</v>
      </c>
      <c r="F1638">
        <v>160.55000000000001</v>
      </c>
      <c r="G1638" t="s">
        <v>36</v>
      </c>
      <c r="H1638" s="1">
        <v>45610</v>
      </c>
      <c r="I1638" s="1">
        <v>45622</v>
      </c>
      <c r="J1638" t="s">
        <v>39</v>
      </c>
      <c r="K1638" t="b">
        <f>Table1[[#This Row],[CurrentStock]]&lt;Table1[[#This Row],[ReorderLevel]]</f>
        <v>0</v>
      </c>
      <c r="L1638" s="9">
        <f>Table1[[#This Row],[CurrentStock]]*Table1[[#This Row],[UnitPrice]]</f>
        <v>56834.700000000004</v>
      </c>
      <c r="M1638" t="str">
        <f>IF(Table1[[#This Row],[ReorderLevel]]-Table1[[#This Row],[CurrentStock]]&gt;0,Table1[[#This Row],[ReorderLevel]]-Table1[[#This Row],[CurrentStock]],"")</f>
        <v/>
      </c>
      <c r="N1638" t="str">
        <f>IF(Table1[[#This Row],[CurrentStock]]&gt;Table1[[#This Row],[ReorderLevel]]*3,"Over Stock","Okay")</f>
        <v>Over Stock</v>
      </c>
      <c r="O1638" t="str">
        <f>IF(Table1[[#This Row],[CurrentStock]]&lt;Table1[[#This Row],[ReorderLevel]],"Reorder","Okay")</f>
        <v>Okay</v>
      </c>
    </row>
    <row r="1639" spans="1:15" x14ac:dyDescent="0.3">
      <c r="A1639">
        <v>30426</v>
      </c>
      <c r="B1639" t="s">
        <v>22</v>
      </c>
      <c r="C1639" t="s">
        <v>27</v>
      </c>
      <c r="D1639">
        <v>81</v>
      </c>
      <c r="E1639">
        <v>80</v>
      </c>
      <c r="F1639">
        <v>206.63</v>
      </c>
      <c r="G1639" t="s">
        <v>35</v>
      </c>
      <c r="H1639" s="1">
        <v>45561</v>
      </c>
      <c r="I1639" s="1">
        <v>45593</v>
      </c>
      <c r="J1639" t="s">
        <v>37</v>
      </c>
      <c r="K1639" t="b">
        <f>Table1[[#This Row],[CurrentStock]]&lt;Table1[[#This Row],[ReorderLevel]]</f>
        <v>0</v>
      </c>
      <c r="L1639" s="9">
        <f>Table1[[#This Row],[CurrentStock]]*Table1[[#This Row],[UnitPrice]]</f>
        <v>16737.03</v>
      </c>
      <c r="M1639" t="str">
        <f>IF(Table1[[#This Row],[ReorderLevel]]-Table1[[#This Row],[CurrentStock]]&gt;0,Table1[[#This Row],[ReorderLevel]]-Table1[[#This Row],[CurrentStock]],"")</f>
        <v/>
      </c>
      <c r="N1639" t="str">
        <f>IF(Table1[[#This Row],[CurrentStock]]&gt;Table1[[#This Row],[ReorderLevel]]*3,"Over Stock","Okay")</f>
        <v>Okay</v>
      </c>
      <c r="O1639" t="str">
        <f>IF(Table1[[#This Row],[CurrentStock]]&lt;Table1[[#This Row],[ReorderLevel]],"Reorder","Okay")</f>
        <v>Okay</v>
      </c>
    </row>
    <row r="1640" spans="1:15" x14ac:dyDescent="0.3">
      <c r="A1640">
        <v>37799</v>
      </c>
      <c r="B1640" t="s">
        <v>18</v>
      </c>
      <c r="C1640" t="s">
        <v>28</v>
      </c>
      <c r="D1640">
        <v>449</v>
      </c>
      <c r="E1640">
        <v>100</v>
      </c>
      <c r="F1640">
        <v>242.34</v>
      </c>
      <c r="G1640" t="s">
        <v>32</v>
      </c>
      <c r="H1640" s="1">
        <v>45452</v>
      </c>
      <c r="I1640" s="1">
        <v>45488</v>
      </c>
      <c r="J1640" t="s">
        <v>38</v>
      </c>
      <c r="K1640" t="b">
        <f>Table1[[#This Row],[CurrentStock]]&lt;Table1[[#This Row],[ReorderLevel]]</f>
        <v>0</v>
      </c>
      <c r="L1640" s="9">
        <f>Table1[[#This Row],[CurrentStock]]*Table1[[#This Row],[UnitPrice]]</f>
        <v>108810.66</v>
      </c>
      <c r="M1640" t="str">
        <f>IF(Table1[[#This Row],[ReorderLevel]]-Table1[[#This Row],[CurrentStock]]&gt;0,Table1[[#This Row],[ReorderLevel]]-Table1[[#This Row],[CurrentStock]],"")</f>
        <v/>
      </c>
      <c r="N1640" t="str">
        <f>IF(Table1[[#This Row],[CurrentStock]]&gt;Table1[[#This Row],[ReorderLevel]]*3,"Over Stock","Okay")</f>
        <v>Over Stock</v>
      </c>
      <c r="O1640" t="str">
        <f>IF(Table1[[#This Row],[CurrentStock]]&lt;Table1[[#This Row],[ReorderLevel]],"Reorder","Okay")</f>
        <v>Okay</v>
      </c>
    </row>
    <row r="1641" spans="1:15" x14ac:dyDescent="0.3">
      <c r="A1641">
        <v>46784</v>
      </c>
      <c r="B1641" t="s">
        <v>23</v>
      </c>
      <c r="C1641" t="s">
        <v>30</v>
      </c>
      <c r="D1641">
        <v>404</v>
      </c>
      <c r="E1641">
        <v>100</v>
      </c>
      <c r="F1641">
        <v>359.6</v>
      </c>
      <c r="G1641" t="s">
        <v>36</v>
      </c>
      <c r="H1641" s="1">
        <v>45435</v>
      </c>
      <c r="I1641" s="1">
        <v>45442</v>
      </c>
      <c r="J1641" t="s">
        <v>39</v>
      </c>
      <c r="K1641" t="b">
        <f>Table1[[#This Row],[CurrentStock]]&lt;Table1[[#This Row],[ReorderLevel]]</f>
        <v>0</v>
      </c>
      <c r="L1641" s="9">
        <f>Table1[[#This Row],[CurrentStock]]*Table1[[#This Row],[UnitPrice]]</f>
        <v>145278.40000000002</v>
      </c>
      <c r="M1641" t="str">
        <f>IF(Table1[[#This Row],[ReorderLevel]]-Table1[[#This Row],[CurrentStock]]&gt;0,Table1[[#This Row],[ReorderLevel]]-Table1[[#This Row],[CurrentStock]],"")</f>
        <v/>
      </c>
      <c r="N1641" t="str">
        <f>IF(Table1[[#This Row],[CurrentStock]]&gt;Table1[[#This Row],[ReorderLevel]]*3,"Over Stock","Okay")</f>
        <v>Over Stock</v>
      </c>
      <c r="O1641" t="str">
        <f>IF(Table1[[#This Row],[CurrentStock]]&lt;Table1[[#This Row],[ReorderLevel]],"Reorder","Okay")</f>
        <v>Okay</v>
      </c>
    </row>
    <row r="1642" spans="1:15" x14ac:dyDescent="0.3">
      <c r="A1642">
        <v>35727</v>
      </c>
      <c r="B1642" t="s">
        <v>10</v>
      </c>
      <c r="C1642" t="s">
        <v>27</v>
      </c>
      <c r="D1642">
        <v>278</v>
      </c>
      <c r="E1642">
        <v>50</v>
      </c>
      <c r="F1642">
        <v>81.510000000000005</v>
      </c>
      <c r="G1642" t="s">
        <v>35</v>
      </c>
      <c r="H1642" s="1">
        <v>45644</v>
      </c>
      <c r="I1642" s="1">
        <v>45663</v>
      </c>
      <c r="J1642" t="s">
        <v>39</v>
      </c>
      <c r="K1642" t="b">
        <f>Table1[[#This Row],[CurrentStock]]&lt;Table1[[#This Row],[ReorderLevel]]</f>
        <v>0</v>
      </c>
      <c r="L1642" s="9">
        <f>Table1[[#This Row],[CurrentStock]]*Table1[[#This Row],[UnitPrice]]</f>
        <v>22659.780000000002</v>
      </c>
      <c r="M1642" t="str">
        <f>IF(Table1[[#This Row],[ReorderLevel]]-Table1[[#This Row],[CurrentStock]]&gt;0,Table1[[#This Row],[ReorderLevel]]-Table1[[#This Row],[CurrentStock]],"")</f>
        <v/>
      </c>
      <c r="N1642" t="str">
        <f>IF(Table1[[#This Row],[CurrentStock]]&gt;Table1[[#This Row],[ReorderLevel]]*3,"Over Stock","Okay")</f>
        <v>Over Stock</v>
      </c>
      <c r="O1642" t="str">
        <f>IF(Table1[[#This Row],[CurrentStock]]&lt;Table1[[#This Row],[ReorderLevel]],"Reorder","Okay")</f>
        <v>Okay</v>
      </c>
    </row>
    <row r="1643" spans="1:15" x14ac:dyDescent="0.3">
      <c r="A1643">
        <v>66790</v>
      </c>
      <c r="B1643" t="s">
        <v>12</v>
      </c>
      <c r="C1643" t="s">
        <v>28</v>
      </c>
      <c r="D1643">
        <v>168</v>
      </c>
      <c r="E1643">
        <v>50</v>
      </c>
      <c r="F1643">
        <v>8.01</v>
      </c>
      <c r="G1643" t="s">
        <v>35</v>
      </c>
      <c r="H1643" s="1">
        <v>45426</v>
      </c>
      <c r="I1643" s="1">
        <v>45439</v>
      </c>
      <c r="J1643" t="s">
        <v>37</v>
      </c>
      <c r="K1643" t="b">
        <f>Table1[[#This Row],[CurrentStock]]&lt;Table1[[#This Row],[ReorderLevel]]</f>
        <v>0</v>
      </c>
      <c r="L1643" s="9">
        <f>Table1[[#This Row],[CurrentStock]]*Table1[[#This Row],[UnitPrice]]</f>
        <v>1345.68</v>
      </c>
      <c r="M1643" t="str">
        <f>IF(Table1[[#This Row],[ReorderLevel]]-Table1[[#This Row],[CurrentStock]]&gt;0,Table1[[#This Row],[ReorderLevel]]-Table1[[#This Row],[CurrentStock]],"")</f>
        <v/>
      </c>
      <c r="N1643" t="str">
        <f>IF(Table1[[#This Row],[CurrentStock]]&gt;Table1[[#This Row],[ReorderLevel]]*3,"Over Stock","Okay")</f>
        <v>Over Stock</v>
      </c>
      <c r="O1643" t="str">
        <f>IF(Table1[[#This Row],[CurrentStock]]&lt;Table1[[#This Row],[ReorderLevel]],"Reorder","Okay")</f>
        <v>Okay</v>
      </c>
    </row>
    <row r="1644" spans="1:15" x14ac:dyDescent="0.3">
      <c r="A1644">
        <v>31966</v>
      </c>
      <c r="B1644" t="s">
        <v>11</v>
      </c>
      <c r="C1644" t="s">
        <v>27</v>
      </c>
      <c r="D1644">
        <v>320</v>
      </c>
      <c r="E1644">
        <v>100</v>
      </c>
      <c r="F1644">
        <v>324.02999999999997</v>
      </c>
      <c r="G1644" t="s">
        <v>32</v>
      </c>
      <c r="H1644" s="1">
        <v>45632</v>
      </c>
      <c r="I1644" s="1">
        <v>45660</v>
      </c>
      <c r="J1644" t="s">
        <v>37</v>
      </c>
      <c r="K1644" t="b">
        <f>Table1[[#This Row],[CurrentStock]]&lt;Table1[[#This Row],[ReorderLevel]]</f>
        <v>0</v>
      </c>
      <c r="L1644" s="9">
        <f>Table1[[#This Row],[CurrentStock]]*Table1[[#This Row],[UnitPrice]]</f>
        <v>103689.59999999999</v>
      </c>
      <c r="M1644" t="str">
        <f>IF(Table1[[#This Row],[ReorderLevel]]-Table1[[#This Row],[CurrentStock]]&gt;0,Table1[[#This Row],[ReorderLevel]]-Table1[[#This Row],[CurrentStock]],"")</f>
        <v/>
      </c>
      <c r="N1644" t="str">
        <f>IF(Table1[[#This Row],[CurrentStock]]&gt;Table1[[#This Row],[ReorderLevel]]*3,"Over Stock","Okay")</f>
        <v>Over Stock</v>
      </c>
      <c r="O1644" t="str">
        <f>IF(Table1[[#This Row],[CurrentStock]]&lt;Table1[[#This Row],[ReorderLevel]],"Reorder","Okay")</f>
        <v>Okay</v>
      </c>
    </row>
    <row r="1645" spans="1:15" x14ac:dyDescent="0.3">
      <c r="A1645">
        <v>33814</v>
      </c>
      <c r="B1645" t="s">
        <v>18</v>
      </c>
      <c r="C1645" t="s">
        <v>28</v>
      </c>
      <c r="D1645">
        <v>148</v>
      </c>
      <c r="E1645">
        <v>50</v>
      </c>
      <c r="F1645">
        <v>232.96</v>
      </c>
      <c r="G1645" t="s">
        <v>33</v>
      </c>
      <c r="H1645" s="1">
        <v>45295</v>
      </c>
      <c r="I1645" s="1">
        <v>45327</v>
      </c>
      <c r="J1645" t="s">
        <v>38</v>
      </c>
      <c r="K1645" t="b">
        <f>Table1[[#This Row],[CurrentStock]]&lt;Table1[[#This Row],[ReorderLevel]]</f>
        <v>0</v>
      </c>
      <c r="L1645" s="9">
        <f>Table1[[#This Row],[CurrentStock]]*Table1[[#This Row],[UnitPrice]]</f>
        <v>34478.080000000002</v>
      </c>
      <c r="M1645" t="str">
        <f>IF(Table1[[#This Row],[ReorderLevel]]-Table1[[#This Row],[CurrentStock]]&gt;0,Table1[[#This Row],[ReorderLevel]]-Table1[[#This Row],[CurrentStock]],"")</f>
        <v/>
      </c>
      <c r="N1645" t="str">
        <f>IF(Table1[[#This Row],[CurrentStock]]&gt;Table1[[#This Row],[ReorderLevel]]*3,"Over Stock","Okay")</f>
        <v>Okay</v>
      </c>
      <c r="O1645" t="str">
        <f>IF(Table1[[#This Row],[CurrentStock]]&lt;Table1[[#This Row],[ReorderLevel]],"Reorder","Okay")</f>
        <v>Okay</v>
      </c>
    </row>
    <row r="1646" spans="1:15" x14ac:dyDescent="0.3">
      <c r="A1646">
        <v>72898</v>
      </c>
      <c r="B1646" t="s">
        <v>15</v>
      </c>
      <c r="C1646" t="s">
        <v>29</v>
      </c>
      <c r="D1646">
        <v>228</v>
      </c>
      <c r="E1646">
        <v>80</v>
      </c>
      <c r="F1646">
        <v>52.5</v>
      </c>
      <c r="G1646" t="s">
        <v>32</v>
      </c>
      <c r="H1646" s="1">
        <v>45525</v>
      </c>
      <c r="I1646" s="1">
        <v>45548</v>
      </c>
      <c r="J1646" t="s">
        <v>39</v>
      </c>
      <c r="K1646" t="b">
        <f>Table1[[#This Row],[CurrentStock]]&lt;Table1[[#This Row],[ReorderLevel]]</f>
        <v>0</v>
      </c>
      <c r="L1646" s="9">
        <f>Table1[[#This Row],[CurrentStock]]*Table1[[#This Row],[UnitPrice]]</f>
        <v>11970</v>
      </c>
      <c r="M1646" t="str">
        <f>IF(Table1[[#This Row],[ReorderLevel]]-Table1[[#This Row],[CurrentStock]]&gt;0,Table1[[#This Row],[ReorderLevel]]-Table1[[#This Row],[CurrentStock]],"")</f>
        <v/>
      </c>
      <c r="N1646" t="str">
        <f>IF(Table1[[#This Row],[CurrentStock]]&gt;Table1[[#This Row],[ReorderLevel]]*3,"Over Stock","Okay")</f>
        <v>Okay</v>
      </c>
      <c r="O1646" t="str">
        <f>IF(Table1[[#This Row],[CurrentStock]]&lt;Table1[[#This Row],[ReorderLevel]],"Reorder","Okay")</f>
        <v>Okay</v>
      </c>
    </row>
    <row r="1647" spans="1:15" x14ac:dyDescent="0.3">
      <c r="A1647">
        <v>59892</v>
      </c>
      <c r="B1647" t="s">
        <v>17</v>
      </c>
      <c r="C1647" t="s">
        <v>30</v>
      </c>
      <c r="D1647">
        <v>157</v>
      </c>
      <c r="E1647">
        <v>100</v>
      </c>
      <c r="F1647">
        <v>463.65</v>
      </c>
      <c r="G1647" t="s">
        <v>33</v>
      </c>
      <c r="H1647" s="1">
        <v>45440</v>
      </c>
      <c r="I1647" s="1">
        <v>45455</v>
      </c>
      <c r="J1647" t="s">
        <v>39</v>
      </c>
      <c r="K1647" t="b">
        <f>Table1[[#This Row],[CurrentStock]]&lt;Table1[[#This Row],[ReorderLevel]]</f>
        <v>0</v>
      </c>
      <c r="L1647" s="9">
        <f>Table1[[#This Row],[CurrentStock]]*Table1[[#This Row],[UnitPrice]]</f>
        <v>72793.05</v>
      </c>
      <c r="M1647" t="str">
        <f>IF(Table1[[#This Row],[ReorderLevel]]-Table1[[#This Row],[CurrentStock]]&gt;0,Table1[[#This Row],[ReorderLevel]]-Table1[[#This Row],[CurrentStock]],"")</f>
        <v/>
      </c>
      <c r="N1647" t="str">
        <f>IF(Table1[[#This Row],[CurrentStock]]&gt;Table1[[#This Row],[ReorderLevel]]*3,"Over Stock","Okay")</f>
        <v>Okay</v>
      </c>
      <c r="O1647" t="str">
        <f>IF(Table1[[#This Row],[CurrentStock]]&lt;Table1[[#This Row],[ReorderLevel]],"Reorder","Okay")</f>
        <v>Okay</v>
      </c>
    </row>
    <row r="1648" spans="1:15" x14ac:dyDescent="0.3">
      <c r="A1648">
        <v>47117</v>
      </c>
      <c r="B1648" t="s">
        <v>22</v>
      </c>
      <c r="C1648" t="s">
        <v>27</v>
      </c>
      <c r="D1648">
        <v>474</v>
      </c>
      <c r="E1648">
        <v>80</v>
      </c>
      <c r="F1648">
        <v>498.9</v>
      </c>
      <c r="G1648" t="s">
        <v>36</v>
      </c>
      <c r="H1648" s="1">
        <v>45559</v>
      </c>
      <c r="I1648" s="1">
        <v>45586</v>
      </c>
      <c r="J1648" t="s">
        <v>39</v>
      </c>
      <c r="K1648" t="b">
        <f>Table1[[#This Row],[CurrentStock]]&lt;Table1[[#This Row],[ReorderLevel]]</f>
        <v>0</v>
      </c>
      <c r="L1648" s="9">
        <f>Table1[[#This Row],[CurrentStock]]*Table1[[#This Row],[UnitPrice]]</f>
        <v>236478.59999999998</v>
      </c>
      <c r="M1648" t="str">
        <f>IF(Table1[[#This Row],[ReorderLevel]]-Table1[[#This Row],[CurrentStock]]&gt;0,Table1[[#This Row],[ReorderLevel]]-Table1[[#This Row],[CurrentStock]],"")</f>
        <v/>
      </c>
      <c r="N1648" t="str">
        <f>IF(Table1[[#This Row],[CurrentStock]]&gt;Table1[[#This Row],[ReorderLevel]]*3,"Over Stock","Okay")</f>
        <v>Over Stock</v>
      </c>
      <c r="O1648" t="str">
        <f>IF(Table1[[#This Row],[CurrentStock]]&lt;Table1[[#This Row],[ReorderLevel]],"Reorder","Okay")</f>
        <v>Okay</v>
      </c>
    </row>
    <row r="1649" spans="1:15" x14ac:dyDescent="0.3">
      <c r="A1649">
        <v>97943</v>
      </c>
      <c r="B1649" t="s">
        <v>26</v>
      </c>
      <c r="C1649" t="s">
        <v>30</v>
      </c>
      <c r="D1649">
        <v>445</v>
      </c>
      <c r="E1649">
        <v>50</v>
      </c>
      <c r="F1649">
        <v>55.69</v>
      </c>
      <c r="G1649" t="s">
        <v>33</v>
      </c>
      <c r="H1649" s="1">
        <v>45340</v>
      </c>
      <c r="I1649" s="1">
        <v>45358</v>
      </c>
      <c r="J1649" t="s">
        <v>38</v>
      </c>
      <c r="K1649" t="b">
        <f>Table1[[#This Row],[CurrentStock]]&lt;Table1[[#This Row],[ReorderLevel]]</f>
        <v>0</v>
      </c>
      <c r="L1649" s="9">
        <f>Table1[[#This Row],[CurrentStock]]*Table1[[#This Row],[UnitPrice]]</f>
        <v>24782.05</v>
      </c>
      <c r="M1649" t="str">
        <f>IF(Table1[[#This Row],[ReorderLevel]]-Table1[[#This Row],[CurrentStock]]&gt;0,Table1[[#This Row],[ReorderLevel]]-Table1[[#This Row],[CurrentStock]],"")</f>
        <v/>
      </c>
      <c r="N1649" t="str">
        <f>IF(Table1[[#This Row],[CurrentStock]]&gt;Table1[[#This Row],[ReorderLevel]]*3,"Over Stock","Okay")</f>
        <v>Over Stock</v>
      </c>
      <c r="O1649" t="str">
        <f>IF(Table1[[#This Row],[CurrentStock]]&lt;Table1[[#This Row],[ReorderLevel]],"Reorder","Okay")</f>
        <v>Okay</v>
      </c>
    </row>
    <row r="1650" spans="1:15" x14ac:dyDescent="0.3">
      <c r="A1650">
        <v>52348</v>
      </c>
      <c r="B1650" t="s">
        <v>18</v>
      </c>
      <c r="C1650" t="s">
        <v>28</v>
      </c>
      <c r="D1650">
        <v>159</v>
      </c>
      <c r="E1650">
        <v>150</v>
      </c>
      <c r="F1650">
        <v>222.8</v>
      </c>
      <c r="G1650" t="s">
        <v>33</v>
      </c>
      <c r="H1650" s="1">
        <v>45616</v>
      </c>
      <c r="I1650" s="1">
        <v>45646</v>
      </c>
      <c r="J1650" t="s">
        <v>39</v>
      </c>
      <c r="K1650" t="b">
        <f>Table1[[#This Row],[CurrentStock]]&lt;Table1[[#This Row],[ReorderLevel]]</f>
        <v>0</v>
      </c>
      <c r="L1650" s="9">
        <f>Table1[[#This Row],[CurrentStock]]*Table1[[#This Row],[UnitPrice]]</f>
        <v>35425.200000000004</v>
      </c>
      <c r="M1650" t="str">
        <f>IF(Table1[[#This Row],[ReorderLevel]]-Table1[[#This Row],[CurrentStock]]&gt;0,Table1[[#This Row],[ReorderLevel]]-Table1[[#This Row],[CurrentStock]],"")</f>
        <v/>
      </c>
      <c r="N1650" t="str">
        <f>IF(Table1[[#This Row],[CurrentStock]]&gt;Table1[[#This Row],[ReorderLevel]]*3,"Over Stock","Okay")</f>
        <v>Okay</v>
      </c>
      <c r="O1650" t="str">
        <f>IF(Table1[[#This Row],[CurrentStock]]&lt;Table1[[#This Row],[ReorderLevel]],"Reorder","Okay")</f>
        <v>Okay</v>
      </c>
    </row>
    <row r="1651" spans="1:15" x14ac:dyDescent="0.3">
      <c r="A1651">
        <v>91256</v>
      </c>
      <c r="B1651" t="s">
        <v>21</v>
      </c>
      <c r="C1651" t="s">
        <v>31</v>
      </c>
      <c r="D1651">
        <v>331</v>
      </c>
      <c r="E1651">
        <v>40</v>
      </c>
      <c r="F1651">
        <v>123.61</v>
      </c>
      <c r="G1651" t="s">
        <v>32</v>
      </c>
      <c r="H1651" s="1">
        <v>45417</v>
      </c>
      <c r="I1651" s="1">
        <v>45441</v>
      </c>
      <c r="J1651" t="s">
        <v>37</v>
      </c>
      <c r="K1651" t="b">
        <f>Table1[[#This Row],[CurrentStock]]&lt;Table1[[#This Row],[ReorderLevel]]</f>
        <v>0</v>
      </c>
      <c r="L1651" s="9">
        <f>Table1[[#This Row],[CurrentStock]]*Table1[[#This Row],[UnitPrice]]</f>
        <v>40914.909999999996</v>
      </c>
      <c r="M1651" t="str">
        <f>IF(Table1[[#This Row],[ReorderLevel]]-Table1[[#This Row],[CurrentStock]]&gt;0,Table1[[#This Row],[ReorderLevel]]-Table1[[#This Row],[CurrentStock]],"")</f>
        <v/>
      </c>
      <c r="N1651" t="str">
        <f>IF(Table1[[#This Row],[CurrentStock]]&gt;Table1[[#This Row],[ReorderLevel]]*3,"Over Stock","Okay")</f>
        <v>Over Stock</v>
      </c>
      <c r="O1651" t="str">
        <f>IF(Table1[[#This Row],[CurrentStock]]&lt;Table1[[#This Row],[ReorderLevel]],"Reorder","Okay")</f>
        <v>Okay</v>
      </c>
    </row>
    <row r="1652" spans="1:15" x14ac:dyDescent="0.3">
      <c r="A1652">
        <v>95666</v>
      </c>
      <c r="B1652" t="s">
        <v>11</v>
      </c>
      <c r="C1652" t="s">
        <v>27</v>
      </c>
      <c r="D1652">
        <v>116</v>
      </c>
      <c r="E1652">
        <v>100</v>
      </c>
      <c r="F1652">
        <v>496.72</v>
      </c>
      <c r="G1652" t="s">
        <v>36</v>
      </c>
      <c r="H1652" s="1">
        <v>45384</v>
      </c>
      <c r="I1652" s="1">
        <v>45404</v>
      </c>
      <c r="J1652" t="s">
        <v>39</v>
      </c>
      <c r="K1652" t="b">
        <f>Table1[[#This Row],[CurrentStock]]&lt;Table1[[#This Row],[ReorderLevel]]</f>
        <v>0</v>
      </c>
      <c r="L1652" s="9">
        <f>Table1[[#This Row],[CurrentStock]]*Table1[[#This Row],[UnitPrice]]</f>
        <v>57619.520000000004</v>
      </c>
      <c r="M1652" t="str">
        <f>IF(Table1[[#This Row],[ReorderLevel]]-Table1[[#This Row],[CurrentStock]]&gt;0,Table1[[#This Row],[ReorderLevel]]-Table1[[#This Row],[CurrentStock]],"")</f>
        <v/>
      </c>
      <c r="N1652" t="str">
        <f>IF(Table1[[#This Row],[CurrentStock]]&gt;Table1[[#This Row],[ReorderLevel]]*3,"Over Stock","Okay")</f>
        <v>Okay</v>
      </c>
      <c r="O1652" t="str">
        <f>IF(Table1[[#This Row],[CurrentStock]]&lt;Table1[[#This Row],[ReorderLevel]],"Reorder","Okay")</f>
        <v>Okay</v>
      </c>
    </row>
    <row r="1653" spans="1:15" x14ac:dyDescent="0.3">
      <c r="A1653">
        <v>45162</v>
      </c>
      <c r="B1653" t="s">
        <v>15</v>
      </c>
      <c r="C1653" t="s">
        <v>29</v>
      </c>
      <c r="D1653">
        <v>388</v>
      </c>
      <c r="E1653">
        <v>30</v>
      </c>
      <c r="F1653">
        <v>477.24</v>
      </c>
      <c r="G1653" t="s">
        <v>36</v>
      </c>
      <c r="H1653" s="1">
        <v>45643</v>
      </c>
      <c r="I1653" s="1">
        <v>45678</v>
      </c>
      <c r="J1653" t="s">
        <v>37</v>
      </c>
      <c r="K1653" t="b">
        <f>Table1[[#This Row],[CurrentStock]]&lt;Table1[[#This Row],[ReorderLevel]]</f>
        <v>0</v>
      </c>
      <c r="L1653" s="9">
        <f>Table1[[#This Row],[CurrentStock]]*Table1[[#This Row],[UnitPrice]]</f>
        <v>185169.12</v>
      </c>
      <c r="M1653" t="str">
        <f>IF(Table1[[#This Row],[ReorderLevel]]-Table1[[#This Row],[CurrentStock]]&gt;0,Table1[[#This Row],[ReorderLevel]]-Table1[[#This Row],[CurrentStock]],"")</f>
        <v/>
      </c>
      <c r="N1653" t="str">
        <f>IF(Table1[[#This Row],[CurrentStock]]&gt;Table1[[#This Row],[ReorderLevel]]*3,"Over Stock","Okay")</f>
        <v>Over Stock</v>
      </c>
      <c r="O1653" t="str">
        <f>IF(Table1[[#This Row],[CurrentStock]]&lt;Table1[[#This Row],[ReorderLevel]],"Reorder","Okay")</f>
        <v>Okay</v>
      </c>
    </row>
    <row r="1654" spans="1:15" x14ac:dyDescent="0.3">
      <c r="A1654">
        <v>41147</v>
      </c>
      <c r="B1654" t="s">
        <v>13</v>
      </c>
      <c r="C1654" t="s">
        <v>29</v>
      </c>
      <c r="D1654">
        <v>32</v>
      </c>
      <c r="E1654">
        <v>50</v>
      </c>
      <c r="F1654">
        <v>449.57</v>
      </c>
      <c r="G1654" t="s">
        <v>34</v>
      </c>
      <c r="H1654" s="1">
        <v>45504</v>
      </c>
      <c r="I1654" s="1">
        <v>45532</v>
      </c>
      <c r="J1654" t="s">
        <v>37</v>
      </c>
      <c r="K1654" t="b">
        <f>Table1[[#This Row],[CurrentStock]]&lt;Table1[[#This Row],[ReorderLevel]]</f>
        <v>1</v>
      </c>
      <c r="L1654" s="9">
        <f>Table1[[#This Row],[CurrentStock]]*Table1[[#This Row],[UnitPrice]]</f>
        <v>14386.24</v>
      </c>
      <c r="M1654">
        <f>IF(Table1[[#This Row],[ReorderLevel]]-Table1[[#This Row],[CurrentStock]]&gt;0,Table1[[#This Row],[ReorderLevel]]-Table1[[#This Row],[CurrentStock]],"")</f>
        <v>18</v>
      </c>
      <c r="N1654" t="str">
        <f>IF(Table1[[#This Row],[CurrentStock]]&gt;Table1[[#This Row],[ReorderLevel]]*3,"Over Stock","Okay")</f>
        <v>Okay</v>
      </c>
      <c r="O1654" t="str">
        <f>IF(Table1[[#This Row],[CurrentStock]]&lt;Table1[[#This Row],[ReorderLevel]],"Reorder","Okay")</f>
        <v>Reorder</v>
      </c>
    </row>
    <row r="1655" spans="1:15" x14ac:dyDescent="0.3">
      <c r="A1655">
        <v>30099</v>
      </c>
      <c r="B1655" t="s">
        <v>23</v>
      </c>
      <c r="C1655" t="s">
        <v>30</v>
      </c>
      <c r="D1655">
        <v>48</v>
      </c>
      <c r="E1655">
        <v>20</v>
      </c>
      <c r="F1655">
        <v>341.2</v>
      </c>
      <c r="G1655" t="s">
        <v>32</v>
      </c>
      <c r="H1655" s="1">
        <v>45386</v>
      </c>
      <c r="I1655" s="1">
        <v>45415</v>
      </c>
      <c r="J1655" t="s">
        <v>38</v>
      </c>
      <c r="K1655" t="b">
        <f>Table1[[#This Row],[CurrentStock]]&lt;Table1[[#This Row],[ReorderLevel]]</f>
        <v>0</v>
      </c>
      <c r="L1655" s="9">
        <f>Table1[[#This Row],[CurrentStock]]*Table1[[#This Row],[UnitPrice]]</f>
        <v>16377.599999999999</v>
      </c>
      <c r="M1655" t="str">
        <f>IF(Table1[[#This Row],[ReorderLevel]]-Table1[[#This Row],[CurrentStock]]&gt;0,Table1[[#This Row],[ReorderLevel]]-Table1[[#This Row],[CurrentStock]],"")</f>
        <v/>
      </c>
      <c r="N1655" t="str">
        <f>IF(Table1[[#This Row],[CurrentStock]]&gt;Table1[[#This Row],[ReorderLevel]]*3,"Over Stock","Okay")</f>
        <v>Okay</v>
      </c>
      <c r="O1655" t="str">
        <f>IF(Table1[[#This Row],[CurrentStock]]&lt;Table1[[#This Row],[ReorderLevel]],"Reorder","Okay")</f>
        <v>Okay</v>
      </c>
    </row>
    <row r="1656" spans="1:15" x14ac:dyDescent="0.3">
      <c r="A1656">
        <v>78040</v>
      </c>
      <c r="B1656" t="s">
        <v>12</v>
      </c>
      <c r="C1656" t="s">
        <v>28</v>
      </c>
      <c r="D1656">
        <v>197</v>
      </c>
      <c r="E1656">
        <v>20</v>
      </c>
      <c r="F1656">
        <v>458.93</v>
      </c>
      <c r="G1656" t="s">
        <v>34</v>
      </c>
      <c r="H1656" s="1">
        <v>45448</v>
      </c>
      <c r="I1656" s="1">
        <v>45473</v>
      </c>
      <c r="J1656" t="s">
        <v>37</v>
      </c>
      <c r="K1656" t="b">
        <f>Table1[[#This Row],[CurrentStock]]&lt;Table1[[#This Row],[ReorderLevel]]</f>
        <v>0</v>
      </c>
      <c r="L1656" s="9">
        <f>Table1[[#This Row],[CurrentStock]]*Table1[[#This Row],[UnitPrice]]</f>
        <v>90409.21</v>
      </c>
      <c r="M1656" t="str">
        <f>IF(Table1[[#This Row],[ReorderLevel]]-Table1[[#This Row],[CurrentStock]]&gt;0,Table1[[#This Row],[ReorderLevel]]-Table1[[#This Row],[CurrentStock]],"")</f>
        <v/>
      </c>
      <c r="N1656" t="str">
        <f>IF(Table1[[#This Row],[CurrentStock]]&gt;Table1[[#This Row],[ReorderLevel]]*3,"Over Stock","Okay")</f>
        <v>Over Stock</v>
      </c>
      <c r="O1656" t="str">
        <f>IF(Table1[[#This Row],[CurrentStock]]&lt;Table1[[#This Row],[ReorderLevel]],"Reorder","Okay")</f>
        <v>Okay</v>
      </c>
    </row>
    <row r="1657" spans="1:15" x14ac:dyDescent="0.3">
      <c r="A1657">
        <v>70360</v>
      </c>
      <c r="B1657" t="s">
        <v>22</v>
      </c>
      <c r="C1657" t="s">
        <v>27</v>
      </c>
      <c r="D1657">
        <v>263</v>
      </c>
      <c r="E1657">
        <v>100</v>
      </c>
      <c r="F1657">
        <v>198.91</v>
      </c>
      <c r="G1657" t="s">
        <v>34</v>
      </c>
      <c r="H1657" s="1">
        <v>45550</v>
      </c>
      <c r="I1657" s="1">
        <v>45559</v>
      </c>
      <c r="J1657" t="s">
        <v>38</v>
      </c>
      <c r="K1657" t="b">
        <f>Table1[[#This Row],[CurrentStock]]&lt;Table1[[#This Row],[ReorderLevel]]</f>
        <v>0</v>
      </c>
      <c r="L1657" s="9">
        <f>Table1[[#This Row],[CurrentStock]]*Table1[[#This Row],[UnitPrice]]</f>
        <v>52313.33</v>
      </c>
      <c r="M1657" t="str">
        <f>IF(Table1[[#This Row],[ReorderLevel]]-Table1[[#This Row],[CurrentStock]]&gt;0,Table1[[#This Row],[ReorderLevel]]-Table1[[#This Row],[CurrentStock]],"")</f>
        <v/>
      </c>
      <c r="N1657" t="str">
        <f>IF(Table1[[#This Row],[CurrentStock]]&gt;Table1[[#This Row],[ReorderLevel]]*3,"Over Stock","Okay")</f>
        <v>Okay</v>
      </c>
      <c r="O1657" t="str">
        <f>IF(Table1[[#This Row],[CurrentStock]]&lt;Table1[[#This Row],[ReorderLevel]],"Reorder","Okay")</f>
        <v>Okay</v>
      </c>
    </row>
    <row r="1658" spans="1:15" x14ac:dyDescent="0.3">
      <c r="A1658">
        <v>34935</v>
      </c>
      <c r="B1658" t="s">
        <v>16</v>
      </c>
      <c r="C1658" t="s">
        <v>30</v>
      </c>
      <c r="D1658">
        <v>124</v>
      </c>
      <c r="E1658">
        <v>150</v>
      </c>
      <c r="F1658">
        <v>480.21</v>
      </c>
      <c r="G1658" t="s">
        <v>33</v>
      </c>
      <c r="H1658" s="1">
        <v>45304</v>
      </c>
      <c r="I1658" s="1">
        <v>45315</v>
      </c>
      <c r="J1658" t="s">
        <v>39</v>
      </c>
      <c r="K1658" t="b">
        <f>Table1[[#This Row],[CurrentStock]]&lt;Table1[[#This Row],[ReorderLevel]]</f>
        <v>1</v>
      </c>
      <c r="L1658" s="9">
        <f>Table1[[#This Row],[CurrentStock]]*Table1[[#This Row],[UnitPrice]]</f>
        <v>59546.04</v>
      </c>
      <c r="M1658">
        <f>IF(Table1[[#This Row],[ReorderLevel]]-Table1[[#This Row],[CurrentStock]]&gt;0,Table1[[#This Row],[ReorderLevel]]-Table1[[#This Row],[CurrentStock]],"")</f>
        <v>26</v>
      </c>
      <c r="N1658" t="str">
        <f>IF(Table1[[#This Row],[CurrentStock]]&gt;Table1[[#This Row],[ReorderLevel]]*3,"Over Stock","Okay")</f>
        <v>Okay</v>
      </c>
      <c r="O1658" t="str">
        <f>IF(Table1[[#This Row],[CurrentStock]]&lt;Table1[[#This Row],[ReorderLevel]],"Reorder","Okay")</f>
        <v>Reorder</v>
      </c>
    </row>
    <row r="1659" spans="1:15" x14ac:dyDescent="0.3">
      <c r="A1659">
        <v>48233</v>
      </c>
      <c r="B1659" t="s">
        <v>12</v>
      </c>
      <c r="C1659" t="s">
        <v>28</v>
      </c>
      <c r="D1659">
        <v>339</v>
      </c>
      <c r="E1659">
        <v>150</v>
      </c>
      <c r="F1659">
        <v>341.59</v>
      </c>
      <c r="G1659" t="s">
        <v>32</v>
      </c>
      <c r="H1659" s="1">
        <v>45484</v>
      </c>
      <c r="I1659" s="1">
        <v>45503</v>
      </c>
      <c r="J1659" t="s">
        <v>37</v>
      </c>
      <c r="K1659" t="b">
        <f>Table1[[#This Row],[CurrentStock]]&lt;Table1[[#This Row],[ReorderLevel]]</f>
        <v>0</v>
      </c>
      <c r="L1659" s="9">
        <f>Table1[[#This Row],[CurrentStock]]*Table1[[#This Row],[UnitPrice]]</f>
        <v>115799.01</v>
      </c>
      <c r="M1659" t="str">
        <f>IF(Table1[[#This Row],[ReorderLevel]]-Table1[[#This Row],[CurrentStock]]&gt;0,Table1[[#This Row],[ReorderLevel]]-Table1[[#This Row],[CurrentStock]],"")</f>
        <v/>
      </c>
      <c r="N1659" t="str">
        <f>IF(Table1[[#This Row],[CurrentStock]]&gt;Table1[[#This Row],[ReorderLevel]]*3,"Over Stock","Okay")</f>
        <v>Okay</v>
      </c>
      <c r="O1659" t="str">
        <f>IF(Table1[[#This Row],[CurrentStock]]&lt;Table1[[#This Row],[ReorderLevel]],"Reorder","Okay")</f>
        <v>Okay</v>
      </c>
    </row>
    <row r="1660" spans="1:15" x14ac:dyDescent="0.3">
      <c r="A1660">
        <v>29861</v>
      </c>
      <c r="B1660" t="s">
        <v>19</v>
      </c>
      <c r="C1660" t="s">
        <v>28</v>
      </c>
      <c r="D1660">
        <v>361</v>
      </c>
      <c r="E1660">
        <v>30</v>
      </c>
      <c r="F1660">
        <v>265.3</v>
      </c>
      <c r="G1660" t="s">
        <v>33</v>
      </c>
      <c r="H1660" s="1">
        <v>45386</v>
      </c>
      <c r="I1660" s="1">
        <v>45403</v>
      </c>
      <c r="J1660" t="s">
        <v>39</v>
      </c>
      <c r="K1660" t="b">
        <f>Table1[[#This Row],[CurrentStock]]&lt;Table1[[#This Row],[ReorderLevel]]</f>
        <v>0</v>
      </c>
      <c r="L1660" s="9">
        <f>Table1[[#This Row],[CurrentStock]]*Table1[[#This Row],[UnitPrice]]</f>
        <v>95773.3</v>
      </c>
      <c r="M1660" t="str">
        <f>IF(Table1[[#This Row],[ReorderLevel]]-Table1[[#This Row],[CurrentStock]]&gt;0,Table1[[#This Row],[ReorderLevel]]-Table1[[#This Row],[CurrentStock]],"")</f>
        <v/>
      </c>
      <c r="N1660" t="str">
        <f>IF(Table1[[#This Row],[CurrentStock]]&gt;Table1[[#This Row],[ReorderLevel]]*3,"Over Stock","Okay")</f>
        <v>Over Stock</v>
      </c>
      <c r="O1660" t="str">
        <f>IF(Table1[[#This Row],[CurrentStock]]&lt;Table1[[#This Row],[ReorderLevel]],"Reorder","Okay")</f>
        <v>Okay</v>
      </c>
    </row>
    <row r="1661" spans="1:15" x14ac:dyDescent="0.3">
      <c r="A1661">
        <v>69789</v>
      </c>
      <c r="B1661" t="s">
        <v>18</v>
      </c>
      <c r="C1661" t="s">
        <v>28</v>
      </c>
      <c r="D1661">
        <v>234</v>
      </c>
      <c r="E1661">
        <v>20</v>
      </c>
      <c r="F1661">
        <v>40.98</v>
      </c>
      <c r="G1661" t="s">
        <v>33</v>
      </c>
      <c r="H1661" s="1">
        <v>45398</v>
      </c>
      <c r="I1661" s="1">
        <v>45404</v>
      </c>
      <c r="J1661" t="s">
        <v>38</v>
      </c>
      <c r="K1661" t="b">
        <f>Table1[[#This Row],[CurrentStock]]&lt;Table1[[#This Row],[ReorderLevel]]</f>
        <v>0</v>
      </c>
      <c r="L1661" s="9">
        <f>Table1[[#This Row],[CurrentStock]]*Table1[[#This Row],[UnitPrice]]</f>
        <v>9589.32</v>
      </c>
      <c r="M1661" t="str">
        <f>IF(Table1[[#This Row],[ReorderLevel]]-Table1[[#This Row],[CurrentStock]]&gt;0,Table1[[#This Row],[ReorderLevel]]-Table1[[#This Row],[CurrentStock]],"")</f>
        <v/>
      </c>
      <c r="N1661" t="str">
        <f>IF(Table1[[#This Row],[CurrentStock]]&gt;Table1[[#This Row],[ReorderLevel]]*3,"Over Stock","Okay")</f>
        <v>Over Stock</v>
      </c>
      <c r="O1661" t="str">
        <f>IF(Table1[[#This Row],[CurrentStock]]&lt;Table1[[#This Row],[ReorderLevel]],"Reorder","Okay")</f>
        <v>Okay</v>
      </c>
    </row>
    <row r="1662" spans="1:15" x14ac:dyDescent="0.3">
      <c r="A1662">
        <v>88303</v>
      </c>
      <c r="B1662" t="s">
        <v>26</v>
      </c>
      <c r="C1662" t="s">
        <v>30</v>
      </c>
      <c r="D1662">
        <v>491</v>
      </c>
      <c r="E1662">
        <v>40</v>
      </c>
      <c r="F1662">
        <v>257.52</v>
      </c>
      <c r="G1662" t="s">
        <v>32</v>
      </c>
      <c r="H1662" s="1">
        <v>45305</v>
      </c>
      <c r="I1662" s="1">
        <v>45311</v>
      </c>
      <c r="J1662" t="s">
        <v>39</v>
      </c>
      <c r="K1662" t="b">
        <f>Table1[[#This Row],[CurrentStock]]&lt;Table1[[#This Row],[ReorderLevel]]</f>
        <v>0</v>
      </c>
      <c r="L1662" s="9">
        <f>Table1[[#This Row],[CurrentStock]]*Table1[[#This Row],[UnitPrice]]</f>
        <v>126442.31999999999</v>
      </c>
      <c r="M1662" t="str">
        <f>IF(Table1[[#This Row],[ReorderLevel]]-Table1[[#This Row],[CurrentStock]]&gt;0,Table1[[#This Row],[ReorderLevel]]-Table1[[#This Row],[CurrentStock]],"")</f>
        <v/>
      </c>
      <c r="N1662" t="str">
        <f>IF(Table1[[#This Row],[CurrentStock]]&gt;Table1[[#This Row],[ReorderLevel]]*3,"Over Stock","Okay")</f>
        <v>Over Stock</v>
      </c>
      <c r="O1662" t="str">
        <f>IF(Table1[[#This Row],[CurrentStock]]&lt;Table1[[#This Row],[ReorderLevel]],"Reorder","Okay")</f>
        <v>Okay</v>
      </c>
    </row>
    <row r="1663" spans="1:15" x14ac:dyDescent="0.3">
      <c r="A1663">
        <v>60155</v>
      </c>
      <c r="B1663" t="s">
        <v>15</v>
      </c>
      <c r="C1663" t="s">
        <v>29</v>
      </c>
      <c r="D1663">
        <v>158</v>
      </c>
      <c r="E1663">
        <v>20</v>
      </c>
      <c r="F1663">
        <v>172.65</v>
      </c>
      <c r="G1663" t="s">
        <v>34</v>
      </c>
      <c r="H1663" s="1">
        <v>45306</v>
      </c>
      <c r="I1663" s="1">
        <v>45337</v>
      </c>
      <c r="J1663" t="s">
        <v>38</v>
      </c>
      <c r="K1663" t="b">
        <f>Table1[[#This Row],[CurrentStock]]&lt;Table1[[#This Row],[ReorderLevel]]</f>
        <v>0</v>
      </c>
      <c r="L1663" s="9">
        <f>Table1[[#This Row],[CurrentStock]]*Table1[[#This Row],[UnitPrice]]</f>
        <v>27278.7</v>
      </c>
      <c r="M1663" t="str">
        <f>IF(Table1[[#This Row],[ReorderLevel]]-Table1[[#This Row],[CurrentStock]]&gt;0,Table1[[#This Row],[ReorderLevel]]-Table1[[#This Row],[CurrentStock]],"")</f>
        <v/>
      </c>
      <c r="N1663" t="str">
        <f>IF(Table1[[#This Row],[CurrentStock]]&gt;Table1[[#This Row],[ReorderLevel]]*3,"Over Stock","Okay")</f>
        <v>Over Stock</v>
      </c>
      <c r="O1663" t="str">
        <f>IF(Table1[[#This Row],[CurrentStock]]&lt;Table1[[#This Row],[ReorderLevel]],"Reorder","Okay")</f>
        <v>Okay</v>
      </c>
    </row>
    <row r="1664" spans="1:15" x14ac:dyDescent="0.3">
      <c r="A1664">
        <v>79535</v>
      </c>
      <c r="B1664" t="s">
        <v>25</v>
      </c>
      <c r="C1664" t="s">
        <v>31</v>
      </c>
      <c r="D1664">
        <v>289</v>
      </c>
      <c r="E1664">
        <v>80</v>
      </c>
      <c r="F1664">
        <v>231.75</v>
      </c>
      <c r="G1664" t="s">
        <v>32</v>
      </c>
      <c r="H1664" s="1">
        <v>45497</v>
      </c>
      <c r="I1664" s="1">
        <v>45504</v>
      </c>
      <c r="J1664" t="s">
        <v>37</v>
      </c>
      <c r="K1664" t="b">
        <f>Table1[[#This Row],[CurrentStock]]&lt;Table1[[#This Row],[ReorderLevel]]</f>
        <v>0</v>
      </c>
      <c r="L1664" s="9">
        <f>Table1[[#This Row],[CurrentStock]]*Table1[[#This Row],[UnitPrice]]</f>
        <v>66975.75</v>
      </c>
      <c r="M1664" t="str">
        <f>IF(Table1[[#This Row],[ReorderLevel]]-Table1[[#This Row],[CurrentStock]]&gt;0,Table1[[#This Row],[ReorderLevel]]-Table1[[#This Row],[CurrentStock]],"")</f>
        <v/>
      </c>
      <c r="N1664" t="str">
        <f>IF(Table1[[#This Row],[CurrentStock]]&gt;Table1[[#This Row],[ReorderLevel]]*3,"Over Stock","Okay")</f>
        <v>Over Stock</v>
      </c>
      <c r="O1664" t="str">
        <f>IF(Table1[[#This Row],[CurrentStock]]&lt;Table1[[#This Row],[ReorderLevel]],"Reorder","Okay")</f>
        <v>Okay</v>
      </c>
    </row>
    <row r="1665" spans="1:15" x14ac:dyDescent="0.3">
      <c r="A1665">
        <v>96850</v>
      </c>
      <c r="B1665" t="s">
        <v>20</v>
      </c>
      <c r="C1665" t="s">
        <v>29</v>
      </c>
      <c r="D1665">
        <v>73</v>
      </c>
      <c r="E1665">
        <v>80</v>
      </c>
      <c r="F1665">
        <v>58.55</v>
      </c>
      <c r="G1665" t="s">
        <v>33</v>
      </c>
      <c r="H1665" s="1">
        <v>45587</v>
      </c>
      <c r="I1665" s="1">
        <v>45609</v>
      </c>
      <c r="J1665" t="s">
        <v>37</v>
      </c>
      <c r="K1665" t="b">
        <f>Table1[[#This Row],[CurrentStock]]&lt;Table1[[#This Row],[ReorderLevel]]</f>
        <v>1</v>
      </c>
      <c r="L1665" s="9">
        <f>Table1[[#This Row],[CurrentStock]]*Table1[[#This Row],[UnitPrice]]</f>
        <v>4274.1499999999996</v>
      </c>
      <c r="M1665">
        <f>IF(Table1[[#This Row],[ReorderLevel]]-Table1[[#This Row],[CurrentStock]]&gt;0,Table1[[#This Row],[ReorderLevel]]-Table1[[#This Row],[CurrentStock]],"")</f>
        <v>7</v>
      </c>
      <c r="N1665" t="str">
        <f>IF(Table1[[#This Row],[CurrentStock]]&gt;Table1[[#This Row],[ReorderLevel]]*3,"Over Stock","Okay")</f>
        <v>Okay</v>
      </c>
      <c r="O1665" t="str">
        <f>IF(Table1[[#This Row],[CurrentStock]]&lt;Table1[[#This Row],[ReorderLevel]],"Reorder","Okay")</f>
        <v>Reorder</v>
      </c>
    </row>
    <row r="1666" spans="1:15" x14ac:dyDescent="0.3">
      <c r="A1666">
        <v>63205</v>
      </c>
      <c r="B1666" t="s">
        <v>20</v>
      </c>
      <c r="C1666" t="s">
        <v>29</v>
      </c>
      <c r="D1666">
        <v>483</v>
      </c>
      <c r="E1666">
        <v>30</v>
      </c>
      <c r="F1666">
        <v>13.58</v>
      </c>
      <c r="G1666" t="s">
        <v>36</v>
      </c>
      <c r="H1666" s="1">
        <v>45569</v>
      </c>
      <c r="I1666" s="1">
        <v>45599</v>
      </c>
      <c r="J1666" t="s">
        <v>38</v>
      </c>
      <c r="K1666" t="b">
        <f>Table1[[#This Row],[CurrentStock]]&lt;Table1[[#This Row],[ReorderLevel]]</f>
        <v>0</v>
      </c>
      <c r="L1666" s="9">
        <f>Table1[[#This Row],[CurrentStock]]*Table1[[#This Row],[UnitPrice]]</f>
        <v>6559.14</v>
      </c>
      <c r="M1666" t="str">
        <f>IF(Table1[[#This Row],[ReorderLevel]]-Table1[[#This Row],[CurrentStock]]&gt;0,Table1[[#This Row],[ReorderLevel]]-Table1[[#This Row],[CurrentStock]],"")</f>
        <v/>
      </c>
      <c r="N1666" t="str">
        <f>IF(Table1[[#This Row],[CurrentStock]]&gt;Table1[[#This Row],[ReorderLevel]]*3,"Over Stock","Okay")</f>
        <v>Over Stock</v>
      </c>
      <c r="O1666" t="str">
        <f>IF(Table1[[#This Row],[CurrentStock]]&lt;Table1[[#This Row],[ReorderLevel]],"Reorder","Okay")</f>
        <v>Okay</v>
      </c>
    </row>
    <row r="1667" spans="1:15" x14ac:dyDescent="0.3">
      <c r="A1667">
        <v>42977</v>
      </c>
      <c r="B1667" t="s">
        <v>25</v>
      </c>
      <c r="C1667" t="s">
        <v>31</v>
      </c>
      <c r="D1667">
        <v>72</v>
      </c>
      <c r="E1667">
        <v>40</v>
      </c>
      <c r="F1667">
        <v>465.63</v>
      </c>
      <c r="G1667" t="s">
        <v>35</v>
      </c>
      <c r="H1667" s="1">
        <v>45462</v>
      </c>
      <c r="I1667" s="1">
        <v>45478</v>
      </c>
      <c r="J1667" t="s">
        <v>39</v>
      </c>
      <c r="K1667" t="b">
        <f>Table1[[#This Row],[CurrentStock]]&lt;Table1[[#This Row],[ReorderLevel]]</f>
        <v>0</v>
      </c>
      <c r="L1667" s="9">
        <f>Table1[[#This Row],[CurrentStock]]*Table1[[#This Row],[UnitPrice]]</f>
        <v>33525.360000000001</v>
      </c>
      <c r="M1667" t="str">
        <f>IF(Table1[[#This Row],[ReorderLevel]]-Table1[[#This Row],[CurrentStock]]&gt;0,Table1[[#This Row],[ReorderLevel]]-Table1[[#This Row],[CurrentStock]],"")</f>
        <v/>
      </c>
      <c r="N1667" t="str">
        <f>IF(Table1[[#This Row],[CurrentStock]]&gt;Table1[[#This Row],[ReorderLevel]]*3,"Over Stock","Okay")</f>
        <v>Okay</v>
      </c>
      <c r="O1667" t="str">
        <f>IF(Table1[[#This Row],[CurrentStock]]&lt;Table1[[#This Row],[ReorderLevel]],"Reorder","Okay")</f>
        <v>Okay</v>
      </c>
    </row>
    <row r="1668" spans="1:15" x14ac:dyDescent="0.3">
      <c r="A1668">
        <v>14758</v>
      </c>
      <c r="B1668" t="s">
        <v>24</v>
      </c>
      <c r="C1668" t="s">
        <v>31</v>
      </c>
      <c r="D1668">
        <v>382</v>
      </c>
      <c r="E1668">
        <v>100</v>
      </c>
      <c r="F1668">
        <v>78.8</v>
      </c>
      <c r="G1668" t="s">
        <v>34</v>
      </c>
      <c r="H1668" s="1">
        <v>45556</v>
      </c>
      <c r="I1668" s="1">
        <v>45595</v>
      </c>
      <c r="J1668" t="s">
        <v>39</v>
      </c>
      <c r="K1668" t="b">
        <f>Table1[[#This Row],[CurrentStock]]&lt;Table1[[#This Row],[ReorderLevel]]</f>
        <v>0</v>
      </c>
      <c r="L1668" s="9">
        <f>Table1[[#This Row],[CurrentStock]]*Table1[[#This Row],[UnitPrice]]</f>
        <v>30101.599999999999</v>
      </c>
      <c r="M1668" t="str">
        <f>IF(Table1[[#This Row],[ReorderLevel]]-Table1[[#This Row],[CurrentStock]]&gt;0,Table1[[#This Row],[ReorderLevel]]-Table1[[#This Row],[CurrentStock]],"")</f>
        <v/>
      </c>
      <c r="N1668" t="str">
        <f>IF(Table1[[#This Row],[CurrentStock]]&gt;Table1[[#This Row],[ReorderLevel]]*3,"Over Stock","Okay")</f>
        <v>Over Stock</v>
      </c>
      <c r="O1668" t="str">
        <f>IF(Table1[[#This Row],[CurrentStock]]&lt;Table1[[#This Row],[ReorderLevel]],"Reorder","Okay")</f>
        <v>Okay</v>
      </c>
    </row>
    <row r="1669" spans="1:15" x14ac:dyDescent="0.3">
      <c r="A1669">
        <v>98321</v>
      </c>
      <c r="B1669" t="s">
        <v>24</v>
      </c>
      <c r="C1669" t="s">
        <v>31</v>
      </c>
      <c r="D1669">
        <v>332</v>
      </c>
      <c r="E1669">
        <v>100</v>
      </c>
      <c r="F1669">
        <v>292.55</v>
      </c>
      <c r="G1669" t="s">
        <v>32</v>
      </c>
      <c r="H1669" s="1">
        <v>45564</v>
      </c>
      <c r="I1669" s="1">
        <v>45592</v>
      </c>
      <c r="J1669" t="s">
        <v>37</v>
      </c>
      <c r="K1669" t="b">
        <f>Table1[[#This Row],[CurrentStock]]&lt;Table1[[#This Row],[ReorderLevel]]</f>
        <v>0</v>
      </c>
      <c r="L1669" s="9">
        <f>Table1[[#This Row],[CurrentStock]]*Table1[[#This Row],[UnitPrice]]</f>
        <v>97126.6</v>
      </c>
      <c r="M1669" t="str">
        <f>IF(Table1[[#This Row],[ReorderLevel]]-Table1[[#This Row],[CurrentStock]]&gt;0,Table1[[#This Row],[ReorderLevel]]-Table1[[#This Row],[CurrentStock]],"")</f>
        <v/>
      </c>
      <c r="N1669" t="str">
        <f>IF(Table1[[#This Row],[CurrentStock]]&gt;Table1[[#This Row],[ReorderLevel]]*3,"Over Stock","Okay")</f>
        <v>Over Stock</v>
      </c>
      <c r="O1669" t="str">
        <f>IF(Table1[[#This Row],[CurrentStock]]&lt;Table1[[#This Row],[ReorderLevel]],"Reorder","Okay")</f>
        <v>Okay</v>
      </c>
    </row>
    <row r="1670" spans="1:15" x14ac:dyDescent="0.3">
      <c r="A1670">
        <v>28405</v>
      </c>
      <c r="B1670" t="s">
        <v>22</v>
      </c>
      <c r="C1670" t="s">
        <v>27</v>
      </c>
      <c r="D1670">
        <v>160</v>
      </c>
      <c r="E1670">
        <v>80</v>
      </c>
      <c r="F1670">
        <v>223.06</v>
      </c>
      <c r="G1670" t="s">
        <v>32</v>
      </c>
      <c r="H1670" s="1">
        <v>45344</v>
      </c>
      <c r="I1670" s="1">
        <v>45357</v>
      </c>
      <c r="J1670" t="s">
        <v>37</v>
      </c>
      <c r="K1670" t="b">
        <f>Table1[[#This Row],[CurrentStock]]&lt;Table1[[#This Row],[ReorderLevel]]</f>
        <v>0</v>
      </c>
      <c r="L1670" s="9">
        <f>Table1[[#This Row],[CurrentStock]]*Table1[[#This Row],[UnitPrice]]</f>
        <v>35689.599999999999</v>
      </c>
      <c r="M1670" t="str">
        <f>IF(Table1[[#This Row],[ReorderLevel]]-Table1[[#This Row],[CurrentStock]]&gt;0,Table1[[#This Row],[ReorderLevel]]-Table1[[#This Row],[CurrentStock]],"")</f>
        <v/>
      </c>
      <c r="N1670" t="str">
        <f>IF(Table1[[#This Row],[CurrentStock]]&gt;Table1[[#This Row],[ReorderLevel]]*3,"Over Stock","Okay")</f>
        <v>Okay</v>
      </c>
      <c r="O1670" t="str">
        <f>IF(Table1[[#This Row],[CurrentStock]]&lt;Table1[[#This Row],[ReorderLevel]],"Reorder","Okay")</f>
        <v>Okay</v>
      </c>
    </row>
    <row r="1671" spans="1:15" x14ac:dyDescent="0.3">
      <c r="A1671">
        <v>92633</v>
      </c>
      <c r="B1671" t="s">
        <v>25</v>
      </c>
      <c r="C1671" t="s">
        <v>31</v>
      </c>
      <c r="D1671">
        <v>34</v>
      </c>
      <c r="E1671">
        <v>30</v>
      </c>
      <c r="F1671">
        <v>431.84</v>
      </c>
      <c r="G1671" t="s">
        <v>35</v>
      </c>
      <c r="H1671" s="1">
        <v>45488</v>
      </c>
      <c r="I1671" s="1">
        <v>45517</v>
      </c>
      <c r="J1671" t="s">
        <v>39</v>
      </c>
      <c r="K1671" t="b">
        <f>Table1[[#This Row],[CurrentStock]]&lt;Table1[[#This Row],[ReorderLevel]]</f>
        <v>0</v>
      </c>
      <c r="L1671" s="9">
        <f>Table1[[#This Row],[CurrentStock]]*Table1[[#This Row],[UnitPrice]]</f>
        <v>14682.56</v>
      </c>
      <c r="M1671" t="str">
        <f>IF(Table1[[#This Row],[ReorderLevel]]-Table1[[#This Row],[CurrentStock]]&gt;0,Table1[[#This Row],[ReorderLevel]]-Table1[[#This Row],[CurrentStock]],"")</f>
        <v/>
      </c>
      <c r="N1671" t="str">
        <f>IF(Table1[[#This Row],[CurrentStock]]&gt;Table1[[#This Row],[ReorderLevel]]*3,"Over Stock","Okay")</f>
        <v>Okay</v>
      </c>
      <c r="O1671" t="str">
        <f>IF(Table1[[#This Row],[CurrentStock]]&lt;Table1[[#This Row],[ReorderLevel]],"Reorder","Okay")</f>
        <v>Okay</v>
      </c>
    </row>
    <row r="1672" spans="1:15" x14ac:dyDescent="0.3">
      <c r="A1672">
        <v>33118</v>
      </c>
      <c r="B1672" t="s">
        <v>23</v>
      </c>
      <c r="C1672" t="s">
        <v>30</v>
      </c>
      <c r="D1672">
        <v>187</v>
      </c>
      <c r="E1672">
        <v>30</v>
      </c>
      <c r="F1672">
        <v>489.83</v>
      </c>
      <c r="G1672" t="s">
        <v>34</v>
      </c>
      <c r="H1672" s="1">
        <v>45427</v>
      </c>
      <c r="I1672" s="1">
        <v>45433</v>
      </c>
      <c r="J1672" t="s">
        <v>39</v>
      </c>
      <c r="K1672" t="b">
        <f>Table1[[#This Row],[CurrentStock]]&lt;Table1[[#This Row],[ReorderLevel]]</f>
        <v>0</v>
      </c>
      <c r="L1672" s="9">
        <f>Table1[[#This Row],[CurrentStock]]*Table1[[#This Row],[UnitPrice]]</f>
        <v>91598.209999999992</v>
      </c>
      <c r="M1672" t="str">
        <f>IF(Table1[[#This Row],[ReorderLevel]]-Table1[[#This Row],[CurrentStock]]&gt;0,Table1[[#This Row],[ReorderLevel]]-Table1[[#This Row],[CurrentStock]],"")</f>
        <v/>
      </c>
      <c r="N1672" t="str">
        <f>IF(Table1[[#This Row],[CurrentStock]]&gt;Table1[[#This Row],[ReorderLevel]]*3,"Over Stock","Okay")</f>
        <v>Over Stock</v>
      </c>
      <c r="O1672" t="str">
        <f>IF(Table1[[#This Row],[CurrentStock]]&lt;Table1[[#This Row],[ReorderLevel]],"Reorder","Okay")</f>
        <v>Okay</v>
      </c>
    </row>
    <row r="1673" spans="1:15" x14ac:dyDescent="0.3">
      <c r="A1673">
        <v>71102</v>
      </c>
      <c r="B1673" t="s">
        <v>14</v>
      </c>
      <c r="C1673" t="s">
        <v>27</v>
      </c>
      <c r="D1673">
        <v>128</v>
      </c>
      <c r="E1673">
        <v>40</v>
      </c>
      <c r="F1673">
        <v>216.14</v>
      </c>
      <c r="G1673" t="s">
        <v>34</v>
      </c>
      <c r="H1673" s="1">
        <v>45548</v>
      </c>
      <c r="I1673" s="1">
        <v>45584</v>
      </c>
      <c r="J1673" t="s">
        <v>38</v>
      </c>
      <c r="K1673" t="b">
        <f>Table1[[#This Row],[CurrentStock]]&lt;Table1[[#This Row],[ReorderLevel]]</f>
        <v>0</v>
      </c>
      <c r="L1673" s="9">
        <f>Table1[[#This Row],[CurrentStock]]*Table1[[#This Row],[UnitPrice]]</f>
        <v>27665.919999999998</v>
      </c>
      <c r="M1673" t="str">
        <f>IF(Table1[[#This Row],[ReorderLevel]]-Table1[[#This Row],[CurrentStock]]&gt;0,Table1[[#This Row],[ReorderLevel]]-Table1[[#This Row],[CurrentStock]],"")</f>
        <v/>
      </c>
      <c r="N1673" t="str">
        <f>IF(Table1[[#This Row],[CurrentStock]]&gt;Table1[[#This Row],[ReorderLevel]]*3,"Over Stock","Okay")</f>
        <v>Over Stock</v>
      </c>
      <c r="O1673" t="str">
        <f>IF(Table1[[#This Row],[CurrentStock]]&lt;Table1[[#This Row],[ReorderLevel]],"Reorder","Okay")</f>
        <v>Okay</v>
      </c>
    </row>
    <row r="1674" spans="1:15" x14ac:dyDescent="0.3">
      <c r="A1674">
        <v>54941</v>
      </c>
      <c r="B1674" t="s">
        <v>12</v>
      </c>
      <c r="C1674" t="s">
        <v>28</v>
      </c>
      <c r="D1674">
        <v>300</v>
      </c>
      <c r="E1674">
        <v>30</v>
      </c>
      <c r="F1674">
        <v>239.15</v>
      </c>
      <c r="G1674" t="s">
        <v>32</v>
      </c>
      <c r="H1674" s="1">
        <v>45510</v>
      </c>
      <c r="I1674" s="1">
        <v>45524</v>
      </c>
      <c r="J1674" t="s">
        <v>39</v>
      </c>
      <c r="K1674" t="b">
        <f>Table1[[#This Row],[CurrentStock]]&lt;Table1[[#This Row],[ReorderLevel]]</f>
        <v>0</v>
      </c>
      <c r="L1674" s="9">
        <f>Table1[[#This Row],[CurrentStock]]*Table1[[#This Row],[UnitPrice]]</f>
        <v>71745</v>
      </c>
      <c r="M1674" t="str">
        <f>IF(Table1[[#This Row],[ReorderLevel]]-Table1[[#This Row],[CurrentStock]]&gt;0,Table1[[#This Row],[ReorderLevel]]-Table1[[#This Row],[CurrentStock]],"")</f>
        <v/>
      </c>
      <c r="N1674" t="str">
        <f>IF(Table1[[#This Row],[CurrentStock]]&gt;Table1[[#This Row],[ReorderLevel]]*3,"Over Stock","Okay")</f>
        <v>Over Stock</v>
      </c>
      <c r="O1674" t="str">
        <f>IF(Table1[[#This Row],[CurrentStock]]&lt;Table1[[#This Row],[ReorderLevel]],"Reorder","Okay")</f>
        <v>Okay</v>
      </c>
    </row>
    <row r="1675" spans="1:15" x14ac:dyDescent="0.3">
      <c r="A1675">
        <v>98529</v>
      </c>
      <c r="B1675" t="s">
        <v>15</v>
      </c>
      <c r="C1675" t="s">
        <v>29</v>
      </c>
      <c r="D1675">
        <v>20</v>
      </c>
      <c r="E1675">
        <v>100</v>
      </c>
      <c r="F1675">
        <v>81.36</v>
      </c>
      <c r="G1675" t="s">
        <v>32</v>
      </c>
      <c r="H1675" s="1">
        <v>45394</v>
      </c>
      <c r="I1675" s="1">
        <v>45422</v>
      </c>
      <c r="J1675" t="s">
        <v>39</v>
      </c>
      <c r="K1675" t="b">
        <f>Table1[[#This Row],[CurrentStock]]&lt;Table1[[#This Row],[ReorderLevel]]</f>
        <v>1</v>
      </c>
      <c r="L1675" s="9">
        <f>Table1[[#This Row],[CurrentStock]]*Table1[[#This Row],[UnitPrice]]</f>
        <v>1627.2</v>
      </c>
      <c r="M1675">
        <f>IF(Table1[[#This Row],[ReorderLevel]]-Table1[[#This Row],[CurrentStock]]&gt;0,Table1[[#This Row],[ReorderLevel]]-Table1[[#This Row],[CurrentStock]],"")</f>
        <v>80</v>
      </c>
      <c r="N1675" t="str">
        <f>IF(Table1[[#This Row],[CurrentStock]]&gt;Table1[[#This Row],[ReorderLevel]]*3,"Over Stock","Okay")</f>
        <v>Okay</v>
      </c>
      <c r="O1675" t="str">
        <f>IF(Table1[[#This Row],[CurrentStock]]&lt;Table1[[#This Row],[ReorderLevel]],"Reorder","Okay")</f>
        <v>Reorder</v>
      </c>
    </row>
    <row r="1676" spans="1:15" x14ac:dyDescent="0.3">
      <c r="A1676">
        <v>49491</v>
      </c>
      <c r="B1676" t="s">
        <v>20</v>
      </c>
      <c r="C1676" t="s">
        <v>29</v>
      </c>
      <c r="D1676">
        <v>82</v>
      </c>
      <c r="E1676">
        <v>80</v>
      </c>
      <c r="F1676">
        <v>107.42</v>
      </c>
      <c r="G1676" t="s">
        <v>35</v>
      </c>
      <c r="H1676" s="1">
        <v>45481</v>
      </c>
      <c r="I1676" s="1">
        <v>45519</v>
      </c>
      <c r="J1676" t="s">
        <v>39</v>
      </c>
      <c r="K1676" t="b">
        <f>Table1[[#This Row],[CurrentStock]]&lt;Table1[[#This Row],[ReorderLevel]]</f>
        <v>0</v>
      </c>
      <c r="L1676" s="9">
        <f>Table1[[#This Row],[CurrentStock]]*Table1[[#This Row],[UnitPrice]]</f>
        <v>8808.44</v>
      </c>
      <c r="M1676" t="str">
        <f>IF(Table1[[#This Row],[ReorderLevel]]-Table1[[#This Row],[CurrentStock]]&gt;0,Table1[[#This Row],[ReorderLevel]]-Table1[[#This Row],[CurrentStock]],"")</f>
        <v/>
      </c>
      <c r="N1676" t="str">
        <f>IF(Table1[[#This Row],[CurrentStock]]&gt;Table1[[#This Row],[ReorderLevel]]*3,"Over Stock","Okay")</f>
        <v>Okay</v>
      </c>
      <c r="O1676" t="str">
        <f>IF(Table1[[#This Row],[CurrentStock]]&lt;Table1[[#This Row],[ReorderLevel]],"Reorder","Okay")</f>
        <v>Okay</v>
      </c>
    </row>
    <row r="1677" spans="1:15" x14ac:dyDescent="0.3">
      <c r="A1677">
        <v>74320</v>
      </c>
      <c r="B1677" t="s">
        <v>24</v>
      </c>
      <c r="C1677" t="s">
        <v>31</v>
      </c>
      <c r="D1677">
        <v>122</v>
      </c>
      <c r="E1677">
        <v>100</v>
      </c>
      <c r="F1677">
        <v>177.1</v>
      </c>
      <c r="G1677" t="s">
        <v>33</v>
      </c>
      <c r="H1677" s="1">
        <v>45609</v>
      </c>
      <c r="I1677" s="1">
        <v>45641</v>
      </c>
      <c r="J1677" t="s">
        <v>38</v>
      </c>
      <c r="K1677" t="b">
        <f>Table1[[#This Row],[CurrentStock]]&lt;Table1[[#This Row],[ReorderLevel]]</f>
        <v>0</v>
      </c>
      <c r="L1677" s="9">
        <f>Table1[[#This Row],[CurrentStock]]*Table1[[#This Row],[UnitPrice]]</f>
        <v>21606.2</v>
      </c>
      <c r="M1677" t="str">
        <f>IF(Table1[[#This Row],[ReorderLevel]]-Table1[[#This Row],[CurrentStock]]&gt;0,Table1[[#This Row],[ReorderLevel]]-Table1[[#This Row],[CurrentStock]],"")</f>
        <v/>
      </c>
      <c r="N1677" t="str">
        <f>IF(Table1[[#This Row],[CurrentStock]]&gt;Table1[[#This Row],[ReorderLevel]]*3,"Over Stock","Okay")</f>
        <v>Okay</v>
      </c>
      <c r="O1677" t="str">
        <f>IF(Table1[[#This Row],[CurrentStock]]&lt;Table1[[#This Row],[ReorderLevel]],"Reorder","Okay")</f>
        <v>Okay</v>
      </c>
    </row>
    <row r="1678" spans="1:15" x14ac:dyDescent="0.3">
      <c r="A1678">
        <v>48292</v>
      </c>
      <c r="B1678" t="s">
        <v>18</v>
      </c>
      <c r="C1678" t="s">
        <v>28</v>
      </c>
      <c r="D1678">
        <v>361</v>
      </c>
      <c r="E1678">
        <v>30</v>
      </c>
      <c r="F1678">
        <v>228.83</v>
      </c>
      <c r="G1678" t="s">
        <v>35</v>
      </c>
      <c r="H1678" s="1">
        <v>45349</v>
      </c>
      <c r="I1678" s="1">
        <v>45374</v>
      </c>
      <c r="J1678" t="s">
        <v>38</v>
      </c>
      <c r="K1678" t="b">
        <f>Table1[[#This Row],[CurrentStock]]&lt;Table1[[#This Row],[ReorderLevel]]</f>
        <v>0</v>
      </c>
      <c r="L1678" s="9">
        <f>Table1[[#This Row],[CurrentStock]]*Table1[[#This Row],[UnitPrice]]</f>
        <v>82607.63</v>
      </c>
      <c r="M1678" t="str">
        <f>IF(Table1[[#This Row],[ReorderLevel]]-Table1[[#This Row],[CurrentStock]]&gt;0,Table1[[#This Row],[ReorderLevel]]-Table1[[#This Row],[CurrentStock]],"")</f>
        <v/>
      </c>
      <c r="N1678" t="str">
        <f>IF(Table1[[#This Row],[CurrentStock]]&gt;Table1[[#This Row],[ReorderLevel]]*3,"Over Stock","Okay")</f>
        <v>Over Stock</v>
      </c>
      <c r="O1678" t="str">
        <f>IF(Table1[[#This Row],[CurrentStock]]&lt;Table1[[#This Row],[ReorderLevel]],"Reorder","Okay")</f>
        <v>Okay</v>
      </c>
    </row>
    <row r="1679" spans="1:15" x14ac:dyDescent="0.3">
      <c r="A1679">
        <v>71040</v>
      </c>
      <c r="B1679" t="s">
        <v>26</v>
      </c>
      <c r="C1679" t="s">
        <v>30</v>
      </c>
      <c r="D1679">
        <v>249</v>
      </c>
      <c r="E1679">
        <v>20</v>
      </c>
      <c r="F1679">
        <v>390.48</v>
      </c>
      <c r="G1679" t="s">
        <v>36</v>
      </c>
      <c r="H1679" s="1">
        <v>45620</v>
      </c>
      <c r="I1679" s="1">
        <v>45656</v>
      </c>
      <c r="J1679" t="s">
        <v>38</v>
      </c>
      <c r="K1679" t="b">
        <f>Table1[[#This Row],[CurrentStock]]&lt;Table1[[#This Row],[ReorderLevel]]</f>
        <v>0</v>
      </c>
      <c r="L1679" s="9">
        <f>Table1[[#This Row],[CurrentStock]]*Table1[[#This Row],[UnitPrice]]</f>
        <v>97229.52</v>
      </c>
      <c r="M1679" t="str">
        <f>IF(Table1[[#This Row],[ReorderLevel]]-Table1[[#This Row],[CurrentStock]]&gt;0,Table1[[#This Row],[ReorderLevel]]-Table1[[#This Row],[CurrentStock]],"")</f>
        <v/>
      </c>
      <c r="N1679" t="str">
        <f>IF(Table1[[#This Row],[CurrentStock]]&gt;Table1[[#This Row],[ReorderLevel]]*3,"Over Stock","Okay")</f>
        <v>Over Stock</v>
      </c>
      <c r="O1679" t="str">
        <f>IF(Table1[[#This Row],[CurrentStock]]&lt;Table1[[#This Row],[ReorderLevel]],"Reorder","Okay")</f>
        <v>Okay</v>
      </c>
    </row>
    <row r="1680" spans="1:15" x14ac:dyDescent="0.3">
      <c r="A1680">
        <v>24677</v>
      </c>
      <c r="B1680" t="s">
        <v>20</v>
      </c>
      <c r="C1680" t="s">
        <v>29</v>
      </c>
      <c r="D1680">
        <v>283</v>
      </c>
      <c r="E1680">
        <v>150</v>
      </c>
      <c r="F1680">
        <v>262.12</v>
      </c>
      <c r="G1680" t="s">
        <v>33</v>
      </c>
      <c r="H1680" s="1">
        <v>45338</v>
      </c>
      <c r="I1680" s="1">
        <v>45360</v>
      </c>
      <c r="J1680" t="s">
        <v>39</v>
      </c>
      <c r="K1680" t="b">
        <f>Table1[[#This Row],[CurrentStock]]&lt;Table1[[#This Row],[ReorderLevel]]</f>
        <v>0</v>
      </c>
      <c r="L1680" s="9">
        <f>Table1[[#This Row],[CurrentStock]]*Table1[[#This Row],[UnitPrice]]</f>
        <v>74179.960000000006</v>
      </c>
      <c r="M1680" t="str">
        <f>IF(Table1[[#This Row],[ReorderLevel]]-Table1[[#This Row],[CurrentStock]]&gt;0,Table1[[#This Row],[ReorderLevel]]-Table1[[#This Row],[CurrentStock]],"")</f>
        <v/>
      </c>
      <c r="N1680" t="str">
        <f>IF(Table1[[#This Row],[CurrentStock]]&gt;Table1[[#This Row],[ReorderLevel]]*3,"Over Stock","Okay")</f>
        <v>Okay</v>
      </c>
      <c r="O1680" t="str">
        <f>IF(Table1[[#This Row],[CurrentStock]]&lt;Table1[[#This Row],[ReorderLevel]],"Reorder","Okay")</f>
        <v>Okay</v>
      </c>
    </row>
    <row r="1681" spans="1:15" x14ac:dyDescent="0.3">
      <c r="A1681">
        <v>22559</v>
      </c>
      <c r="B1681" t="s">
        <v>24</v>
      </c>
      <c r="C1681" t="s">
        <v>31</v>
      </c>
      <c r="D1681">
        <v>390</v>
      </c>
      <c r="E1681">
        <v>40</v>
      </c>
      <c r="F1681">
        <v>127.03</v>
      </c>
      <c r="G1681" t="s">
        <v>36</v>
      </c>
      <c r="H1681" s="1">
        <v>45593</v>
      </c>
      <c r="I1681" s="1">
        <v>45610</v>
      </c>
      <c r="J1681" t="s">
        <v>37</v>
      </c>
      <c r="K1681" t="b">
        <f>Table1[[#This Row],[CurrentStock]]&lt;Table1[[#This Row],[ReorderLevel]]</f>
        <v>0</v>
      </c>
      <c r="L1681" s="9">
        <f>Table1[[#This Row],[CurrentStock]]*Table1[[#This Row],[UnitPrice]]</f>
        <v>49541.7</v>
      </c>
      <c r="M1681" t="str">
        <f>IF(Table1[[#This Row],[ReorderLevel]]-Table1[[#This Row],[CurrentStock]]&gt;0,Table1[[#This Row],[ReorderLevel]]-Table1[[#This Row],[CurrentStock]],"")</f>
        <v/>
      </c>
      <c r="N1681" t="str">
        <f>IF(Table1[[#This Row],[CurrentStock]]&gt;Table1[[#This Row],[ReorderLevel]]*3,"Over Stock","Okay")</f>
        <v>Over Stock</v>
      </c>
      <c r="O1681" t="str">
        <f>IF(Table1[[#This Row],[CurrentStock]]&lt;Table1[[#This Row],[ReorderLevel]],"Reorder","Okay")</f>
        <v>Okay</v>
      </c>
    </row>
    <row r="1682" spans="1:15" x14ac:dyDescent="0.3">
      <c r="A1682">
        <v>10058</v>
      </c>
      <c r="B1682" t="s">
        <v>21</v>
      </c>
      <c r="C1682" t="s">
        <v>31</v>
      </c>
      <c r="D1682">
        <v>358</v>
      </c>
      <c r="E1682">
        <v>150</v>
      </c>
      <c r="F1682">
        <v>24.43</v>
      </c>
      <c r="G1682" t="s">
        <v>36</v>
      </c>
      <c r="H1682" s="1">
        <v>45339</v>
      </c>
      <c r="I1682" s="1">
        <v>45369</v>
      </c>
      <c r="J1682" t="s">
        <v>38</v>
      </c>
      <c r="K1682" t="b">
        <f>Table1[[#This Row],[CurrentStock]]&lt;Table1[[#This Row],[ReorderLevel]]</f>
        <v>0</v>
      </c>
      <c r="L1682" s="9">
        <f>Table1[[#This Row],[CurrentStock]]*Table1[[#This Row],[UnitPrice]]</f>
        <v>8745.94</v>
      </c>
      <c r="M1682" t="str">
        <f>IF(Table1[[#This Row],[ReorderLevel]]-Table1[[#This Row],[CurrentStock]]&gt;0,Table1[[#This Row],[ReorderLevel]]-Table1[[#This Row],[CurrentStock]],"")</f>
        <v/>
      </c>
      <c r="N1682" t="str">
        <f>IF(Table1[[#This Row],[CurrentStock]]&gt;Table1[[#This Row],[ReorderLevel]]*3,"Over Stock","Okay")</f>
        <v>Okay</v>
      </c>
      <c r="O1682" t="str">
        <f>IF(Table1[[#This Row],[CurrentStock]]&lt;Table1[[#This Row],[ReorderLevel]],"Reorder","Okay")</f>
        <v>Okay</v>
      </c>
    </row>
    <row r="1683" spans="1:15" x14ac:dyDescent="0.3">
      <c r="A1683">
        <v>12674</v>
      </c>
      <c r="B1683" t="s">
        <v>25</v>
      </c>
      <c r="C1683" t="s">
        <v>31</v>
      </c>
      <c r="D1683">
        <v>54</v>
      </c>
      <c r="E1683">
        <v>150</v>
      </c>
      <c r="F1683">
        <v>405.75</v>
      </c>
      <c r="G1683" t="s">
        <v>36</v>
      </c>
      <c r="H1683" s="1">
        <v>45376</v>
      </c>
      <c r="I1683" s="1">
        <v>45402</v>
      </c>
      <c r="J1683" t="s">
        <v>39</v>
      </c>
      <c r="K1683" t="b">
        <f>Table1[[#This Row],[CurrentStock]]&lt;Table1[[#This Row],[ReorderLevel]]</f>
        <v>1</v>
      </c>
      <c r="L1683" s="9">
        <f>Table1[[#This Row],[CurrentStock]]*Table1[[#This Row],[UnitPrice]]</f>
        <v>21910.5</v>
      </c>
      <c r="M1683">
        <f>IF(Table1[[#This Row],[ReorderLevel]]-Table1[[#This Row],[CurrentStock]]&gt;0,Table1[[#This Row],[ReorderLevel]]-Table1[[#This Row],[CurrentStock]],"")</f>
        <v>96</v>
      </c>
      <c r="N1683" t="str">
        <f>IF(Table1[[#This Row],[CurrentStock]]&gt;Table1[[#This Row],[ReorderLevel]]*3,"Over Stock","Okay")</f>
        <v>Okay</v>
      </c>
      <c r="O1683" t="str">
        <f>IF(Table1[[#This Row],[CurrentStock]]&lt;Table1[[#This Row],[ReorderLevel]],"Reorder","Okay")</f>
        <v>Reorder</v>
      </c>
    </row>
    <row r="1684" spans="1:15" x14ac:dyDescent="0.3">
      <c r="A1684">
        <v>62342</v>
      </c>
      <c r="B1684" t="s">
        <v>26</v>
      </c>
      <c r="C1684" t="s">
        <v>30</v>
      </c>
      <c r="D1684">
        <v>66</v>
      </c>
      <c r="E1684">
        <v>40</v>
      </c>
      <c r="F1684">
        <v>462.29</v>
      </c>
      <c r="G1684" t="s">
        <v>34</v>
      </c>
      <c r="H1684" s="1">
        <v>45634</v>
      </c>
      <c r="I1684" s="1">
        <v>45671</v>
      </c>
      <c r="J1684" t="s">
        <v>37</v>
      </c>
      <c r="K1684" t="b">
        <f>Table1[[#This Row],[CurrentStock]]&lt;Table1[[#This Row],[ReorderLevel]]</f>
        <v>0</v>
      </c>
      <c r="L1684" s="9">
        <f>Table1[[#This Row],[CurrentStock]]*Table1[[#This Row],[UnitPrice]]</f>
        <v>30511.140000000003</v>
      </c>
      <c r="M1684" t="str">
        <f>IF(Table1[[#This Row],[ReorderLevel]]-Table1[[#This Row],[CurrentStock]]&gt;0,Table1[[#This Row],[ReorderLevel]]-Table1[[#This Row],[CurrentStock]],"")</f>
        <v/>
      </c>
      <c r="N1684" t="str">
        <f>IF(Table1[[#This Row],[CurrentStock]]&gt;Table1[[#This Row],[ReorderLevel]]*3,"Over Stock","Okay")</f>
        <v>Okay</v>
      </c>
      <c r="O1684" t="str">
        <f>IF(Table1[[#This Row],[CurrentStock]]&lt;Table1[[#This Row],[ReorderLevel]],"Reorder","Okay")</f>
        <v>Okay</v>
      </c>
    </row>
    <row r="1685" spans="1:15" x14ac:dyDescent="0.3">
      <c r="A1685">
        <v>30171</v>
      </c>
      <c r="B1685" t="s">
        <v>16</v>
      </c>
      <c r="C1685" t="s">
        <v>30</v>
      </c>
      <c r="D1685">
        <v>184</v>
      </c>
      <c r="E1685">
        <v>30</v>
      </c>
      <c r="F1685">
        <v>131.97999999999999</v>
      </c>
      <c r="G1685" t="s">
        <v>34</v>
      </c>
      <c r="H1685" s="1">
        <v>45313</v>
      </c>
      <c r="I1685" s="1">
        <v>45330</v>
      </c>
      <c r="J1685" t="s">
        <v>39</v>
      </c>
      <c r="K1685" t="b">
        <f>Table1[[#This Row],[CurrentStock]]&lt;Table1[[#This Row],[ReorderLevel]]</f>
        <v>0</v>
      </c>
      <c r="L1685" s="9">
        <f>Table1[[#This Row],[CurrentStock]]*Table1[[#This Row],[UnitPrice]]</f>
        <v>24284.32</v>
      </c>
      <c r="M1685" t="str">
        <f>IF(Table1[[#This Row],[ReorderLevel]]-Table1[[#This Row],[CurrentStock]]&gt;0,Table1[[#This Row],[ReorderLevel]]-Table1[[#This Row],[CurrentStock]],"")</f>
        <v/>
      </c>
      <c r="N1685" t="str">
        <f>IF(Table1[[#This Row],[CurrentStock]]&gt;Table1[[#This Row],[ReorderLevel]]*3,"Over Stock","Okay")</f>
        <v>Over Stock</v>
      </c>
      <c r="O1685" t="str">
        <f>IF(Table1[[#This Row],[CurrentStock]]&lt;Table1[[#This Row],[ReorderLevel]],"Reorder","Okay")</f>
        <v>Okay</v>
      </c>
    </row>
    <row r="1686" spans="1:15" x14ac:dyDescent="0.3">
      <c r="A1686">
        <v>31236</v>
      </c>
      <c r="B1686" t="s">
        <v>16</v>
      </c>
      <c r="C1686" t="s">
        <v>30</v>
      </c>
      <c r="D1686">
        <v>420</v>
      </c>
      <c r="E1686">
        <v>80</v>
      </c>
      <c r="F1686">
        <v>341.36</v>
      </c>
      <c r="G1686" t="s">
        <v>35</v>
      </c>
      <c r="H1686" s="1">
        <v>45427</v>
      </c>
      <c r="I1686" s="1">
        <v>45464</v>
      </c>
      <c r="J1686" t="s">
        <v>38</v>
      </c>
      <c r="K1686" t="b">
        <f>Table1[[#This Row],[CurrentStock]]&lt;Table1[[#This Row],[ReorderLevel]]</f>
        <v>0</v>
      </c>
      <c r="L1686" s="9">
        <f>Table1[[#This Row],[CurrentStock]]*Table1[[#This Row],[UnitPrice]]</f>
        <v>143371.20000000001</v>
      </c>
      <c r="M1686" t="str">
        <f>IF(Table1[[#This Row],[ReorderLevel]]-Table1[[#This Row],[CurrentStock]]&gt;0,Table1[[#This Row],[ReorderLevel]]-Table1[[#This Row],[CurrentStock]],"")</f>
        <v/>
      </c>
      <c r="N1686" t="str">
        <f>IF(Table1[[#This Row],[CurrentStock]]&gt;Table1[[#This Row],[ReorderLevel]]*3,"Over Stock","Okay")</f>
        <v>Over Stock</v>
      </c>
      <c r="O1686" t="str">
        <f>IF(Table1[[#This Row],[CurrentStock]]&lt;Table1[[#This Row],[ReorderLevel]],"Reorder","Okay")</f>
        <v>Okay</v>
      </c>
    </row>
    <row r="1687" spans="1:15" x14ac:dyDescent="0.3">
      <c r="A1687">
        <v>19145</v>
      </c>
      <c r="B1687" t="s">
        <v>26</v>
      </c>
      <c r="C1687" t="s">
        <v>30</v>
      </c>
      <c r="D1687">
        <v>385</v>
      </c>
      <c r="E1687">
        <v>150</v>
      </c>
      <c r="F1687">
        <v>179.15</v>
      </c>
      <c r="G1687" t="s">
        <v>32</v>
      </c>
      <c r="H1687" s="1">
        <v>45407</v>
      </c>
      <c r="I1687" s="1">
        <v>45442</v>
      </c>
      <c r="J1687" t="s">
        <v>38</v>
      </c>
      <c r="K1687" t="b">
        <f>Table1[[#This Row],[CurrentStock]]&lt;Table1[[#This Row],[ReorderLevel]]</f>
        <v>0</v>
      </c>
      <c r="L1687" s="9">
        <f>Table1[[#This Row],[CurrentStock]]*Table1[[#This Row],[UnitPrice]]</f>
        <v>68972.75</v>
      </c>
      <c r="M1687" t="str">
        <f>IF(Table1[[#This Row],[ReorderLevel]]-Table1[[#This Row],[CurrentStock]]&gt;0,Table1[[#This Row],[ReorderLevel]]-Table1[[#This Row],[CurrentStock]],"")</f>
        <v/>
      </c>
      <c r="N1687" t="str">
        <f>IF(Table1[[#This Row],[CurrentStock]]&gt;Table1[[#This Row],[ReorderLevel]]*3,"Over Stock","Okay")</f>
        <v>Okay</v>
      </c>
      <c r="O1687" t="str">
        <f>IF(Table1[[#This Row],[CurrentStock]]&lt;Table1[[#This Row],[ReorderLevel]],"Reorder","Okay")</f>
        <v>Okay</v>
      </c>
    </row>
    <row r="1688" spans="1:15" x14ac:dyDescent="0.3">
      <c r="A1688">
        <v>61712</v>
      </c>
      <c r="B1688" t="s">
        <v>20</v>
      </c>
      <c r="C1688" t="s">
        <v>29</v>
      </c>
      <c r="D1688">
        <v>9</v>
      </c>
      <c r="E1688">
        <v>80</v>
      </c>
      <c r="F1688">
        <v>68.23</v>
      </c>
      <c r="G1688" t="s">
        <v>35</v>
      </c>
      <c r="H1688" s="1">
        <v>45413</v>
      </c>
      <c r="I1688" s="1">
        <v>45443</v>
      </c>
      <c r="J1688" t="s">
        <v>39</v>
      </c>
      <c r="K1688" t="b">
        <f>Table1[[#This Row],[CurrentStock]]&lt;Table1[[#This Row],[ReorderLevel]]</f>
        <v>1</v>
      </c>
      <c r="L1688" s="9">
        <f>Table1[[#This Row],[CurrentStock]]*Table1[[#This Row],[UnitPrice]]</f>
        <v>614.07000000000005</v>
      </c>
      <c r="M1688">
        <f>IF(Table1[[#This Row],[ReorderLevel]]-Table1[[#This Row],[CurrentStock]]&gt;0,Table1[[#This Row],[ReorderLevel]]-Table1[[#This Row],[CurrentStock]],"")</f>
        <v>71</v>
      </c>
      <c r="N1688" t="str">
        <f>IF(Table1[[#This Row],[CurrentStock]]&gt;Table1[[#This Row],[ReorderLevel]]*3,"Over Stock","Okay")</f>
        <v>Okay</v>
      </c>
      <c r="O1688" t="str">
        <f>IF(Table1[[#This Row],[CurrentStock]]&lt;Table1[[#This Row],[ReorderLevel]],"Reorder","Okay")</f>
        <v>Reorder</v>
      </c>
    </row>
    <row r="1689" spans="1:15" x14ac:dyDescent="0.3">
      <c r="A1689">
        <v>61567</v>
      </c>
      <c r="B1689" t="s">
        <v>12</v>
      </c>
      <c r="C1689" t="s">
        <v>28</v>
      </c>
      <c r="D1689">
        <v>337</v>
      </c>
      <c r="E1689">
        <v>20</v>
      </c>
      <c r="F1689">
        <v>245.2</v>
      </c>
      <c r="G1689" t="s">
        <v>34</v>
      </c>
      <c r="H1689" s="1">
        <v>45358</v>
      </c>
      <c r="I1689" s="1">
        <v>45379</v>
      </c>
      <c r="J1689" t="s">
        <v>37</v>
      </c>
      <c r="K1689" t="b">
        <f>Table1[[#This Row],[CurrentStock]]&lt;Table1[[#This Row],[ReorderLevel]]</f>
        <v>0</v>
      </c>
      <c r="L1689" s="9">
        <f>Table1[[#This Row],[CurrentStock]]*Table1[[#This Row],[UnitPrice]]</f>
        <v>82632.399999999994</v>
      </c>
      <c r="M1689" t="str">
        <f>IF(Table1[[#This Row],[ReorderLevel]]-Table1[[#This Row],[CurrentStock]]&gt;0,Table1[[#This Row],[ReorderLevel]]-Table1[[#This Row],[CurrentStock]],"")</f>
        <v/>
      </c>
      <c r="N1689" t="str">
        <f>IF(Table1[[#This Row],[CurrentStock]]&gt;Table1[[#This Row],[ReorderLevel]]*3,"Over Stock","Okay")</f>
        <v>Over Stock</v>
      </c>
      <c r="O1689" t="str">
        <f>IF(Table1[[#This Row],[CurrentStock]]&lt;Table1[[#This Row],[ReorderLevel]],"Reorder","Okay")</f>
        <v>Okay</v>
      </c>
    </row>
    <row r="1690" spans="1:15" x14ac:dyDescent="0.3">
      <c r="A1690">
        <v>57452</v>
      </c>
      <c r="B1690" t="s">
        <v>18</v>
      </c>
      <c r="C1690" t="s">
        <v>28</v>
      </c>
      <c r="D1690">
        <v>445</v>
      </c>
      <c r="E1690">
        <v>20</v>
      </c>
      <c r="F1690">
        <v>309.39</v>
      </c>
      <c r="G1690" t="s">
        <v>32</v>
      </c>
      <c r="H1690" s="1">
        <v>45406</v>
      </c>
      <c r="I1690" s="1">
        <v>45435</v>
      </c>
      <c r="J1690" t="s">
        <v>39</v>
      </c>
      <c r="K1690" t="b">
        <f>Table1[[#This Row],[CurrentStock]]&lt;Table1[[#This Row],[ReorderLevel]]</f>
        <v>0</v>
      </c>
      <c r="L1690" s="9">
        <f>Table1[[#This Row],[CurrentStock]]*Table1[[#This Row],[UnitPrice]]</f>
        <v>137678.54999999999</v>
      </c>
      <c r="M1690" t="str">
        <f>IF(Table1[[#This Row],[ReorderLevel]]-Table1[[#This Row],[CurrentStock]]&gt;0,Table1[[#This Row],[ReorderLevel]]-Table1[[#This Row],[CurrentStock]],"")</f>
        <v/>
      </c>
      <c r="N1690" t="str">
        <f>IF(Table1[[#This Row],[CurrentStock]]&gt;Table1[[#This Row],[ReorderLevel]]*3,"Over Stock","Okay")</f>
        <v>Over Stock</v>
      </c>
      <c r="O1690" t="str">
        <f>IF(Table1[[#This Row],[CurrentStock]]&lt;Table1[[#This Row],[ReorderLevel]],"Reorder","Okay")</f>
        <v>Okay</v>
      </c>
    </row>
    <row r="1691" spans="1:15" x14ac:dyDescent="0.3">
      <c r="A1691">
        <v>60511</v>
      </c>
      <c r="B1691" t="s">
        <v>26</v>
      </c>
      <c r="C1691" t="s">
        <v>30</v>
      </c>
      <c r="D1691">
        <v>321</v>
      </c>
      <c r="E1691">
        <v>50</v>
      </c>
      <c r="F1691">
        <v>55.9</v>
      </c>
      <c r="G1691" t="s">
        <v>35</v>
      </c>
      <c r="H1691" s="1">
        <v>45307</v>
      </c>
      <c r="I1691" s="1">
        <v>45325</v>
      </c>
      <c r="J1691" t="s">
        <v>37</v>
      </c>
      <c r="K1691" t="b">
        <f>Table1[[#This Row],[CurrentStock]]&lt;Table1[[#This Row],[ReorderLevel]]</f>
        <v>0</v>
      </c>
      <c r="L1691" s="9">
        <f>Table1[[#This Row],[CurrentStock]]*Table1[[#This Row],[UnitPrice]]</f>
        <v>17943.899999999998</v>
      </c>
      <c r="M1691" t="str">
        <f>IF(Table1[[#This Row],[ReorderLevel]]-Table1[[#This Row],[CurrentStock]]&gt;0,Table1[[#This Row],[ReorderLevel]]-Table1[[#This Row],[CurrentStock]],"")</f>
        <v/>
      </c>
      <c r="N1691" t="str">
        <f>IF(Table1[[#This Row],[CurrentStock]]&gt;Table1[[#This Row],[ReorderLevel]]*3,"Over Stock","Okay")</f>
        <v>Over Stock</v>
      </c>
      <c r="O1691" t="str">
        <f>IF(Table1[[#This Row],[CurrentStock]]&lt;Table1[[#This Row],[ReorderLevel]],"Reorder","Okay")</f>
        <v>Okay</v>
      </c>
    </row>
    <row r="1692" spans="1:15" x14ac:dyDescent="0.3">
      <c r="A1692">
        <v>91984</v>
      </c>
      <c r="B1692" t="s">
        <v>10</v>
      </c>
      <c r="C1692" t="s">
        <v>27</v>
      </c>
      <c r="D1692">
        <v>126</v>
      </c>
      <c r="E1692">
        <v>100</v>
      </c>
      <c r="F1692">
        <v>45.74</v>
      </c>
      <c r="G1692" t="s">
        <v>35</v>
      </c>
      <c r="H1692" s="1">
        <v>45523</v>
      </c>
      <c r="I1692" s="1">
        <v>45530</v>
      </c>
      <c r="J1692" t="s">
        <v>38</v>
      </c>
      <c r="K1692" t="b">
        <f>Table1[[#This Row],[CurrentStock]]&lt;Table1[[#This Row],[ReorderLevel]]</f>
        <v>0</v>
      </c>
      <c r="L1692" s="9">
        <f>Table1[[#This Row],[CurrentStock]]*Table1[[#This Row],[UnitPrice]]</f>
        <v>5763.2400000000007</v>
      </c>
      <c r="M1692" t="str">
        <f>IF(Table1[[#This Row],[ReorderLevel]]-Table1[[#This Row],[CurrentStock]]&gt;0,Table1[[#This Row],[ReorderLevel]]-Table1[[#This Row],[CurrentStock]],"")</f>
        <v/>
      </c>
      <c r="N1692" t="str">
        <f>IF(Table1[[#This Row],[CurrentStock]]&gt;Table1[[#This Row],[ReorderLevel]]*3,"Over Stock","Okay")</f>
        <v>Okay</v>
      </c>
      <c r="O1692" t="str">
        <f>IF(Table1[[#This Row],[CurrentStock]]&lt;Table1[[#This Row],[ReorderLevel]],"Reorder","Okay")</f>
        <v>Okay</v>
      </c>
    </row>
    <row r="1693" spans="1:15" x14ac:dyDescent="0.3">
      <c r="A1693">
        <v>11238</v>
      </c>
      <c r="B1693" t="s">
        <v>26</v>
      </c>
      <c r="C1693" t="s">
        <v>30</v>
      </c>
      <c r="D1693">
        <v>157</v>
      </c>
      <c r="E1693">
        <v>20</v>
      </c>
      <c r="F1693">
        <v>299.92</v>
      </c>
      <c r="G1693" t="s">
        <v>34</v>
      </c>
      <c r="H1693" s="1">
        <v>45473</v>
      </c>
      <c r="I1693" s="1">
        <v>45481</v>
      </c>
      <c r="J1693" t="s">
        <v>37</v>
      </c>
      <c r="K1693" t="b">
        <f>Table1[[#This Row],[CurrentStock]]&lt;Table1[[#This Row],[ReorderLevel]]</f>
        <v>0</v>
      </c>
      <c r="L1693" s="9">
        <f>Table1[[#This Row],[CurrentStock]]*Table1[[#This Row],[UnitPrice]]</f>
        <v>47087.44</v>
      </c>
      <c r="M1693" t="str">
        <f>IF(Table1[[#This Row],[ReorderLevel]]-Table1[[#This Row],[CurrentStock]]&gt;0,Table1[[#This Row],[ReorderLevel]]-Table1[[#This Row],[CurrentStock]],"")</f>
        <v/>
      </c>
      <c r="N1693" t="str">
        <f>IF(Table1[[#This Row],[CurrentStock]]&gt;Table1[[#This Row],[ReorderLevel]]*3,"Over Stock","Okay")</f>
        <v>Over Stock</v>
      </c>
      <c r="O1693" t="str">
        <f>IF(Table1[[#This Row],[CurrentStock]]&lt;Table1[[#This Row],[ReorderLevel]],"Reorder","Okay")</f>
        <v>Okay</v>
      </c>
    </row>
    <row r="1694" spans="1:15" x14ac:dyDescent="0.3">
      <c r="A1694">
        <v>42046</v>
      </c>
      <c r="B1694" t="s">
        <v>10</v>
      </c>
      <c r="C1694" t="s">
        <v>27</v>
      </c>
      <c r="D1694">
        <v>462</v>
      </c>
      <c r="E1694">
        <v>30</v>
      </c>
      <c r="F1694">
        <v>221.21</v>
      </c>
      <c r="G1694" t="s">
        <v>33</v>
      </c>
      <c r="H1694" s="1">
        <v>45384</v>
      </c>
      <c r="I1694" s="1">
        <v>45400</v>
      </c>
      <c r="J1694" t="s">
        <v>37</v>
      </c>
      <c r="K1694" t="b">
        <f>Table1[[#This Row],[CurrentStock]]&lt;Table1[[#This Row],[ReorderLevel]]</f>
        <v>0</v>
      </c>
      <c r="L1694" s="9">
        <f>Table1[[#This Row],[CurrentStock]]*Table1[[#This Row],[UnitPrice]]</f>
        <v>102199.02</v>
      </c>
      <c r="M1694" t="str">
        <f>IF(Table1[[#This Row],[ReorderLevel]]-Table1[[#This Row],[CurrentStock]]&gt;0,Table1[[#This Row],[ReorderLevel]]-Table1[[#This Row],[CurrentStock]],"")</f>
        <v/>
      </c>
      <c r="N1694" t="str">
        <f>IF(Table1[[#This Row],[CurrentStock]]&gt;Table1[[#This Row],[ReorderLevel]]*3,"Over Stock","Okay")</f>
        <v>Over Stock</v>
      </c>
      <c r="O1694" t="str">
        <f>IF(Table1[[#This Row],[CurrentStock]]&lt;Table1[[#This Row],[ReorderLevel]],"Reorder","Okay")</f>
        <v>Okay</v>
      </c>
    </row>
    <row r="1695" spans="1:15" x14ac:dyDescent="0.3">
      <c r="A1695">
        <v>24071</v>
      </c>
      <c r="B1695" t="s">
        <v>21</v>
      </c>
      <c r="C1695" t="s">
        <v>31</v>
      </c>
      <c r="D1695">
        <v>392</v>
      </c>
      <c r="E1695">
        <v>80</v>
      </c>
      <c r="F1695">
        <v>480.57</v>
      </c>
      <c r="G1695" t="s">
        <v>35</v>
      </c>
      <c r="H1695" s="1">
        <v>45398</v>
      </c>
      <c r="I1695" s="1">
        <v>45408</v>
      </c>
      <c r="J1695" t="s">
        <v>38</v>
      </c>
      <c r="K1695" t="b">
        <f>Table1[[#This Row],[CurrentStock]]&lt;Table1[[#This Row],[ReorderLevel]]</f>
        <v>0</v>
      </c>
      <c r="L1695" s="9">
        <f>Table1[[#This Row],[CurrentStock]]*Table1[[#This Row],[UnitPrice]]</f>
        <v>188383.44</v>
      </c>
      <c r="M1695" t="str">
        <f>IF(Table1[[#This Row],[ReorderLevel]]-Table1[[#This Row],[CurrentStock]]&gt;0,Table1[[#This Row],[ReorderLevel]]-Table1[[#This Row],[CurrentStock]],"")</f>
        <v/>
      </c>
      <c r="N1695" t="str">
        <f>IF(Table1[[#This Row],[CurrentStock]]&gt;Table1[[#This Row],[ReorderLevel]]*3,"Over Stock","Okay")</f>
        <v>Over Stock</v>
      </c>
      <c r="O1695" t="str">
        <f>IF(Table1[[#This Row],[CurrentStock]]&lt;Table1[[#This Row],[ReorderLevel]],"Reorder","Okay")</f>
        <v>Okay</v>
      </c>
    </row>
    <row r="1696" spans="1:15" x14ac:dyDescent="0.3">
      <c r="A1696">
        <v>93443</v>
      </c>
      <c r="B1696" t="s">
        <v>19</v>
      </c>
      <c r="C1696" t="s">
        <v>28</v>
      </c>
      <c r="D1696">
        <v>375</v>
      </c>
      <c r="E1696">
        <v>150</v>
      </c>
      <c r="F1696">
        <v>324.98</v>
      </c>
      <c r="G1696" t="s">
        <v>34</v>
      </c>
      <c r="H1696" s="1">
        <v>45434</v>
      </c>
      <c r="I1696" s="1">
        <v>45473</v>
      </c>
      <c r="J1696" t="s">
        <v>38</v>
      </c>
      <c r="K1696" t="b">
        <f>Table1[[#This Row],[CurrentStock]]&lt;Table1[[#This Row],[ReorderLevel]]</f>
        <v>0</v>
      </c>
      <c r="L1696" s="9">
        <f>Table1[[#This Row],[CurrentStock]]*Table1[[#This Row],[UnitPrice]]</f>
        <v>121867.5</v>
      </c>
      <c r="M1696" t="str">
        <f>IF(Table1[[#This Row],[ReorderLevel]]-Table1[[#This Row],[CurrentStock]]&gt;0,Table1[[#This Row],[ReorderLevel]]-Table1[[#This Row],[CurrentStock]],"")</f>
        <v/>
      </c>
      <c r="N1696" t="str">
        <f>IF(Table1[[#This Row],[CurrentStock]]&gt;Table1[[#This Row],[ReorderLevel]]*3,"Over Stock","Okay")</f>
        <v>Okay</v>
      </c>
      <c r="O1696" t="str">
        <f>IF(Table1[[#This Row],[CurrentStock]]&lt;Table1[[#This Row],[ReorderLevel]],"Reorder","Okay")</f>
        <v>Okay</v>
      </c>
    </row>
    <row r="1697" spans="1:15" x14ac:dyDescent="0.3">
      <c r="A1697">
        <v>96217</v>
      </c>
      <c r="B1697" t="s">
        <v>11</v>
      </c>
      <c r="C1697" t="s">
        <v>27</v>
      </c>
      <c r="D1697">
        <v>191</v>
      </c>
      <c r="E1697">
        <v>30</v>
      </c>
      <c r="F1697">
        <v>391.18</v>
      </c>
      <c r="G1697" t="s">
        <v>33</v>
      </c>
      <c r="H1697" s="1">
        <v>45449</v>
      </c>
      <c r="I1697" s="1">
        <v>45488</v>
      </c>
      <c r="J1697" t="s">
        <v>37</v>
      </c>
      <c r="K1697" t="b">
        <f>Table1[[#This Row],[CurrentStock]]&lt;Table1[[#This Row],[ReorderLevel]]</f>
        <v>0</v>
      </c>
      <c r="L1697" s="9">
        <f>Table1[[#This Row],[CurrentStock]]*Table1[[#This Row],[UnitPrice]]</f>
        <v>74715.38</v>
      </c>
      <c r="M1697" t="str">
        <f>IF(Table1[[#This Row],[ReorderLevel]]-Table1[[#This Row],[CurrentStock]]&gt;0,Table1[[#This Row],[ReorderLevel]]-Table1[[#This Row],[CurrentStock]],"")</f>
        <v/>
      </c>
      <c r="N1697" t="str">
        <f>IF(Table1[[#This Row],[CurrentStock]]&gt;Table1[[#This Row],[ReorderLevel]]*3,"Over Stock","Okay")</f>
        <v>Over Stock</v>
      </c>
      <c r="O1697" t="str">
        <f>IF(Table1[[#This Row],[CurrentStock]]&lt;Table1[[#This Row],[ReorderLevel]],"Reorder","Okay")</f>
        <v>Okay</v>
      </c>
    </row>
    <row r="1698" spans="1:15" x14ac:dyDescent="0.3">
      <c r="A1698">
        <v>51232</v>
      </c>
      <c r="B1698" t="s">
        <v>17</v>
      </c>
      <c r="C1698" t="s">
        <v>30</v>
      </c>
      <c r="D1698">
        <v>233</v>
      </c>
      <c r="E1698">
        <v>30</v>
      </c>
      <c r="F1698">
        <v>131.93</v>
      </c>
      <c r="G1698" t="s">
        <v>32</v>
      </c>
      <c r="H1698" s="1">
        <v>45509</v>
      </c>
      <c r="I1698" s="1">
        <v>45528</v>
      </c>
      <c r="J1698" t="s">
        <v>39</v>
      </c>
      <c r="K1698" t="b">
        <f>Table1[[#This Row],[CurrentStock]]&lt;Table1[[#This Row],[ReorderLevel]]</f>
        <v>0</v>
      </c>
      <c r="L1698" s="9">
        <f>Table1[[#This Row],[CurrentStock]]*Table1[[#This Row],[UnitPrice]]</f>
        <v>30739.690000000002</v>
      </c>
      <c r="M1698" t="str">
        <f>IF(Table1[[#This Row],[ReorderLevel]]-Table1[[#This Row],[CurrentStock]]&gt;0,Table1[[#This Row],[ReorderLevel]]-Table1[[#This Row],[CurrentStock]],"")</f>
        <v/>
      </c>
      <c r="N1698" t="str">
        <f>IF(Table1[[#This Row],[CurrentStock]]&gt;Table1[[#This Row],[ReorderLevel]]*3,"Over Stock","Okay")</f>
        <v>Over Stock</v>
      </c>
      <c r="O1698" t="str">
        <f>IF(Table1[[#This Row],[CurrentStock]]&lt;Table1[[#This Row],[ReorderLevel]],"Reorder","Okay")</f>
        <v>Okay</v>
      </c>
    </row>
    <row r="1699" spans="1:15" x14ac:dyDescent="0.3">
      <c r="A1699">
        <v>93470</v>
      </c>
      <c r="B1699" t="s">
        <v>13</v>
      </c>
      <c r="C1699" t="s">
        <v>29</v>
      </c>
      <c r="D1699">
        <v>331</v>
      </c>
      <c r="E1699">
        <v>80</v>
      </c>
      <c r="F1699">
        <v>472.39</v>
      </c>
      <c r="G1699" t="s">
        <v>32</v>
      </c>
      <c r="H1699" s="1">
        <v>45595</v>
      </c>
      <c r="I1699" s="1">
        <v>45629</v>
      </c>
      <c r="J1699" t="s">
        <v>39</v>
      </c>
      <c r="K1699" t="b">
        <f>Table1[[#This Row],[CurrentStock]]&lt;Table1[[#This Row],[ReorderLevel]]</f>
        <v>0</v>
      </c>
      <c r="L1699" s="9">
        <f>Table1[[#This Row],[CurrentStock]]*Table1[[#This Row],[UnitPrice]]</f>
        <v>156361.09</v>
      </c>
      <c r="M1699" t="str">
        <f>IF(Table1[[#This Row],[ReorderLevel]]-Table1[[#This Row],[CurrentStock]]&gt;0,Table1[[#This Row],[ReorderLevel]]-Table1[[#This Row],[CurrentStock]],"")</f>
        <v/>
      </c>
      <c r="N1699" t="str">
        <f>IF(Table1[[#This Row],[CurrentStock]]&gt;Table1[[#This Row],[ReorderLevel]]*3,"Over Stock","Okay")</f>
        <v>Over Stock</v>
      </c>
      <c r="O1699" t="str">
        <f>IF(Table1[[#This Row],[CurrentStock]]&lt;Table1[[#This Row],[ReorderLevel]],"Reorder","Okay")</f>
        <v>Okay</v>
      </c>
    </row>
    <row r="1700" spans="1:15" x14ac:dyDescent="0.3">
      <c r="A1700">
        <v>81428</v>
      </c>
      <c r="B1700" t="s">
        <v>14</v>
      </c>
      <c r="C1700" t="s">
        <v>27</v>
      </c>
      <c r="D1700">
        <v>410</v>
      </c>
      <c r="E1700">
        <v>50</v>
      </c>
      <c r="F1700">
        <v>167.34</v>
      </c>
      <c r="G1700" t="s">
        <v>36</v>
      </c>
      <c r="H1700" s="1">
        <v>45643</v>
      </c>
      <c r="I1700" s="1">
        <v>45651</v>
      </c>
      <c r="J1700" t="s">
        <v>39</v>
      </c>
      <c r="K1700" t="b">
        <f>Table1[[#This Row],[CurrentStock]]&lt;Table1[[#This Row],[ReorderLevel]]</f>
        <v>0</v>
      </c>
      <c r="L1700" s="9">
        <f>Table1[[#This Row],[CurrentStock]]*Table1[[#This Row],[UnitPrice]]</f>
        <v>68609.399999999994</v>
      </c>
      <c r="M1700" t="str">
        <f>IF(Table1[[#This Row],[ReorderLevel]]-Table1[[#This Row],[CurrentStock]]&gt;0,Table1[[#This Row],[ReorderLevel]]-Table1[[#This Row],[CurrentStock]],"")</f>
        <v/>
      </c>
      <c r="N1700" t="str">
        <f>IF(Table1[[#This Row],[CurrentStock]]&gt;Table1[[#This Row],[ReorderLevel]]*3,"Over Stock","Okay")</f>
        <v>Over Stock</v>
      </c>
      <c r="O1700" t="str">
        <f>IF(Table1[[#This Row],[CurrentStock]]&lt;Table1[[#This Row],[ReorderLevel]],"Reorder","Okay")</f>
        <v>Okay</v>
      </c>
    </row>
    <row r="1701" spans="1:15" x14ac:dyDescent="0.3">
      <c r="A1701">
        <v>42322</v>
      </c>
      <c r="B1701" t="s">
        <v>25</v>
      </c>
      <c r="C1701" t="s">
        <v>31</v>
      </c>
      <c r="D1701">
        <v>405</v>
      </c>
      <c r="E1701">
        <v>100</v>
      </c>
      <c r="F1701">
        <v>160.37</v>
      </c>
      <c r="G1701" t="s">
        <v>36</v>
      </c>
      <c r="H1701" s="1">
        <v>45648</v>
      </c>
      <c r="I1701" s="1">
        <v>45668</v>
      </c>
      <c r="J1701" t="s">
        <v>39</v>
      </c>
      <c r="K1701" t="b">
        <f>Table1[[#This Row],[CurrentStock]]&lt;Table1[[#This Row],[ReorderLevel]]</f>
        <v>0</v>
      </c>
      <c r="L1701" s="9">
        <f>Table1[[#This Row],[CurrentStock]]*Table1[[#This Row],[UnitPrice]]</f>
        <v>64949.85</v>
      </c>
      <c r="M1701" t="str">
        <f>IF(Table1[[#This Row],[ReorderLevel]]-Table1[[#This Row],[CurrentStock]]&gt;0,Table1[[#This Row],[ReorderLevel]]-Table1[[#This Row],[CurrentStock]],"")</f>
        <v/>
      </c>
      <c r="N1701" t="str">
        <f>IF(Table1[[#This Row],[CurrentStock]]&gt;Table1[[#This Row],[ReorderLevel]]*3,"Over Stock","Okay")</f>
        <v>Over Stock</v>
      </c>
      <c r="O1701" t="str">
        <f>IF(Table1[[#This Row],[CurrentStock]]&lt;Table1[[#This Row],[ReorderLevel]],"Reorder","Okay")</f>
        <v>Okay</v>
      </c>
    </row>
    <row r="1702" spans="1:15" x14ac:dyDescent="0.3">
      <c r="A1702">
        <v>61030</v>
      </c>
      <c r="B1702" t="s">
        <v>16</v>
      </c>
      <c r="C1702" t="s">
        <v>30</v>
      </c>
      <c r="D1702">
        <v>462</v>
      </c>
      <c r="E1702">
        <v>30</v>
      </c>
      <c r="F1702">
        <v>218.69</v>
      </c>
      <c r="G1702" t="s">
        <v>34</v>
      </c>
      <c r="H1702" s="1">
        <v>45293</v>
      </c>
      <c r="I1702" s="1">
        <v>45319</v>
      </c>
      <c r="J1702" t="s">
        <v>39</v>
      </c>
      <c r="K1702" t="b">
        <f>Table1[[#This Row],[CurrentStock]]&lt;Table1[[#This Row],[ReorderLevel]]</f>
        <v>0</v>
      </c>
      <c r="L1702" s="9">
        <f>Table1[[#This Row],[CurrentStock]]*Table1[[#This Row],[UnitPrice]]</f>
        <v>101034.78</v>
      </c>
      <c r="M1702" t="str">
        <f>IF(Table1[[#This Row],[ReorderLevel]]-Table1[[#This Row],[CurrentStock]]&gt;0,Table1[[#This Row],[ReorderLevel]]-Table1[[#This Row],[CurrentStock]],"")</f>
        <v/>
      </c>
      <c r="N1702" t="str">
        <f>IF(Table1[[#This Row],[CurrentStock]]&gt;Table1[[#This Row],[ReorderLevel]]*3,"Over Stock","Okay")</f>
        <v>Over Stock</v>
      </c>
      <c r="O1702" t="str">
        <f>IF(Table1[[#This Row],[CurrentStock]]&lt;Table1[[#This Row],[ReorderLevel]],"Reorder","Okay")</f>
        <v>Okay</v>
      </c>
    </row>
    <row r="1703" spans="1:15" x14ac:dyDescent="0.3">
      <c r="A1703">
        <v>41795</v>
      </c>
      <c r="B1703" t="s">
        <v>13</v>
      </c>
      <c r="C1703" t="s">
        <v>29</v>
      </c>
      <c r="D1703">
        <v>81</v>
      </c>
      <c r="E1703">
        <v>100</v>
      </c>
      <c r="F1703">
        <v>101.34</v>
      </c>
      <c r="G1703" t="s">
        <v>33</v>
      </c>
      <c r="H1703" s="1">
        <v>45634</v>
      </c>
      <c r="I1703" s="1">
        <v>45671</v>
      </c>
      <c r="J1703" t="s">
        <v>39</v>
      </c>
      <c r="K1703" t="b">
        <f>Table1[[#This Row],[CurrentStock]]&lt;Table1[[#This Row],[ReorderLevel]]</f>
        <v>1</v>
      </c>
      <c r="L1703" s="9">
        <f>Table1[[#This Row],[CurrentStock]]*Table1[[#This Row],[UnitPrice]]</f>
        <v>8208.5400000000009</v>
      </c>
      <c r="M1703">
        <f>IF(Table1[[#This Row],[ReorderLevel]]-Table1[[#This Row],[CurrentStock]]&gt;0,Table1[[#This Row],[ReorderLevel]]-Table1[[#This Row],[CurrentStock]],"")</f>
        <v>19</v>
      </c>
      <c r="N1703" t="str">
        <f>IF(Table1[[#This Row],[CurrentStock]]&gt;Table1[[#This Row],[ReorderLevel]]*3,"Over Stock","Okay")</f>
        <v>Okay</v>
      </c>
      <c r="O1703" t="str">
        <f>IF(Table1[[#This Row],[CurrentStock]]&lt;Table1[[#This Row],[ReorderLevel]],"Reorder","Okay")</f>
        <v>Reorder</v>
      </c>
    </row>
    <row r="1704" spans="1:15" x14ac:dyDescent="0.3">
      <c r="A1704">
        <v>82102</v>
      </c>
      <c r="B1704" t="s">
        <v>10</v>
      </c>
      <c r="C1704" t="s">
        <v>27</v>
      </c>
      <c r="D1704">
        <v>390</v>
      </c>
      <c r="E1704">
        <v>40</v>
      </c>
      <c r="F1704">
        <v>57.26</v>
      </c>
      <c r="G1704" t="s">
        <v>32</v>
      </c>
      <c r="H1704" s="1">
        <v>45354</v>
      </c>
      <c r="I1704" s="1">
        <v>45392</v>
      </c>
      <c r="J1704" t="s">
        <v>38</v>
      </c>
      <c r="K1704" t="b">
        <f>Table1[[#This Row],[CurrentStock]]&lt;Table1[[#This Row],[ReorderLevel]]</f>
        <v>0</v>
      </c>
      <c r="L1704" s="9">
        <f>Table1[[#This Row],[CurrentStock]]*Table1[[#This Row],[UnitPrice]]</f>
        <v>22331.399999999998</v>
      </c>
      <c r="M1704" t="str">
        <f>IF(Table1[[#This Row],[ReorderLevel]]-Table1[[#This Row],[CurrentStock]]&gt;0,Table1[[#This Row],[ReorderLevel]]-Table1[[#This Row],[CurrentStock]],"")</f>
        <v/>
      </c>
      <c r="N1704" t="str">
        <f>IF(Table1[[#This Row],[CurrentStock]]&gt;Table1[[#This Row],[ReorderLevel]]*3,"Over Stock","Okay")</f>
        <v>Over Stock</v>
      </c>
      <c r="O1704" t="str">
        <f>IF(Table1[[#This Row],[CurrentStock]]&lt;Table1[[#This Row],[ReorderLevel]],"Reorder","Okay")</f>
        <v>Okay</v>
      </c>
    </row>
    <row r="1705" spans="1:15" x14ac:dyDescent="0.3">
      <c r="A1705">
        <v>28079</v>
      </c>
      <c r="B1705" t="s">
        <v>26</v>
      </c>
      <c r="C1705" t="s">
        <v>30</v>
      </c>
      <c r="D1705">
        <v>23</v>
      </c>
      <c r="E1705">
        <v>80</v>
      </c>
      <c r="F1705">
        <v>423.7</v>
      </c>
      <c r="G1705" t="s">
        <v>32</v>
      </c>
      <c r="H1705" s="1">
        <v>45452</v>
      </c>
      <c r="I1705" s="1">
        <v>45489</v>
      </c>
      <c r="J1705" t="s">
        <v>37</v>
      </c>
      <c r="K1705" t="b">
        <f>Table1[[#This Row],[CurrentStock]]&lt;Table1[[#This Row],[ReorderLevel]]</f>
        <v>1</v>
      </c>
      <c r="L1705" s="9">
        <f>Table1[[#This Row],[CurrentStock]]*Table1[[#This Row],[UnitPrice]]</f>
        <v>9745.1</v>
      </c>
      <c r="M1705">
        <f>IF(Table1[[#This Row],[ReorderLevel]]-Table1[[#This Row],[CurrentStock]]&gt;0,Table1[[#This Row],[ReorderLevel]]-Table1[[#This Row],[CurrentStock]],"")</f>
        <v>57</v>
      </c>
      <c r="N1705" t="str">
        <f>IF(Table1[[#This Row],[CurrentStock]]&gt;Table1[[#This Row],[ReorderLevel]]*3,"Over Stock","Okay")</f>
        <v>Okay</v>
      </c>
      <c r="O1705" t="str">
        <f>IF(Table1[[#This Row],[CurrentStock]]&lt;Table1[[#This Row],[ReorderLevel]],"Reorder","Okay")</f>
        <v>Reorder</v>
      </c>
    </row>
    <row r="1706" spans="1:15" x14ac:dyDescent="0.3">
      <c r="A1706">
        <v>58838</v>
      </c>
      <c r="B1706" t="s">
        <v>18</v>
      </c>
      <c r="C1706" t="s">
        <v>28</v>
      </c>
      <c r="D1706">
        <v>241</v>
      </c>
      <c r="E1706">
        <v>150</v>
      </c>
      <c r="F1706">
        <v>454.69</v>
      </c>
      <c r="G1706" t="s">
        <v>34</v>
      </c>
      <c r="H1706" s="1">
        <v>45438</v>
      </c>
      <c r="I1706" s="1">
        <v>45476</v>
      </c>
      <c r="J1706" t="s">
        <v>39</v>
      </c>
      <c r="K1706" t="b">
        <f>Table1[[#This Row],[CurrentStock]]&lt;Table1[[#This Row],[ReorderLevel]]</f>
        <v>0</v>
      </c>
      <c r="L1706" s="9">
        <f>Table1[[#This Row],[CurrentStock]]*Table1[[#This Row],[UnitPrice]]</f>
        <v>109580.29</v>
      </c>
      <c r="M1706" t="str">
        <f>IF(Table1[[#This Row],[ReorderLevel]]-Table1[[#This Row],[CurrentStock]]&gt;0,Table1[[#This Row],[ReorderLevel]]-Table1[[#This Row],[CurrentStock]],"")</f>
        <v/>
      </c>
      <c r="N1706" t="str">
        <f>IF(Table1[[#This Row],[CurrentStock]]&gt;Table1[[#This Row],[ReorderLevel]]*3,"Over Stock","Okay")</f>
        <v>Okay</v>
      </c>
      <c r="O1706" t="str">
        <f>IF(Table1[[#This Row],[CurrentStock]]&lt;Table1[[#This Row],[ReorderLevel]],"Reorder","Okay")</f>
        <v>Okay</v>
      </c>
    </row>
    <row r="1707" spans="1:15" x14ac:dyDescent="0.3">
      <c r="A1707">
        <v>90488</v>
      </c>
      <c r="B1707" t="s">
        <v>15</v>
      </c>
      <c r="C1707" t="s">
        <v>29</v>
      </c>
      <c r="D1707">
        <v>287</v>
      </c>
      <c r="E1707">
        <v>30</v>
      </c>
      <c r="F1707">
        <v>76.92</v>
      </c>
      <c r="G1707" t="s">
        <v>34</v>
      </c>
      <c r="H1707" s="1">
        <v>45509</v>
      </c>
      <c r="I1707" s="1">
        <v>45543</v>
      </c>
      <c r="J1707" t="s">
        <v>38</v>
      </c>
      <c r="K1707" t="b">
        <f>Table1[[#This Row],[CurrentStock]]&lt;Table1[[#This Row],[ReorderLevel]]</f>
        <v>0</v>
      </c>
      <c r="L1707" s="9">
        <f>Table1[[#This Row],[CurrentStock]]*Table1[[#This Row],[UnitPrice]]</f>
        <v>22076.04</v>
      </c>
      <c r="M1707" t="str">
        <f>IF(Table1[[#This Row],[ReorderLevel]]-Table1[[#This Row],[CurrentStock]]&gt;0,Table1[[#This Row],[ReorderLevel]]-Table1[[#This Row],[CurrentStock]],"")</f>
        <v/>
      </c>
      <c r="N1707" t="str">
        <f>IF(Table1[[#This Row],[CurrentStock]]&gt;Table1[[#This Row],[ReorderLevel]]*3,"Over Stock","Okay")</f>
        <v>Over Stock</v>
      </c>
      <c r="O1707" t="str">
        <f>IF(Table1[[#This Row],[CurrentStock]]&lt;Table1[[#This Row],[ReorderLevel]],"Reorder","Okay")</f>
        <v>Okay</v>
      </c>
    </row>
    <row r="1708" spans="1:15" x14ac:dyDescent="0.3">
      <c r="A1708">
        <v>25636</v>
      </c>
      <c r="B1708" t="s">
        <v>19</v>
      </c>
      <c r="C1708" t="s">
        <v>28</v>
      </c>
      <c r="D1708">
        <v>225</v>
      </c>
      <c r="E1708">
        <v>20</v>
      </c>
      <c r="F1708">
        <v>180.95</v>
      </c>
      <c r="G1708" t="s">
        <v>36</v>
      </c>
      <c r="H1708" s="1">
        <v>45610</v>
      </c>
      <c r="I1708" s="1">
        <v>45641</v>
      </c>
      <c r="J1708" t="s">
        <v>37</v>
      </c>
      <c r="K1708" t="b">
        <f>Table1[[#This Row],[CurrentStock]]&lt;Table1[[#This Row],[ReorderLevel]]</f>
        <v>0</v>
      </c>
      <c r="L1708" s="9">
        <f>Table1[[#This Row],[CurrentStock]]*Table1[[#This Row],[UnitPrice]]</f>
        <v>40713.75</v>
      </c>
      <c r="M1708" t="str">
        <f>IF(Table1[[#This Row],[ReorderLevel]]-Table1[[#This Row],[CurrentStock]]&gt;0,Table1[[#This Row],[ReorderLevel]]-Table1[[#This Row],[CurrentStock]],"")</f>
        <v/>
      </c>
      <c r="N1708" t="str">
        <f>IF(Table1[[#This Row],[CurrentStock]]&gt;Table1[[#This Row],[ReorderLevel]]*3,"Over Stock","Okay")</f>
        <v>Over Stock</v>
      </c>
      <c r="O1708" t="str">
        <f>IF(Table1[[#This Row],[CurrentStock]]&lt;Table1[[#This Row],[ReorderLevel]],"Reorder","Okay")</f>
        <v>Okay</v>
      </c>
    </row>
    <row r="1709" spans="1:15" x14ac:dyDescent="0.3">
      <c r="A1709">
        <v>38357</v>
      </c>
      <c r="B1709" t="s">
        <v>20</v>
      </c>
      <c r="C1709" t="s">
        <v>29</v>
      </c>
      <c r="D1709">
        <v>451</v>
      </c>
      <c r="E1709">
        <v>20</v>
      </c>
      <c r="F1709">
        <v>86.84</v>
      </c>
      <c r="G1709" t="s">
        <v>35</v>
      </c>
      <c r="H1709" s="1">
        <v>45481</v>
      </c>
      <c r="I1709" s="1">
        <v>45520</v>
      </c>
      <c r="J1709" t="s">
        <v>37</v>
      </c>
      <c r="K1709" t="b">
        <f>Table1[[#This Row],[CurrentStock]]&lt;Table1[[#This Row],[ReorderLevel]]</f>
        <v>0</v>
      </c>
      <c r="L1709" s="9">
        <f>Table1[[#This Row],[CurrentStock]]*Table1[[#This Row],[UnitPrice]]</f>
        <v>39164.840000000004</v>
      </c>
      <c r="M1709" t="str">
        <f>IF(Table1[[#This Row],[ReorderLevel]]-Table1[[#This Row],[CurrentStock]]&gt;0,Table1[[#This Row],[ReorderLevel]]-Table1[[#This Row],[CurrentStock]],"")</f>
        <v/>
      </c>
      <c r="N1709" t="str">
        <f>IF(Table1[[#This Row],[CurrentStock]]&gt;Table1[[#This Row],[ReorderLevel]]*3,"Over Stock","Okay")</f>
        <v>Over Stock</v>
      </c>
      <c r="O1709" t="str">
        <f>IF(Table1[[#This Row],[CurrentStock]]&lt;Table1[[#This Row],[ReorderLevel]],"Reorder","Okay")</f>
        <v>Okay</v>
      </c>
    </row>
    <row r="1710" spans="1:15" x14ac:dyDescent="0.3">
      <c r="A1710">
        <v>23440</v>
      </c>
      <c r="B1710" t="s">
        <v>21</v>
      </c>
      <c r="C1710" t="s">
        <v>31</v>
      </c>
      <c r="D1710">
        <v>120</v>
      </c>
      <c r="E1710">
        <v>50</v>
      </c>
      <c r="F1710">
        <v>133.58000000000001</v>
      </c>
      <c r="G1710" t="s">
        <v>35</v>
      </c>
      <c r="H1710" s="1">
        <v>45507</v>
      </c>
      <c r="I1710" s="1">
        <v>45539</v>
      </c>
      <c r="J1710" t="s">
        <v>37</v>
      </c>
      <c r="K1710" t="b">
        <f>Table1[[#This Row],[CurrentStock]]&lt;Table1[[#This Row],[ReorderLevel]]</f>
        <v>0</v>
      </c>
      <c r="L1710" s="9">
        <f>Table1[[#This Row],[CurrentStock]]*Table1[[#This Row],[UnitPrice]]</f>
        <v>16029.600000000002</v>
      </c>
      <c r="M1710" t="str">
        <f>IF(Table1[[#This Row],[ReorderLevel]]-Table1[[#This Row],[CurrentStock]]&gt;0,Table1[[#This Row],[ReorderLevel]]-Table1[[#This Row],[CurrentStock]],"")</f>
        <v/>
      </c>
      <c r="N1710" t="str">
        <f>IF(Table1[[#This Row],[CurrentStock]]&gt;Table1[[#This Row],[ReorderLevel]]*3,"Over Stock","Okay")</f>
        <v>Okay</v>
      </c>
      <c r="O1710" t="str">
        <f>IF(Table1[[#This Row],[CurrentStock]]&lt;Table1[[#This Row],[ReorderLevel]],"Reorder","Okay")</f>
        <v>Okay</v>
      </c>
    </row>
    <row r="1711" spans="1:15" x14ac:dyDescent="0.3">
      <c r="A1711">
        <v>58720</v>
      </c>
      <c r="B1711" t="s">
        <v>25</v>
      </c>
      <c r="C1711" t="s">
        <v>31</v>
      </c>
      <c r="D1711">
        <v>426</v>
      </c>
      <c r="E1711">
        <v>20</v>
      </c>
      <c r="F1711">
        <v>333.41</v>
      </c>
      <c r="G1711" t="s">
        <v>36</v>
      </c>
      <c r="H1711" s="1">
        <v>45490</v>
      </c>
      <c r="I1711" s="1">
        <v>45506</v>
      </c>
      <c r="J1711" t="s">
        <v>38</v>
      </c>
      <c r="K1711" t="b">
        <f>Table1[[#This Row],[CurrentStock]]&lt;Table1[[#This Row],[ReorderLevel]]</f>
        <v>0</v>
      </c>
      <c r="L1711" s="9">
        <f>Table1[[#This Row],[CurrentStock]]*Table1[[#This Row],[UnitPrice]]</f>
        <v>142032.66</v>
      </c>
      <c r="M1711" t="str">
        <f>IF(Table1[[#This Row],[ReorderLevel]]-Table1[[#This Row],[CurrentStock]]&gt;0,Table1[[#This Row],[ReorderLevel]]-Table1[[#This Row],[CurrentStock]],"")</f>
        <v/>
      </c>
      <c r="N1711" t="str">
        <f>IF(Table1[[#This Row],[CurrentStock]]&gt;Table1[[#This Row],[ReorderLevel]]*3,"Over Stock","Okay")</f>
        <v>Over Stock</v>
      </c>
      <c r="O1711" t="str">
        <f>IF(Table1[[#This Row],[CurrentStock]]&lt;Table1[[#This Row],[ReorderLevel]],"Reorder","Okay")</f>
        <v>Okay</v>
      </c>
    </row>
    <row r="1712" spans="1:15" x14ac:dyDescent="0.3">
      <c r="A1712">
        <v>66210</v>
      </c>
      <c r="B1712" t="s">
        <v>24</v>
      </c>
      <c r="C1712" t="s">
        <v>31</v>
      </c>
      <c r="D1712">
        <v>208</v>
      </c>
      <c r="E1712">
        <v>40</v>
      </c>
      <c r="F1712">
        <v>320.63</v>
      </c>
      <c r="G1712" t="s">
        <v>32</v>
      </c>
      <c r="H1712" s="1">
        <v>45606</v>
      </c>
      <c r="I1712" s="1">
        <v>45625</v>
      </c>
      <c r="J1712" t="s">
        <v>39</v>
      </c>
      <c r="K1712" t="b">
        <f>Table1[[#This Row],[CurrentStock]]&lt;Table1[[#This Row],[ReorderLevel]]</f>
        <v>0</v>
      </c>
      <c r="L1712" s="9">
        <f>Table1[[#This Row],[CurrentStock]]*Table1[[#This Row],[UnitPrice]]</f>
        <v>66691.039999999994</v>
      </c>
      <c r="M1712" t="str">
        <f>IF(Table1[[#This Row],[ReorderLevel]]-Table1[[#This Row],[CurrentStock]]&gt;0,Table1[[#This Row],[ReorderLevel]]-Table1[[#This Row],[CurrentStock]],"")</f>
        <v/>
      </c>
      <c r="N1712" t="str">
        <f>IF(Table1[[#This Row],[CurrentStock]]&gt;Table1[[#This Row],[ReorderLevel]]*3,"Over Stock","Okay")</f>
        <v>Over Stock</v>
      </c>
      <c r="O1712" t="str">
        <f>IF(Table1[[#This Row],[CurrentStock]]&lt;Table1[[#This Row],[ReorderLevel]],"Reorder","Okay")</f>
        <v>Okay</v>
      </c>
    </row>
    <row r="1713" spans="1:15" x14ac:dyDescent="0.3">
      <c r="A1713">
        <v>53950</v>
      </c>
      <c r="B1713" t="s">
        <v>16</v>
      </c>
      <c r="C1713" t="s">
        <v>30</v>
      </c>
      <c r="D1713">
        <v>106</v>
      </c>
      <c r="E1713">
        <v>150</v>
      </c>
      <c r="F1713">
        <v>489.72</v>
      </c>
      <c r="G1713" t="s">
        <v>34</v>
      </c>
      <c r="H1713" s="1">
        <v>45303</v>
      </c>
      <c r="I1713" s="1">
        <v>45326</v>
      </c>
      <c r="J1713" t="s">
        <v>39</v>
      </c>
      <c r="K1713" t="b">
        <f>Table1[[#This Row],[CurrentStock]]&lt;Table1[[#This Row],[ReorderLevel]]</f>
        <v>1</v>
      </c>
      <c r="L1713" s="9">
        <f>Table1[[#This Row],[CurrentStock]]*Table1[[#This Row],[UnitPrice]]</f>
        <v>51910.32</v>
      </c>
      <c r="M1713">
        <f>IF(Table1[[#This Row],[ReorderLevel]]-Table1[[#This Row],[CurrentStock]]&gt;0,Table1[[#This Row],[ReorderLevel]]-Table1[[#This Row],[CurrentStock]],"")</f>
        <v>44</v>
      </c>
      <c r="N1713" t="str">
        <f>IF(Table1[[#This Row],[CurrentStock]]&gt;Table1[[#This Row],[ReorderLevel]]*3,"Over Stock","Okay")</f>
        <v>Okay</v>
      </c>
      <c r="O1713" t="str">
        <f>IF(Table1[[#This Row],[CurrentStock]]&lt;Table1[[#This Row],[ReorderLevel]],"Reorder","Okay")</f>
        <v>Reorder</v>
      </c>
    </row>
    <row r="1714" spans="1:15" x14ac:dyDescent="0.3">
      <c r="A1714">
        <v>84385</v>
      </c>
      <c r="B1714" t="s">
        <v>14</v>
      </c>
      <c r="C1714" t="s">
        <v>27</v>
      </c>
      <c r="D1714">
        <v>496</v>
      </c>
      <c r="E1714">
        <v>40</v>
      </c>
      <c r="F1714">
        <v>5.65</v>
      </c>
      <c r="G1714" t="s">
        <v>36</v>
      </c>
      <c r="H1714" s="1">
        <v>45325</v>
      </c>
      <c r="I1714" s="1">
        <v>45362</v>
      </c>
      <c r="J1714" t="s">
        <v>37</v>
      </c>
      <c r="K1714" t="b">
        <f>Table1[[#This Row],[CurrentStock]]&lt;Table1[[#This Row],[ReorderLevel]]</f>
        <v>0</v>
      </c>
      <c r="L1714" s="9">
        <f>Table1[[#This Row],[CurrentStock]]*Table1[[#This Row],[UnitPrice]]</f>
        <v>2802.4</v>
      </c>
      <c r="M1714" t="str">
        <f>IF(Table1[[#This Row],[ReorderLevel]]-Table1[[#This Row],[CurrentStock]]&gt;0,Table1[[#This Row],[ReorderLevel]]-Table1[[#This Row],[CurrentStock]],"")</f>
        <v/>
      </c>
      <c r="N1714" t="str">
        <f>IF(Table1[[#This Row],[CurrentStock]]&gt;Table1[[#This Row],[ReorderLevel]]*3,"Over Stock","Okay")</f>
        <v>Over Stock</v>
      </c>
      <c r="O1714" t="str">
        <f>IF(Table1[[#This Row],[CurrentStock]]&lt;Table1[[#This Row],[ReorderLevel]],"Reorder","Okay")</f>
        <v>Okay</v>
      </c>
    </row>
    <row r="1715" spans="1:15" x14ac:dyDescent="0.3">
      <c r="A1715">
        <v>21273</v>
      </c>
      <c r="B1715" t="s">
        <v>18</v>
      </c>
      <c r="C1715" t="s">
        <v>28</v>
      </c>
      <c r="D1715">
        <v>108</v>
      </c>
      <c r="E1715">
        <v>80</v>
      </c>
      <c r="F1715">
        <v>79.47</v>
      </c>
      <c r="G1715" t="s">
        <v>36</v>
      </c>
      <c r="H1715" s="1">
        <v>45512</v>
      </c>
      <c r="I1715" s="1">
        <v>45549</v>
      </c>
      <c r="J1715" t="s">
        <v>37</v>
      </c>
      <c r="K1715" t="b">
        <f>Table1[[#This Row],[CurrentStock]]&lt;Table1[[#This Row],[ReorderLevel]]</f>
        <v>0</v>
      </c>
      <c r="L1715" s="9">
        <f>Table1[[#This Row],[CurrentStock]]*Table1[[#This Row],[UnitPrice]]</f>
        <v>8582.76</v>
      </c>
      <c r="M1715" t="str">
        <f>IF(Table1[[#This Row],[ReorderLevel]]-Table1[[#This Row],[CurrentStock]]&gt;0,Table1[[#This Row],[ReorderLevel]]-Table1[[#This Row],[CurrentStock]],"")</f>
        <v/>
      </c>
      <c r="N1715" t="str">
        <f>IF(Table1[[#This Row],[CurrentStock]]&gt;Table1[[#This Row],[ReorderLevel]]*3,"Over Stock","Okay")</f>
        <v>Okay</v>
      </c>
      <c r="O1715" t="str">
        <f>IF(Table1[[#This Row],[CurrentStock]]&lt;Table1[[#This Row],[ReorderLevel]],"Reorder","Okay")</f>
        <v>Okay</v>
      </c>
    </row>
    <row r="1716" spans="1:15" x14ac:dyDescent="0.3">
      <c r="A1716">
        <v>79336</v>
      </c>
      <c r="B1716" t="s">
        <v>21</v>
      </c>
      <c r="C1716" t="s">
        <v>31</v>
      </c>
      <c r="D1716">
        <v>266</v>
      </c>
      <c r="E1716">
        <v>150</v>
      </c>
      <c r="F1716">
        <v>29.28</v>
      </c>
      <c r="G1716" t="s">
        <v>34</v>
      </c>
      <c r="H1716" s="1">
        <v>45439</v>
      </c>
      <c r="I1716" s="1">
        <v>45453</v>
      </c>
      <c r="J1716" t="s">
        <v>38</v>
      </c>
      <c r="K1716" t="b">
        <f>Table1[[#This Row],[CurrentStock]]&lt;Table1[[#This Row],[ReorderLevel]]</f>
        <v>0</v>
      </c>
      <c r="L1716" s="9">
        <f>Table1[[#This Row],[CurrentStock]]*Table1[[#This Row],[UnitPrice]]</f>
        <v>7788.4800000000005</v>
      </c>
      <c r="M1716" t="str">
        <f>IF(Table1[[#This Row],[ReorderLevel]]-Table1[[#This Row],[CurrentStock]]&gt;0,Table1[[#This Row],[ReorderLevel]]-Table1[[#This Row],[CurrentStock]],"")</f>
        <v/>
      </c>
      <c r="N1716" t="str">
        <f>IF(Table1[[#This Row],[CurrentStock]]&gt;Table1[[#This Row],[ReorderLevel]]*3,"Over Stock","Okay")</f>
        <v>Okay</v>
      </c>
      <c r="O1716" t="str">
        <f>IF(Table1[[#This Row],[CurrentStock]]&lt;Table1[[#This Row],[ReorderLevel]],"Reorder","Okay")</f>
        <v>Okay</v>
      </c>
    </row>
    <row r="1717" spans="1:15" x14ac:dyDescent="0.3">
      <c r="A1717">
        <v>82651</v>
      </c>
      <c r="B1717" t="s">
        <v>11</v>
      </c>
      <c r="C1717" t="s">
        <v>27</v>
      </c>
      <c r="D1717">
        <v>231</v>
      </c>
      <c r="E1717">
        <v>30</v>
      </c>
      <c r="F1717">
        <v>155.43</v>
      </c>
      <c r="G1717" t="s">
        <v>33</v>
      </c>
      <c r="H1717" s="1">
        <v>45520</v>
      </c>
      <c r="I1717" s="1">
        <v>45526</v>
      </c>
      <c r="J1717" t="s">
        <v>38</v>
      </c>
      <c r="K1717" t="b">
        <f>Table1[[#This Row],[CurrentStock]]&lt;Table1[[#This Row],[ReorderLevel]]</f>
        <v>0</v>
      </c>
      <c r="L1717" s="9">
        <f>Table1[[#This Row],[CurrentStock]]*Table1[[#This Row],[UnitPrice]]</f>
        <v>35904.33</v>
      </c>
      <c r="M1717" t="str">
        <f>IF(Table1[[#This Row],[ReorderLevel]]-Table1[[#This Row],[CurrentStock]]&gt;0,Table1[[#This Row],[ReorderLevel]]-Table1[[#This Row],[CurrentStock]],"")</f>
        <v/>
      </c>
      <c r="N1717" t="str">
        <f>IF(Table1[[#This Row],[CurrentStock]]&gt;Table1[[#This Row],[ReorderLevel]]*3,"Over Stock","Okay")</f>
        <v>Over Stock</v>
      </c>
      <c r="O1717" t="str">
        <f>IF(Table1[[#This Row],[CurrentStock]]&lt;Table1[[#This Row],[ReorderLevel]],"Reorder","Okay")</f>
        <v>Okay</v>
      </c>
    </row>
    <row r="1718" spans="1:15" x14ac:dyDescent="0.3">
      <c r="A1718">
        <v>68596</v>
      </c>
      <c r="B1718" t="s">
        <v>26</v>
      </c>
      <c r="C1718" t="s">
        <v>30</v>
      </c>
      <c r="D1718">
        <v>414</v>
      </c>
      <c r="E1718">
        <v>20</v>
      </c>
      <c r="F1718">
        <v>8.01</v>
      </c>
      <c r="G1718" t="s">
        <v>33</v>
      </c>
      <c r="H1718" s="1">
        <v>45548</v>
      </c>
      <c r="I1718" s="1">
        <v>45564</v>
      </c>
      <c r="J1718" t="s">
        <v>39</v>
      </c>
      <c r="K1718" t="b">
        <f>Table1[[#This Row],[CurrentStock]]&lt;Table1[[#This Row],[ReorderLevel]]</f>
        <v>0</v>
      </c>
      <c r="L1718" s="9">
        <f>Table1[[#This Row],[CurrentStock]]*Table1[[#This Row],[UnitPrice]]</f>
        <v>3316.14</v>
      </c>
      <c r="M1718" t="str">
        <f>IF(Table1[[#This Row],[ReorderLevel]]-Table1[[#This Row],[CurrentStock]]&gt;0,Table1[[#This Row],[ReorderLevel]]-Table1[[#This Row],[CurrentStock]],"")</f>
        <v/>
      </c>
      <c r="N1718" t="str">
        <f>IF(Table1[[#This Row],[CurrentStock]]&gt;Table1[[#This Row],[ReorderLevel]]*3,"Over Stock","Okay")</f>
        <v>Over Stock</v>
      </c>
      <c r="O1718" t="str">
        <f>IF(Table1[[#This Row],[CurrentStock]]&lt;Table1[[#This Row],[ReorderLevel]],"Reorder","Okay")</f>
        <v>Okay</v>
      </c>
    </row>
    <row r="1719" spans="1:15" x14ac:dyDescent="0.3">
      <c r="A1719">
        <v>31818</v>
      </c>
      <c r="B1719" t="s">
        <v>22</v>
      </c>
      <c r="C1719" t="s">
        <v>27</v>
      </c>
      <c r="D1719">
        <v>421</v>
      </c>
      <c r="E1719">
        <v>100</v>
      </c>
      <c r="F1719">
        <v>285.93</v>
      </c>
      <c r="G1719" t="s">
        <v>34</v>
      </c>
      <c r="H1719" s="1">
        <v>45469</v>
      </c>
      <c r="I1719" s="1">
        <v>45505</v>
      </c>
      <c r="J1719" t="s">
        <v>39</v>
      </c>
      <c r="K1719" t="b">
        <f>Table1[[#This Row],[CurrentStock]]&lt;Table1[[#This Row],[ReorderLevel]]</f>
        <v>0</v>
      </c>
      <c r="L1719" s="9">
        <f>Table1[[#This Row],[CurrentStock]]*Table1[[#This Row],[UnitPrice]]</f>
        <v>120376.53</v>
      </c>
      <c r="M1719" t="str">
        <f>IF(Table1[[#This Row],[ReorderLevel]]-Table1[[#This Row],[CurrentStock]]&gt;0,Table1[[#This Row],[ReorderLevel]]-Table1[[#This Row],[CurrentStock]],"")</f>
        <v/>
      </c>
      <c r="N1719" t="str">
        <f>IF(Table1[[#This Row],[CurrentStock]]&gt;Table1[[#This Row],[ReorderLevel]]*3,"Over Stock","Okay")</f>
        <v>Over Stock</v>
      </c>
      <c r="O1719" t="str">
        <f>IF(Table1[[#This Row],[CurrentStock]]&lt;Table1[[#This Row],[ReorderLevel]],"Reorder","Okay")</f>
        <v>Okay</v>
      </c>
    </row>
    <row r="1720" spans="1:15" x14ac:dyDescent="0.3">
      <c r="A1720">
        <v>47790</v>
      </c>
      <c r="B1720" t="s">
        <v>19</v>
      </c>
      <c r="C1720" t="s">
        <v>28</v>
      </c>
      <c r="D1720">
        <v>61</v>
      </c>
      <c r="E1720">
        <v>30</v>
      </c>
      <c r="F1720">
        <v>436.21</v>
      </c>
      <c r="G1720" t="s">
        <v>32</v>
      </c>
      <c r="H1720" s="1">
        <v>45384</v>
      </c>
      <c r="I1720" s="1">
        <v>45415</v>
      </c>
      <c r="J1720" t="s">
        <v>39</v>
      </c>
      <c r="K1720" t="b">
        <f>Table1[[#This Row],[CurrentStock]]&lt;Table1[[#This Row],[ReorderLevel]]</f>
        <v>0</v>
      </c>
      <c r="L1720" s="9">
        <f>Table1[[#This Row],[CurrentStock]]*Table1[[#This Row],[UnitPrice]]</f>
        <v>26608.809999999998</v>
      </c>
      <c r="M1720" t="str">
        <f>IF(Table1[[#This Row],[ReorderLevel]]-Table1[[#This Row],[CurrentStock]]&gt;0,Table1[[#This Row],[ReorderLevel]]-Table1[[#This Row],[CurrentStock]],"")</f>
        <v/>
      </c>
      <c r="N1720" t="str">
        <f>IF(Table1[[#This Row],[CurrentStock]]&gt;Table1[[#This Row],[ReorderLevel]]*3,"Over Stock","Okay")</f>
        <v>Okay</v>
      </c>
      <c r="O1720" t="str">
        <f>IF(Table1[[#This Row],[CurrentStock]]&lt;Table1[[#This Row],[ReorderLevel]],"Reorder","Okay")</f>
        <v>Okay</v>
      </c>
    </row>
    <row r="1721" spans="1:15" x14ac:dyDescent="0.3">
      <c r="A1721">
        <v>71526</v>
      </c>
      <c r="B1721" t="s">
        <v>21</v>
      </c>
      <c r="C1721" t="s">
        <v>31</v>
      </c>
      <c r="D1721">
        <v>0</v>
      </c>
      <c r="E1721">
        <v>40</v>
      </c>
      <c r="F1721">
        <v>166.72</v>
      </c>
      <c r="G1721" t="s">
        <v>35</v>
      </c>
      <c r="H1721" s="1">
        <v>45623</v>
      </c>
      <c r="I1721" s="1">
        <v>45647</v>
      </c>
      <c r="J1721" t="s">
        <v>39</v>
      </c>
      <c r="K1721" t="b">
        <f>Table1[[#This Row],[CurrentStock]]&lt;Table1[[#This Row],[ReorderLevel]]</f>
        <v>1</v>
      </c>
      <c r="L1721" s="9">
        <f>Table1[[#This Row],[CurrentStock]]*Table1[[#This Row],[UnitPrice]]</f>
        <v>0</v>
      </c>
      <c r="M1721">
        <f>IF(Table1[[#This Row],[ReorderLevel]]-Table1[[#This Row],[CurrentStock]]&gt;0,Table1[[#This Row],[ReorderLevel]]-Table1[[#This Row],[CurrentStock]],"")</f>
        <v>40</v>
      </c>
      <c r="N1721" t="str">
        <f>IF(Table1[[#This Row],[CurrentStock]]&gt;Table1[[#This Row],[ReorderLevel]]*3,"Over Stock","Okay")</f>
        <v>Okay</v>
      </c>
      <c r="O1721" t="str">
        <f>IF(Table1[[#This Row],[CurrentStock]]&lt;Table1[[#This Row],[ReorderLevel]],"Reorder","Okay")</f>
        <v>Reorder</v>
      </c>
    </row>
    <row r="1722" spans="1:15" x14ac:dyDescent="0.3">
      <c r="A1722">
        <v>41016</v>
      </c>
      <c r="B1722" t="s">
        <v>20</v>
      </c>
      <c r="C1722" t="s">
        <v>29</v>
      </c>
      <c r="D1722">
        <v>284</v>
      </c>
      <c r="E1722">
        <v>150</v>
      </c>
      <c r="F1722">
        <v>168.5</v>
      </c>
      <c r="G1722" t="s">
        <v>32</v>
      </c>
      <c r="H1722" s="1">
        <v>45438</v>
      </c>
      <c r="I1722" s="1">
        <v>45446</v>
      </c>
      <c r="J1722" t="s">
        <v>38</v>
      </c>
      <c r="K1722" t="b">
        <f>Table1[[#This Row],[CurrentStock]]&lt;Table1[[#This Row],[ReorderLevel]]</f>
        <v>0</v>
      </c>
      <c r="L1722" s="9">
        <f>Table1[[#This Row],[CurrentStock]]*Table1[[#This Row],[UnitPrice]]</f>
        <v>47854</v>
      </c>
      <c r="M1722" t="str">
        <f>IF(Table1[[#This Row],[ReorderLevel]]-Table1[[#This Row],[CurrentStock]]&gt;0,Table1[[#This Row],[ReorderLevel]]-Table1[[#This Row],[CurrentStock]],"")</f>
        <v/>
      </c>
      <c r="N1722" t="str">
        <f>IF(Table1[[#This Row],[CurrentStock]]&gt;Table1[[#This Row],[ReorderLevel]]*3,"Over Stock","Okay")</f>
        <v>Okay</v>
      </c>
      <c r="O1722" t="str">
        <f>IF(Table1[[#This Row],[CurrentStock]]&lt;Table1[[#This Row],[ReorderLevel]],"Reorder","Okay")</f>
        <v>Okay</v>
      </c>
    </row>
    <row r="1723" spans="1:15" x14ac:dyDescent="0.3">
      <c r="A1723">
        <v>44626</v>
      </c>
      <c r="B1723" t="s">
        <v>25</v>
      </c>
      <c r="C1723" t="s">
        <v>31</v>
      </c>
      <c r="D1723">
        <v>21</v>
      </c>
      <c r="E1723">
        <v>30</v>
      </c>
      <c r="F1723">
        <v>113.78</v>
      </c>
      <c r="G1723" t="s">
        <v>33</v>
      </c>
      <c r="H1723" s="1">
        <v>45583</v>
      </c>
      <c r="I1723" s="1">
        <v>45607</v>
      </c>
      <c r="J1723" t="s">
        <v>38</v>
      </c>
      <c r="K1723" t="b">
        <f>Table1[[#This Row],[CurrentStock]]&lt;Table1[[#This Row],[ReorderLevel]]</f>
        <v>1</v>
      </c>
      <c r="L1723" s="9">
        <f>Table1[[#This Row],[CurrentStock]]*Table1[[#This Row],[UnitPrice]]</f>
        <v>2389.38</v>
      </c>
      <c r="M1723">
        <f>IF(Table1[[#This Row],[ReorderLevel]]-Table1[[#This Row],[CurrentStock]]&gt;0,Table1[[#This Row],[ReorderLevel]]-Table1[[#This Row],[CurrentStock]],"")</f>
        <v>9</v>
      </c>
      <c r="N1723" t="str">
        <f>IF(Table1[[#This Row],[CurrentStock]]&gt;Table1[[#This Row],[ReorderLevel]]*3,"Over Stock","Okay")</f>
        <v>Okay</v>
      </c>
      <c r="O1723" t="str">
        <f>IF(Table1[[#This Row],[CurrentStock]]&lt;Table1[[#This Row],[ReorderLevel]],"Reorder","Okay")</f>
        <v>Reorder</v>
      </c>
    </row>
    <row r="1724" spans="1:15" x14ac:dyDescent="0.3">
      <c r="A1724">
        <v>39473</v>
      </c>
      <c r="B1724" t="s">
        <v>24</v>
      </c>
      <c r="C1724" t="s">
        <v>31</v>
      </c>
      <c r="D1724">
        <v>252</v>
      </c>
      <c r="E1724">
        <v>80</v>
      </c>
      <c r="F1724">
        <v>165.1</v>
      </c>
      <c r="G1724" t="s">
        <v>33</v>
      </c>
      <c r="H1724" s="1">
        <v>45603</v>
      </c>
      <c r="I1724" s="1">
        <v>45627</v>
      </c>
      <c r="J1724" t="s">
        <v>39</v>
      </c>
      <c r="K1724" t="b">
        <f>Table1[[#This Row],[CurrentStock]]&lt;Table1[[#This Row],[ReorderLevel]]</f>
        <v>0</v>
      </c>
      <c r="L1724" s="9">
        <f>Table1[[#This Row],[CurrentStock]]*Table1[[#This Row],[UnitPrice]]</f>
        <v>41605.199999999997</v>
      </c>
      <c r="M1724" t="str">
        <f>IF(Table1[[#This Row],[ReorderLevel]]-Table1[[#This Row],[CurrentStock]]&gt;0,Table1[[#This Row],[ReorderLevel]]-Table1[[#This Row],[CurrentStock]],"")</f>
        <v/>
      </c>
      <c r="N1724" t="str">
        <f>IF(Table1[[#This Row],[CurrentStock]]&gt;Table1[[#This Row],[ReorderLevel]]*3,"Over Stock","Okay")</f>
        <v>Over Stock</v>
      </c>
      <c r="O1724" t="str">
        <f>IF(Table1[[#This Row],[CurrentStock]]&lt;Table1[[#This Row],[ReorderLevel]],"Reorder","Okay")</f>
        <v>Okay</v>
      </c>
    </row>
    <row r="1725" spans="1:15" x14ac:dyDescent="0.3">
      <c r="A1725">
        <v>52095</v>
      </c>
      <c r="B1725" t="s">
        <v>14</v>
      </c>
      <c r="C1725" t="s">
        <v>27</v>
      </c>
      <c r="D1725">
        <v>408</v>
      </c>
      <c r="E1725">
        <v>50</v>
      </c>
      <c r="F1725">
        <v>315.18</v>
      </c>
      <c r="G1725" t="s">
        <v>36</v>
      </c>
      <c r="H1725" s="1">
        <v>45402</v>
      </c>
      <c r="I1725" s="1">
        <v>45418</v>
      </c>
      <c r="J1725" t="s">
        <v>38</v>
      </c>
      <c r="K1725" t="b">
        <f>Table1[[#This Row],[CurrentStock]]&lt;Table1[[#This Row],[ReorderLevel]]</f>
        <v>0</v>
      </c>
      <c r="L1725" s="9">
        <f>Table1[[#This Row],[CurrentStock]]*Table1[[#This Row],[UnitPrice]]</f>
        <v>128593.44</v>
      </c>
      <c r="M1725" t="str">
        <f>IF(Table1[[#This Row],[ReorderLevel]]-Table1[[#This Row],[CurrentStock]]&gt;0,Table1[[#This Row],[ReorderLevel]]-Table1[[#This Row],[CurrentStock]],"")</f>
        <v/>
      </c>
      <c r="N1725" t="str">
        <f>IF(Table1[[#This Row],[CurrentStock]]&gt;Table1[[#This Row],[ReorderLevel]]*3,"Over Stock","Okay")</f>
        <v>Over Stock</v>
      </c>
      <c r="O1725" t="str">
        <f>IF(Table1[[#This Row],[CurrentStock]]&lt;Table1[[#This Row],[ReorderLevel]],"Reorder","Okay")</f>
        <v>Okay</v>
      </c>
    </row>
    <row r="1726" spans="1:15" x14ac:dyDescent="0.3">
      <c r="A1726">
        <v>17837</v>
      </c>
      <c r="B1726" t="s">
        <v>21</v>
      </c>
      <c r="C1726" t="s">
        <v>31</v>
      </c>
      <c r="D1726">
        <v>15</v>
      </c>
      <c r="E1726">
        <v>150</v>
      </c>
      <c r="F1726">
        <v>116.3</v>
      </c>
      <c r="G1726" t="s">
        <v>36</v>
      </c>
      <c r="H1726" s="1">
        <v>45457</v>
      </c>
      <c r="I1726" s="1">
        <v>45485</v>
      </c>
      <c r="J1726" t="s">
        <v>37</v>
      </c>
      <c r="K1726" t="b">
        <f>Table1[[#This Row],[CurrentStock]]&lt;Table1[[#This Row],[ReorderLevel]]</f>
        <v>1</v>
      </c>
      <c r="L1726" s="9">
        <f>Table1[[#This Row],[CurrentStock]]*Table1[[#This Row],[UnitPrice]]</f>
        <v>1744.5</v>
      </c>
      <c r="M1726">
        <f>IF(Table1[[#This Row],[ReorderLevel]]-Table1[[#This Row],[CurrentStock]]&gt;0,Table1[[#This Row],[ReorderLevel]]-Table1[[#This Row],[CurrentStock]],"")</f>
        <v>135</v>
      </c>
      <c r="N1726" t="str">
        <f>IF(Table1[[#This Row],[CurrentStock]]&gt;Table1[[#This Row],[ReorderLevel]]*3,"Over Stock","Okay")</f>
        <v>Okay</v>
      </c>
      <c r="O1726" t="str">
        <f>IF(Table1[[#This Row],[CurrentStock]]&lt;Table1[[#This Row],[ReorderLevel]],"Reorder","Okay")</f>
        <v>Reorder</v>
      </c>
    </row>
    <row r="1727" spans="1:15" x14ac:dyDescent="0.3">
      <c r="A1727">
        <v>75206</v>
      </c>
      <c r="B1727" t="s">
        <v>20</v>
      </c>
      <c r="C1727" t="s">
        <v>29</v>
      </c>
      <c r="D1727">
        <v>190</v>
      </c>
      <c r="E1727">
        <v>150</v>
      </c>
      <c r="F1727">
        <v>494.47</v>
      </c>
      <c r="G1727" t="s">
        <v>34</v>
      </c>
      <c r="H1727" s="1">
        <v>45627</v>
      </c>
      <c r="I1727" s="1">
        <v>45652</v>
      </c>
      <c r="J1727" t="s">
        <v>37</v>
      </c>
      <c r="K1727" t="b">
        <f>Table1[[#This Row],[CurrentStock]]&lt;Table1[[#This Row],[ReorderLevel]]</f>
        <v>0</v>
      </c>
      <c r="L1727" s="9">
        <f>Table1[[#This Row],[CurrentStock]]*Table1[[#This Row],[UnitPrice]]</f>
        <v>93949.3</v>
      </c>
      <c r="M1727" t="str">
        <f>IF(Table1[[#This Row],[ReorderLevel]]-Table1[[#This Row],[CurrentStock]]&gt;0,Table1[[#This Row],[ReorderLevel]]-Table1[[#This Row],[CurrentStock]],"")</f>
        <v/>
      </c>
      <c r="N1727" t="str">
        <f>IF(Table1[[#This Row],[CurrentStock]]&gt;Table1[[#This Row],[ReorderLevel]]*3,"Over Stock","Okay")</f>
        <v>Okay</v>
      </c>
      <c r="O1727" t="str">
        <f>IF(Table1[[#This Row],[CurrentStock]]&lt;Table1[[#This Row],[ReorderLevel]],"Reorder","Okay")</f>
        <v>Okay</v>
      </c>
    </row>
    <row r="1728" spans="1:15" x14ac:dyDescent="0.3">
      <c r="A1728">
        <v>27388</v>
      </c>
      <c r="B1728" t="s">
        <v>16</v>
      </c>
      <c r="C1728" t="s">
        <v>30</v>
      </c>
      <c r="D1728">
        <v>333</v>
      </c>
      <c r="E1728">
        <v>40</v>
      </c>
      <c r="F1728">
        <v>448.63</v>
      </c>
      <c r="G1728" t="s">
        <v>33</v>
      </c>
      <c r="H1728" s="1">
        <v>45391</v>
      </c>
      <c r="I1728" s="1">
        <v>45426</v>
      </c>
      <c r="J1728" t="s">
        <v>38</v>
      </c>
      <c r="K1728" t="b">
        <f>Table1[[#This Row],[CurrentStock]]&lt;Table1[[#This Row],[ReorderLevel]]</f>
        <v>0</v>
      </c>
      <c r="L1728" s="9">
        <f>Table1[[#This Row],[CurrentStock]]*Table1[[#This Row],[UnitPrice]]</f>
        <v>149393.79</v>
      </c>
      <c r="M1728" t="str">
        <f>IF(Table1[[#This Row],[ReorderLevel]]-Table1[[#This Row],[CurrentStock]]&gt;0,Table1[[#This Row],[ReorderLevel]]-Table1[[#This Row],[CurrentStock]],"")</f>
        <v/>
      </c>
      <c r="N1728" t="str">
        <f>IF(Table1[[#This Row],[CurrentStock]]&gt;Table1[[#This Row],[ReorderLevel]]*3,"Over Stock","Okay")</f>
        <v>Over Stock</v>
      </c>
      <c r="O1728" t="str">
        <f>IF(Table1[[#This Row],[CurrentStock]]&lt;Table1[[#This Row],[ReorderLevel]],"Reorder","Okay")</f>
        <v>Okay</v>
      </c>
    </row>
    <row r="1729" spans="1:15" x14ac:dyDescent="0.3">
      <c r="A1729">
        <v>98271</v>
      </c>
      <c r="B1729" t="s">
        <v>16</v>
      </c>
      <c r="C1729" t="s">
        <v>30</v>
      </c>
      <c r="D1729">
        <v>29</v>
      </c>
      <c r="E1729">
        <v>150</v>
      </c>
      <c r="F1729">
        <v>168.78</v>
      </c>
      <c r="G1729" t="s">
        <v>36</v>
      </c>
      <c r="H1729" s="1">
        <v>45332</v>
      </c>
      <c r="I1729" s="1">
        <v>45346</v>
      </c>
      <c r="J1729" t="s">
        <v>37</v>
      </c>
      <c r="K1729" t="b">
        <f>Table1[[#This Row],[CurrentStock]]&lt;Table1[[#This Row],[ReorderLevel]]</f>
        <v>1</v>
      </c>
      <c r="L1729" s="9">
        <f>Table1[[#This Row],[CurrentStock]]*Table1[[#This Row],[UnitPrice]]</f>
        <v>4894.62</v>
      </c>
      <c r="M1729">
        <f>IF(Table1[[#This Row],[ReorderLevel]]-Table1[[#This Row],[CurrentStock]]&gt;0,Table1[[#This Row],[ReorderLevel]]-Table1[[#This Row],[CurrentStock]],"")</f>
        <v>121</v>
      </c>
      <c r="N1729" t="str">
        <f>IF(Table1[[#This Row],[CurrentStock]]&gt;Table1[[#This Row],[ReorderLevel]]*3,"Over Stock","Okay")</f>
        <v>Okay</v>
      </c>
      <c r="O1729" t="str">
        <f>IF(Table1[[#This Row],[CurrentStock]]&lt;Table1[[#This Row],[ReorderLevel]],"Reorder","Okay")</f>
        <v>Reorder</v>
      </c>
    </row>
    <row r="1730" spans="1:15" x14ac:dyDescent="0.3">
      <c r="A1730">
        <v>33212</v>
      </c>
      <c r="B1730" t="s">
        <v>26</v>
      </c>
      <c r="C1730" t="s">
        <v>30</v>
      </c>
      <c r="D1730">
        <v>359</v>
      </c>
      <c r="E1730">
        <v>150</v>
      </c>
      <c r="F1730">
        <v>425.46</v>
      </c>
      <c r="G1730" t="s">
        <v>32</v>
      </c>
      <c r="H1730" s="1">
        <v>45503</v>
      </c>
      <c r="I1730" s="1">
        <v>45527</v>
      </c>
      <c r="J1730" t="s">
        <v>37</v>
      </c>
      <c r="K1730" t="b">
        <f>Table1[[#This Row],[CurrentStock]]&lt;Table1[[#This Row],[ReorderLevel]]</f>
        <v>0</v>
      </c>
      <c r="L1730" s="9">
        <f>Table1[[#This Row],[CurrentStock]]*Table1[[#This Row],[UnitPrice]]</f>
        <v>152740.13999999998</v>
      </c>
      <c r="M1730" t="str">
        <f>IF(Table1[[#This Row],[ReorderLevel]]-Table1[[#This Row],[CurrentStock]]&gt;0,Table1[[#This Row],[ReorderLevel]]-Table1[[#This Row],[CurrentStock]],"")</f>
        <v/>
      </c>
      <c r="N1730" t="str">
        <f>IF(Table1[[#This Row],[CurrentStock]]&gt;Table1[[#This Row],[ReorderLevel]]*3,"Over Stock","Okay")</f>
        <v>Okay</v>
      </c>
      <c r="O1730" t="str">
        <f>IF(Table1[[#This Row],[CurrentStock]]&lt;Table1[[#This Row],[ReorderLevel]],"Reorder","Okay")</f>
        <v>Okay</v>
      </c>
    </row>
    <row r="1731" spans="1:15" x14ac:dyDescent="0.3">
      <c r="A1731">
        <v>74708</v>
      </c>
      <c r="B1731" t="s">
        <v>11</v>
      </c>
      <c r="C1731" t="s">
        <v>27</v>
      </c>
      <c r="D1731">
        <v>261</v>
      </c>
      <c r="E1731">
        <v>100</v>
      </c>
      <c r="F1731">
        <v>210.5</v>
      </c>
      <c r="G1731" t="s">
        <v>35</v>
      </c>
      <c r="H1731" s="1">
        <v>45560</v>
      </c>
      <c r="I1731" s="1">
        <v>45593</v>
      </c>
      <c r="J1731" t="s">
        <v>37</v>
      </c>
      <c r="K1731" t="b">
        <f>Table1[[#This Row],[CurrentStock]]&lt;Table1[[#This Row],[ReorderLevel]]</f>
        <v>0</v>
      </c>
      <c r="L1731" s="9">
        <f>Table1[[#This Row],[CurrentStock]]*Table1[[#This Row],[UnitPrice]]</f>
        <v>54940.5</v>
      </c>
      <c r="M1731" t="str">
        <f>IF(Table1[[#This Row],[ReorderLevel]]-Table1[[#This Row],[CurrentStock]]&gt;0,Table1[[#This Row],[ReorderLevel]]-Table1[[#This Row],[CurrentStock]],"")</f>
        <v/>
      </c>
      <c r="N1731" t="str">
        <f>IF(Table1[[#This Row],[CurrentStock]]&gt;Table1[[#This Row],[ReorderLevel]]*3,"Over Stock","Okay")</f>
        <v>Okay</v>
      </c>
      <c r="O1731" t="str">
        <f>IF(Table1[[#This Row],[CurrentStock]]&lt;Table1[[#This Row],[ReorderLevel]],"Reorder","Okay")</f>
        <v>Okay</v>
      </c>
    </row>
    <row r="1732" spans="1:15" x14ac:dyDescent="0.3">
      <c r="A1732">
        <v>44841</v>
      </c>
      <c r="B1732" t="s">
        <v>22</v>
      </c>
      <c r="C1732" t="s">
        <v>27</v>
      </c>
      <c r="D1732">
        <v>327</v>
      </c>
      <c r="E1732">
        <v>50</v>
      </c>
      <c r="F1732">
        <v>71.56</v>
      </c>
      <c r="G1732" t="s">
        <v>33</v>
      </c>
      <c r="H1732" s="1">
        <v>45406</v>
      </c>
      <c r="I1732" s="1">
        <v>45430</v>
      </c>
      <c r="J1732" t="s">
        <v>38</v>
      </c>
      <c r="K1732" t="b">
        <f>Table1[[#This Row],[CurrentStock]]&lt;Table1[[#This Row],[ReorderLevel]]</f>
        <v>0</v>
      </c>
      <c r="L1732" s="9">
        <f>Table1[[#This Row],[CurrentStock]]*Table1[[#This Row],[UnitPrice]]</f>
        <v>23400.12</v>
      </c>
      <c r="M1732" t="str">
        <f>IF(Table1[[#This Row],[ReorderLevel]]-Table1[[#This Row],[CurrentStock]]&gt;0,Table1[[#This Row],[ReorderLevel]]-Table1[[#This Row],[CurrentStock]],"")</f>
        <v/>
      </c>
      <c r="N1732" t="str">
        <f>IF(Table1[[#This Row],[CurrentStock]]&gt;Table1[[#This Row],[ReorderLevel]]*3,"Over Stock","Okay")</f>
        <v>Over Stock</v>
      </c>
      <c r="O1732" t="str">
        <f>IF(Table1[[#This Row],[CurrentStock]]&lt;Table1[[#This Row],[ReorderLevel]],"Reorder","Okay")</f>
        <v>Okay</v>
      </c>
    </row>
    <row r="1733" spans="1:15" x14ac:dyDescent="0.3">
      <c r="A1733">
        <v>93388</v>
      </c>
      <c r="B1733" t="s">
        <v>26</v>
      </c>
      <c r="C1733" t="s">
        <v>30</v>
      </c>
      <c r="D1733">
        <v>380</v>
      </c>
      <c r="E1733">
        <v>40</v>
      </c>
      <c r="F1733">
        <v>150.44999999999999</v>
      </c>
      <c r="G1733" t="s">
        <v>36</v>
      </c>
      <c r="H1733" s="1">
        <v>45374</v>
      </c>
      <c r="I1733" s="1">
        <v>45412</v>
      </c>
      <c r="J1733" t="s">
        <v>37</v>
      </c>
      <c r="K1733" t="b">
        <f>Table1[[#This Row],[CurrentStock]]&lt;Table1[[#This Row],[ReorderLevel]]</f>
        <v>0</v>
      </c>
      <c r="L1733" s="9">
        <f>Table1[[#This Row],[CurrentStock]]*Table1[[#This Row],[UnitPrice]]</f>
        <v>57170.999999999993</v>
      </c>
      <c r="M1733" t="str">
        <f>IF(Table1[[#This Row],[ReorderLevel]]-Table1[[#This Row],[CurrentStock]]&gt;0,Table1[[#This Row],[ReorderLevel]]-Table1[[#This Row],[CurrentStock]],"")</f>
        <v/>
      </c>
      <c r="N1733" t="str">
        <f>IF(Table1[[#This Row],[CurrentStock]]&gt;Table1[[#This Row],[ReorderLevel]]*3,"Over Stock","Okay")</f>
        <v>Over Stock</v>
      </c>
      <c r="O1733" t="str">
        <f>IF(Table1[[#This Row],[CurrentStock]]&lt;Table1[[#This Row],[ReorderLevel]],"Reorder","Okay")</f>
        <v>Okay</v>
      </c>
    </row>
    <row r="1734" spans="1:15" x14ac:dyDescent="0.3">
      <c r="A1734">
        <v>63616</v>
      </c>
      <c r="B1734" t="s">
        <v>13</v>
      </c>
      <c r="C1734" t="s">
        <v>29</v>
      </c>
      <c r="D1734">
        <v>155</v>
      </c>
      <c r="E1734">
        <v>100</v>
      </c>
      <c r="F1734">
        <v>390.66</v>
      </c>
      <c r="G1734" t="s">
        <v>35</v>
      </c>
      <c r="H1734" s="1">
        <v>45477</v>
      </c>
      <c r="I1734" s="1">
        <v>45486</v>
      </c>
      <c r="J1734" t="s">
        <v>38</v>
      </c>
      <c r="K1734" t="b">
        <f>Table1[[#This Row],[CurrentStock]]&lt;Table1[[#This Row],[ReorderLevel]]</f>
        <v>0</v>
      </c>
      <c r="L1734" s="9">
        <f>Table1[[#This Row],[CurrentStock]]*Table1[[#This Row],[UnitPrice]]</f>
        <v>60552.3</v>
      </c>
      <c r="M1734" t="str">
        <f>IF(Table1[[#This Row],[ReorderLevel]]-Table1[[#This Row],[CurrentStock]]&gt;0,Table1[[#This Row],[ReorderLevel]]-Table1[[#This Row],[CurrentStock]],"")</f>
        <v/>
      </c>
      <c r="N1734" t="str">
        <f>IF(Table1[[#This Row],[CurrentStock]]&gt;Table1[[#This Row],[ReorderLevel]]*3,"Over Stock","Okay")</f>
        <v>Okay</v>
      </c>
      <c r="O1734" t="str">
        <f>IF(Table1[[#This Row],[CurrentStock]]&lt;Table1[[#This Row],[ReorderLevel]],"Reorder","Okay")</f>
        <v>Okay</v>
      </c>
    </row>
    <row r="1735" spans="1:15" x14ac:dyDescent="0.3">
      <c r="A1735">
        <v>76714</v>
      </c>
      <c r="B1735" t="s">
        <v>19</v>
      </c>
      <c r="C1735" t="s">
        <v>28</v>
      </c>
      <c r="D1735">
        <v>287</v>
      </c>
      <c r="E1735">
        <v>150</v>
      </c>
      <c r="F1735">
        <v>85.08</v>
      </c>
      <c r="G1735" t="s">
        <v>32</v>
      </c>
      <c r="H1735" s="1">
        <v>45622</v>
      </c>
      <c r="I1735" s="1">
        <v>45639</v>
      </c>
      <c r="J1735" t="s">
        <v>39</v>
      </c>
      <c r="K1735" t="b">
        <f>Table1[[#This Row],[CurrentStock]]&lt;Table1[[#This Row],[ReorderLevel]]</f>
        <v>0</v>
      </c>
      <c r="L1735" s="9">
        <f>Table1[[#This Row],[CurrentStock]]*Table1[[#This Row],[UnitPrice]]</f>
        <v>24417.96</v>
      </c>
      <c r="M1735" t="str">
        <f>IF(Table1[[#This Row],[ReorderLevel]]-Table1[[#This Row],[CurrentStock]]&gt;0,Table1[[#This Row],[ReorderLevel]]-Table1[[#This Row],[CurrentStock]],"")</f>
        <v/>
      </c>
      <c r="N1735" t="str">
        <f>IF(Table1[[#This Row],[CurrentStock]]&gt;Table1[[#This Row],[ReorderLevel]]*3,"Over Stock","Okay")</f>
        <v>Okay</v>
      </c>
      <c r="O1735" t="str">
        <f>IF(Table1[[#This Row],[CurrentStock]]&lt;Table1[[#This Row],[ReorderLevel]],"Reorder","Okay")</f>
        <v>Okay</v>
      </c>
    </row>
    <row r="1736" spans="1:15" x14ac:dyDescent="0.3">
      <c r="A1736">
        <v>98306</v>
      </c>
      <c r="B1736" t="s">
        <v>16</v>
      </c>
      <c r="C1736" t="s">
        <v>30</v>
      </c>
      <c r="D1736">
        <v>420</v>
      </c>
      <c r="E1736">
        <v>20</v>
      </c>
      <c r="F1736">
        <v>193.75</v>
      </c>
      <c r="G1736" t="s">
        <v>36</v>
      </c>
      <c r="H1736" s="1">
        <v>45515</v>
      </c>
      <c r="I1736" s="1">
        <v>45522</v>
      </c>
      <c r="J1736" t="s">
        <v>39</v>
      </c>
      <c r="K1736" t="b">
        <f>Table1[[#This Row],[CurrentStock]]&lt;Table1[[#This Row],[ReorderLevel]]</f>
        <v>0</v>
      </c>
      <c r="L1736" s="9">
        <f>Table1[[#This Row],[CurrentStock]]*Table1[[#This Row],[UnitPrice]]</f>
        <v>81375</v>
      </c>
      <c r="M1736" t="str">
        <f>IF(Table1[[#This Row],[ReorderLevel]]-Table1[[#This Row],[CurrentStock]]&gt;0,Table1[[#This Row],[ReorderLevel]]-Table1[[#This Row],[CurrentStock]],"")</f>
        <v/>
      </c>
      <c r="N1736" t="str">
        <f>IF(Table1[[#This Row],[CurrentStock]]&gt;Table1[[#This Row],[ReorderLevel]]*3,"Over Stock","Okay")</f>
        <v>Over Stock</v>
      </c>
      <c r="O1736" t="str">
        <f>IF(Table1[[#This Row],[CurrentStock]]&lt;Table1[[#This Row],[ReorderLevel]],"Reorder","Okay")</f>
        <v>Okay</v>
      </c>
    </row>
    <row r="1737" spans="1:15" x14ac:dyDescent="0.3">
      <c r="A1737">
        <v>82126</v>
      </c>
      <c r="B1737" t="s">
        <v>20</v>
      </c>
      <c r="C1737" t="s">
        <v>29</v>
      </c>
      <c r="D1737">
        <v>170</v>
      </c>
      <c r="E1737">
        <v>80</v>
      </c>
      <c r="F1737">
        <v>441.33</v>
      </c>
      <c r="G1737" t="s">
        <v>33</v>
      </c>
      <c r="H1737" s="1">
        <v>45461</v>
      </c>
      <c r="I1737" s="1">
        <v>45496</v>
      </c>
      <c r="J1737" t="s">
        <v>39</v>
      </c>
      <c r="K1737" t="b">
        <f>Table1[[#This Row],[CurrentStock]]&lt;Table1[[#This Row],[ReorderLevel]]</f>
        <v>0</v>
      </c>
      <c r="L1737" s="9">
        <f>Table1[[#This Row],[CurrentStock]]*Table1[[#This Row],[UnitPrice]]</f>
        <v>75026.099999999991</v>
      </c>
      <c r="M1737" t="str">
        <f>IF(Table1[[#This Row],[ReorderLevel]]-Table1[[#This Row],[CurrentStock]]&gt;0,Table1[[#This Row],[ReorderLevel]]-Table1[[#This Row],[CurrentStock]],"")</f>
        <v/>
      </c>
      <c r="N1737" t="str">
        <f>IF(Table1[[#This Row],[CurrentStock]]&gt;Table1[[#This Row],[ReorderLevel]]*3,"Over Stock","Okay")</f>
        <v>Okay</v>
      </c>
      <c r="O1737" t="str">
        <f>IF(Table1[[#This Row],[CurrentStock]]&lt;Table1[[#This Row],[ReorderLevel]],"Reorder","Okay")</f>
        <v>Okay</v>
      </c>
    </row>
    <row r="1738" spans="1:15" x14ac:dyDescent="0.3">
      <c r="A1738">
        <v>68171</v>
      </c>
      <c r="B1738" t="s">
        <v>21</v>
      </c>
      <c r="C1738" t="s">
        <v>31</v>
      </c>
      <c r="D1738">
        <v>56</v>
      </c>
      <c r="E1738">
        <v>150</v>
      </c>
      <c r="F1738">
        <v>349.26</v>
      </c>
      <c r="G1738" t="s">
        <v>35</v>
      </c>
      <c r="H1738" s="1">
        <v>45339</v>
      </c>
      <c r="I1738" s="1">
        <v>45359</v>
      </c>
      <c r="J1738" t="s">
        <v>38</v>
      </c>
      <c r="K1738" t="b">
        <f>Table1[[#This Row],[CurrentStock]]&lt;Table1[[#This Row],[ReorderLevel]]</f>
        <v>1</v>
      </c>
      <c r="L1738" s="9">
        <f>Table1[[#This Row],[CurrentStock]]*Table1[[#This Row],[UnitPrice]]</f>
        <v>19558.559999999998</v>
      </c>
      <c r="M1738">
        <f>IF(Table1[[#This Row],[ReorderLevel]]-Table1[[#This Row],[CurrentStock]]&gt;0,Table1[[#This Row],[ReorderLevel]]-Table1[[#This Row],[CurrentStock]],"")</f>
        <v>94</v>
      </c>
      <c r="N1738" t="str">
        <f>IF(Table1[[#This Row],[CurrentStock]]&gt;Table1[[#This Row],[ReorderLevel]]*3,"Over Stock","Okay")</f>
        <v>Okay</v>
      </c>
      <c r="O1738" t="str">
        <f>IF(Table1[[#This Row],[CurrentStock]]&lt;Table1[[#This Row],[ReorderLevel]],"Reorder","Okay")</f>
        <v>Reorder</v>
      </c>
    </row>
    <row r="1739" spans="1:15" x14ac:dyDescent="0.3">
      <c r="A1739">
        <v>87712</v>
      </c>
      <c r="B1739" t="s">
        <v>15</v>
      </c>
      <c r="C1739" t="s">
        <v>29</v>
      </c>
      <c r="D1739">
        <v>3</v>
      </c>
      <c r="E1739">
        <v>50</v>
      </c>
      <c r="F1739">
        <v>67.650000000000006</v>
      </c>
      <c r="G1739" t="s">
        <v>35</v>
      </c>
      <c r="H1739" s="1">
        <v>45300</v>
      </c>
      <c r="I1739" s="1">
        <v>45321</v>
      </c>
      <c r="J1739" t="s">
        <v>39</v>
      </c>
      <c r="K1739" t="b">
        <f>Table1[[#This Row],[CurrentStock]]&lt;Table1[[#This Row],[ReorderLevel]]</f>
        <v>1</v>
      </c>
      <c r="L1739" s="9">
        <f>Table1[[#This Row],[CurrentStock]]*Table1[[#This Row],[UnitPrice]]</f>
        <v>202.95000000000002</v>
      </c>
      <c r="M1739">
        <f>IF(Table1[[#This Row],[ReorderLevel]]-Table1[[#This Row],[CurrentStock]]&gt;0,Table1[[#This Row],[ReorderLevel]]-Table1[[#This Row],[CurrentStock]],"")</f>
        <v>47</v>
      </c>
      <c r="N1739" t="str">
        <f>IF(Table1[[#This Row],[CurrentStock]]&gt;Table1[[#This Row],[ReorderLevel]]*3,"Over Stock","Okay")</f>
        <v>Okay</v>
      </c>
      <c r="O1739" t="str">
        <f>IF(Table1[[#This Row],[CurrentStock]]&lt;Table1[[#This Row],[ReorderLevel]],"Reorder","Okay")</f>
        <v>Reorder</v>
      </c>
    </row>
    <row r="1740" spans="1:15" x14ac:dyDescent="0.3">
      <c r="A1740">
        <v>99432</v>
      </c>
      <c r="B1740" t="s">
        <v>22</v>
      </c>
      <c r="C1740" t="s">
        <v>27</v>
      </c>
      <c r="D1740">
        <v>42</v>
      </c>
      <c r="E1740">
        <v>40</v>
      </c>
      <c r="F1740">
        <v>22.32</v>
      </c>
      <c r="G1740" t="s">
        <v>34</v>
      </c>
      <c r="H1740" s="1">
        <v>45299</v>
      </c>
      <c r="I1740" s="1">
        <v>45325</v>
      </c>
      <c r="J1740" t="s">
        <v>39</v>
      </c>
      <c r="K1740" t="b">
        <f>Table1[[#This Row],[CurrentStock]]&lt;Table1[[#This Row],[ReorderLevel]]</f>
        <v>0</v>
      </c>
      <c r="L1740" s="9">
        <f>Table1[[#This Row],[CurrentStock]]*Table1[[#This Row],[UnitPrice]]</f>
        <v>937.44</v>
      </c>
      <c r="M1740" t="str">
        <f>IF(Table1[[#This Row],[ReorderLevel]]-Table1[[#This Row],[CurrentStock]]&gt;0,Table1[[#This Row],[ReorderLevel]]-Table1[[#This Row],[CurrentStock]],"")</f>
        <v/>
      </c>
      <c r="N1740" t="str">
        <f>IF(Table1[[#This Row],[CurrentStock]]&gt;Table1[[#This Row],[ReorderLevel]]*3,"Over Stock","Okay")</f>
        <v>Okay</v>
      </c>
      <c r="O1740" t="str">
        <f>IF(Table1[[#This Row],[CurrentStock]]&lt;Table1[[#This Row],[ReorderLevel]],"Reorder","Okay")</f>
        <v>Okay</v>
      </c>
    </row>
    <row r="1741" spans="1:15" x14ac:dyDescent="0.3">
      <c r="A1741">
        <v>96472</v>
      </c>
      <c r="B1741" t="s">
        <v>18</v>
      </c>
      <c r="C1741" t="s">
        <v>28</v>
      </c>
      <c r="D1741">
        <v>423</v>
      </c>
      <c r="E1741">
        <v>100</v>
      </c>
      <c r="F1741">
        <v>414.08</v>
      </c>
      <c r="G1741" t="s">
        <v>34</v>
      </c>
      <c r="H1741" s="1">
        <v>45312</v>
      </c>
      <c r="I1741" s="1">
        <v>45340</v>
      </c>
      <c r="J1741" t="s">
        <v>39</v>
      </c>
      <c r="K1741" t="b">
        <f>Table1[[#This Row],[CurrentStock]]&lt;Table1[[#This Row],[ReorderLevel]]</f>
        <v>0</v>
      </c>
      <c r="L1741" s="9">
        <f>Table1[[#This Row],[CurrentStock]]*Table1[[#This Row],[UnitPrice]]</f>
        <v>175155.84</v>
      </c>
      <c r="M1741" t="str">
        <f>IF(Table1[[#This Row],[ReorderLevel]]-Table1[[#This Row],[CurrentStock]]&gt;0,Table1[[#This Row],[ReorderLevel]]-Table1[[#This Row],[CurrentStock]],"")</f>
        <v/>
      </c>
      <c r="N1741" t="str">
        <f>IF(Table1[[#This Row],[CurrentStock]]&gt;Table1[[#This Row],[ReorderLevel]]*3,"Over Stock","Okay")</f>
        <v>Over Stock</v>
      </c>
      <c r="O1741" t="str">
        <f>IF(Table1[[#This Row],[CurrentStock]]&lt;Table1[[#This Row],[ReorderLevel]],"Reorder","Okay")</f>
        <v>Okay</v>
      </c>
    </row>
    <row r="1742" spans="1:15" x14ac:dyDescent="0.3">
      <c r="A1742">
        <v>95141</v>
      </c>
      <c r="B1742" t="s">
        <v>24</v>
      </c>
      <c r="C1742" t="s">
        <v>31</v>
      </c>
      <c r="D1742">
        <v>147</v>
      </c>
      <c r="E1742">
        <v>40</v>
      </c>
      <c r="F1742">
        <v>212.73</v>
      </c>
      <c r="G1742" t="s">
        <v>35</v>
      </c>
      <c r="H1742" s="1">
        <v>45327</v>
      </c>
      <c r="I1742" s="1">
        <v>45340</v>
      </c>
      <c r="J1742" t="s">
        <v>37</v>
      </c>
      <c r="K1742" t="b">
        <f>Table1[[#This Row],[CurrentStock]]&lt;Table1[[#This Row],[ReorderLevel]]</f>
        <v>0</v>
      </c>
      <c r="L1742" s="9">
        <f>Table1[[#This Row],[CurrentStock]]*Table1[[#This Row],[UnitPrice]]</f>
        <v>31271.309999999998</v>
      </c>
      <c r="M1742" t="str">
        <f>IF(Table1[[#This Row],[ReorderLevel]]-Table1[[#This Row],[CurrentStock]]&gt;0,Table1[[#This Row],[ReorderLevel]]-Table1[[#This Row],[CurrentStock]],"")</f>
        <v/>
      </c>
      <c r="N1742" t="str">
        <f>IF(Table1[[#This Row],[CurrentStock]]&gt;Table1[[#This Row],[ReorderLevel]]*3,"Over Stock","Okay")</f>
        <v>Over Stock</v>
      </c>
      <c r="O1742" t="str">
        <f>IF(Table1[[#This Row],[CurrentStock]]&lt;Table1[[#This Row],[ReorderLevel]],"Reorder","Okay")</f>
        <v>Okay</v>
      </c>
    </row>
    <row r="1743" spans="1:15" x14ac:dyDescent="0.3">
      <c r="A1743">
        <v>83100</v>
      </c>
      <c r="B1743" t="s">
        <v>18</v>
      </c>
      <c r="C1743" t="s">
        <v>28</v>
      </c>
      <c r="D1743">
        <v>229</v>
      </c>
      <c r="E1743">
        <v>40</v>
      </c>
      <c r="F1743">
        <v>247.61</v>
      </c>
      <c r="G1743" t="s">
        <v>34</v>
      </c>
      <c r="H1743" s="1">
        <v>45654</v>
      </c>
      <c r="I1743" s="1">
        <v>45690</v>
      </c>
      <c r="J1743" t="s">
        <v>38</v>
      </c>
      <c r="K1743" t="b">
        <f>Table1[[#This Row],[CurrentStock]]&lt;Table1[[#This Row],[ReorderLevel]]</f>
        <v>0</v>
      </c>
      <c r="L1743" s="9">
        <f>Table1[[#This Row],[CurrentStock]]*Table1[[#This Row],[UnitPrice]]</f>
        <v>56702.69</v>
      </c>
      <c r="M1743" t="str">
        <f>IF(Table1[[#This Row],[ReorderLevel]]-Table1[[#This Row],[CurrentStock]]&gt;0,Table1[[#This Row],[ReorderLevel]]-Table1[[#This Row],[CurrentStock]],"")</f>
        <v/>
      </c>
      <c r="N1743" t="str">
        <f>IF(Table1[[#This Row],[CurrentStock]]&gt;Table1[[#This Row],[ReorderLevel]]*3,"Over Stock","Okay")</f>
        <v>Over Stock</v>
      </c>
      <c r="O1743" t="str">
        <f>IF(Table1[[#This Row],[CurrentStock]]&lt;Table1[[#This Row],[ReorderLevel]],"Reorder","Okay")</f>
        <v>Okay</v>
      </c>
    </row>
    <row r="1744" spans="1:15" x14ac:dyDescent="0.3">
      <c r="A1744">
        <v>17398</v>
      </c>
      <c r="B1744" t="s">
        <v>10</v>
      </c>
      <c r="C1744" t="s">
        <v>27</v>
      </c>
      <c r="D1744">
        <v>221</v>
      </c>
      <c r="E1744">
        <v>30</v>
      </c>
      <c r="F1744">
        <v>362.35</v>
      </c>
      <c r="G1744" t="s">
        <v>36</v>
      </c>
      <c r="H1744" s="1">
        <v>45512</v>
      </c>
      <c r="I1744" s="1">
        <v>45540</v>
      </c>
      <c r="J1744" t="s">
        <v>37</v>
      </c>
      <c r="K1744" t="b">
        <f>Table1[[#This Row],[CurrentStock]]&lt;Table1[[#This Row],[ReorderLevel]]</f>
        <v>0</v>
      </c>
      <c r="L1744" s="9">
        <f>Table1[[#This Row],[CurrentStock]]*Table1[[#This Row],[UnitPrice]]</f>
        <v>80079.350000000006</v>
      </c>
      <c r="M1744" t="str">
        <f>IF(Table1[[#This Row],[ReorderLevel]]-Table1[[#This Row],[CurrentStock]]&gt;0,Table1[[#This Row],[ReorderLevel]]-Table1[[#This Row],[CurrentStock]],"")</f>
        <v/>
      </c>
      <c r="N1744" t="str">
        <f>IF(Table1[[#This Row],[CurrentStock]]&gt;Table1[[#This Row],[ReorderLevel]]*3,"Over Stock","Okay")</f>
        <v>Over Stock</v>
      </c>
      <c r="O1744" t="str">
        <f>IF(Table1[[#This Row],[CurrentStock]]&lt;Table1[[#This Row],[ReorderLevel]],"Reorder","Okay")</f>
        <v>Okay</v>
      </c>
    </row>
    <row r="1745" spans="1:15" x14ac:dyDescent="0.3">
      <c r="A1745">
        <v>93220</v>
      </c>
      <c r="B1745" t="s">
        <v>12</v>
      </c>
      <c r="C1745" t="s">
        <v>28</v>
      </c>
      <c r="D1745">
        <v>41</v>
      </c>
      <c r="E1745">
        <v>30</v>
      </c>
      <c r="F1745">
        <v>140.05000000000001</v>
      </c>
      <c r="G1745" t="s">
        <v>33</v>
      </c>
      <c r="H1745" s="1">
        <v>45387</v>
      </c>
      <c r="I1745" s="1">
        <v>45405</v>
      </c>
      <c r="J1745" t="s">
        <v>39</v>
      </c>
      <c r="K1745" t="b">
        <f>Table1[[#This Row],[CurrentStock]]&lt;Table1[[#This Row],[ReorderLevel]]</f>
        <v>0</v>
      </c>
      <c r="L1745" s="9">
        <f>Table1[[#This Row],[CurrentStock]]*Table1[[#This Row],[UnitPrice]]</f>
        <v>5742.05</v>
      </c>
      <c r="M1745" t="str">
        <f>IF(Table1[[#This Row],[ReorderLevel]]-Table1[[#This Row],[CurrentStock]]&gt;0,Table1[[#This Row],[ReorderLevel]]-Table1[[#This Row],[CurrentStock]],"")</f>
        <v/>
      </c>
      <c r="N1745" t="str">
        <f>IF(Table1[[#This Row],[CurrentStock]]&gt;Table1[[#This Row],[ReorderLevel]]*3,"Over Stock","Okay")</f>
        <v>Okay</v>
      </c>
      <c r="O1745" t="str">
        <f>IF(Table1[[#This Row],[CurrentStock]]&lt;Table1[[#This Row],[ReorderLevel]],"Reorder","Okay")</f>
        <v>Okay</v>
      </c>
    </row>
    <row r="1746" spans="1:15" x14ac:dyDescent="0.3">
      <c r="A1746">
        <v>57411</v>
      </c>
      <c r="B1746" t="s">
        <v>17</v>
      </c>
      <c r="C1746" t="s">
        <v>30</v>
      </c>
      <c r="D1746">
        <v>319</v>
      </c>
      <c r="E1746">
        <v>30</v>
      </c>
      <c r="F1746">
        <v>200.33</v>
      </c>
      <c r="G1746" t="s">
        <v>33</v>
      </c>
      <c r="H1746" s="1">
        <v>45604</v>
      </c>
      <c r="I1746" s="1">
        <v>45641</v>
      </c>
      <c r="J1746" t="s">
        <v>38</v>
      </c>
      <c r="K1746" t="b">
        <f>Table1[[#This Row],[CurrentStock]]&lt;Table1[[#This Row],[ReorderLevel]]</f>
        <v>0</v>
      </c>
      <c r="L1746" s="9">
        <f>Table1[[#This Row],[CurrentStock]]*Table1[[#This Row],[UnitPrice]]</f>
        <v>63905.270000000004</v>
      </c>
      <c r="M1746" t="str">
        <f>IF(Table1[[#This Row],[ReorderLevel]]-Table1[[#This Row],[CurrentStock]]&gt;0,Table1[[#This Row],[ReorderLevel]]-Table1[[#This Row],[CurrentStock]],"")</f>
        <v/>
      </c>
      <c r="N1746" t="str">
        <f>IF(Table1[[#This Row],[CurrentStock]]&gt;Table1[[#This Row],[ReorderLevel]]*3,"Over Stock","Okay")</f>
        <v>Over Stock</v>
      </c>
      <c r="O1746" t="str">
        <f>IF(Table1[[#This Row],[CurrentStock]]&lt;Table1[[#This Row],[ReorderLevel]],"Reorder","Okay")</f>
        <v>Okay</v>
      </c>
    </row>
    <row r="1747" spans="1:15" x14ac:dyDescent="0.3">
      <c r="A1747">
        <v>95997</v>
      </c>
      <c r="B1747" t="s">
        <v>22</v>
      </c>
      <c r="C1747" t="s">
        <v>27</v>
      </c>
      <c r="D1747">
        <v>88</v>
      </c>
      <c r="E1747">
        <v>80</v>
      </c>
      <c r="F1747">
        <v>255.1</v>
      </c>
      <c r="G1747" t="s">
        <v>36</v>
      </c>
      <c r="H1747" s="1">
        <v>45530</v>
      </c>
      <c r="I1747" s="1">
        <v>45568</v>
      </c>
      <c r="J1747" t="s">
        <v>38</v>
      </c>
      <c r="K1747" t="b">
        <f>Table1[[#This Row],[CurrentStock]]&lt;Table1[[#This Row],[ReorderLevel]]</f>
        <v>0</v>
      </c>
      <c r="L1747" s="9">
        <f>Table1[[#This Row],[CurrentStock]]*Table1[[#This Row],[UnitPrice]]</f>
        <v>22448.799999999999</v>
      </c>
      <c r="M1747" t="str">
        <f>IF(Table1[[#This Row],[ReorderLevel]]-Table1[[#This Row],[CurrentStock]]&gt;0,Table1[[#This Row],[ReorderLevel]]-Table1[[#This Row],[CurrentStock]],"")</f>
        <v/>
      </c>
      <c r="N1747" t="str">
        <f>IF(Table1[[#This Row],[CurrentStock]]&gt;Table1[[#This Row],[ReorderLevel]]*3,"Over Stock","Okay")</f>
        <v>Okay</v>
      </c>
      <c r="O1747" t="str">
        <f>IF(Table1[[#This Row],[CurrentStock]]&lt;Table1[[#This Row],[ReorderLevel]],"Reorder","Okay")</f>
        <v>Okay</v>
      </c>
    </row>
    <row r="1748" spans="1:15" x14ac:dyDescent="0.3">
      <c r="A1748">
        <v>47918</v>
      </c>
      <c r="B1748" t="s">
        <v>23</v>
      </c>
      <c r="C1748" t="s">
        <v>30</v>
      </c>
      <c r="D1748">
        <v>467</v>
      </c>
      <c r="E1748">
        <v>100</v>
      </c>
      <c r="F1748">
        <v>418.78</v>
      </c>
      <c r="G1748" t="s">
        <v>36</v>
      </c>
      <c r="H1748" s="1">
        <v>45320</v>
      </c>
      <c r="I1748" s="1">
        <v>45341</v>
      </c>
      <c r="J1748" t="s">
        <v>39</v>
      </c>
      <c r="K1748" t="b">
        <f>Table1[[#This Row],[CurrentStock]]&lt;Table1[[#This Row],[ReorderLevel]]</f>
        <v>0</v>
      </c>
      <c r="L1748" s="9">
        <f>Table1[[#This Row],[CurrentStock]]*Table1[[#This Row],[UnitPrice]]</f>
        <v>195570.25999999998</v>
      </c>
      <c r="M1748" t="str">
        <f>IF(Table1[[#This Row],[ReorderLevel]]-Table1[[#This Row],[CurrentStock]]&gt;0,Table1[[#This Row],[ReorderLevel]]-Table1[[#This Row],[CurrentStock]],"")</f>
        <v/>
      </c>
      <c r="N1748" t="str">
        <f>IF(Table1[[#This Row],[CurrentStock]]&gt;Table1[[#This Row],[ReorderLevel]]*3,"Over Stock","Okay")</f>
        <v>Over Stock</v>
      </c>
      <c r="O1748" t="str">
        <f>IF(Table1[[#This Row],[CurrentStock]]&lt;Table1[[#This Row],[ReorderLevel]],"Reorder","Okay")</f>
        <v>Okay</v>
      </c>
    </row>
    <row r="1749" spans="1:15" x14ac:dyDescent="0.3">
      <c r="A1749">
        <v>20349</v>
      </c>
      <c r="B1749" t="s">
        <v>18</v>
      </c>
      <c r="C1749" t="s">
        <v>28</v>
      </c>
      <c r="D1749">
        <v>387</v>
      </c>
      <c r="E1749">
        <v>100</v>
      </c>
      <c r="F1749">
        <v>331.61</v>
      </c>
      <c r="G1749" t="s">
        <v>36</v>
      </c>
      <c r="H1749" s="1">
        <v>45326</v>
      </c>
      <c r="I1749" s="1">
        <v>45336</v>
      </c>
      <c r="J1749" t="s">
        <v>37</v>
      </c>
      <c r="K1749" t="b">
        <f>Table1[[#This Row],[CurrentStock]]&lt;Table1[[#This Row],[ReorderLevel]]</f>
        <v>0</v>
      </c>
      <c r="L1749" s="9">
        <f>Table1[[#This Row],[CurrentStock]]*Table1[[#This Row],[UnitPrice]]</f>
        <v>128333.07</v>
      </c>
      <c r="M1749" t="str">
        <f>IF(Table1[[#This Row],[ReorderLevel]]-Table1[[#This Row],[CurrentStock]]&gt;0,Table1[[#This Row],[ReorderLevel]]-Table1[[#This Row],[CurrentStock]],"")</f>
        <v/>
      </c>
      <c r="N1749" t="str">
        <f>IF(Table1[[#This Row],[CurrentStock]]&gt;Table1[[#This Row],[ReorderLevel]]*3,"Over Stock","Okay")</f>
        <v>Over Stock</v>
      </c>
      <c r="O1749" t="str">
        <f>IF(Table1[[#This Row],[CurrentStock]]&lt;Table1[[#This Row],[ReorderLevel]],"Reorder","Okay")</f>
        <v>Okay</v>
      </c>
    </row>
    <row r="1750" spans="1:15" x14ac:dyDescent="0.3">
      <c r="A1750">
        <v>17660</v>
      </c>
      <c r="B1750" t="s">
        <v>21</v>
      </c>
      <c r="C1750" t="s">
        <v>31</v>
      </c>
      <c r="D1750">
        <v>316</v>
      </c>
      <c r="E1750">
        <v>40</v>
      </c>
      <c r="F1750">
        <v>375.15</v>
      </c>
      <c r="G1750" t="s">
        <v>35</v>
      </c>
      <c r="H1750" s="1">
        <v>45362</v>
      </c>
      <c r="I1750" s="1">
        <v>45381</v>
      </c>
      <c r="J1750" t="s">
        <v>39</v>
      </c>
      <c r="K1750" t="b">
        <f>Table1[[#This Row],[CurrentStock]]&lt;Table1[[#This Row],[ReorderLevel]]</f>
        <v>0</v>
      </c>
      <c r="L1750" s="9">
        <f>Table1[[#This Row],[CurrentStock]]*Table1[[#This Row],[UnitPrice]]</f>
        <v>118547.4</v>
      </c>
      <c r="M1750" t="str">
        <f>IF(Table1[[#This Row],[ReorderLevel]]-Table1[[#This Row],[CurrentStock]]&gt;0,Table1[[#This Row],[ReorderLevel]]-Table1[[#This Row],[CurrentStock]],"")</f>
        <v/>
      </c>
      <c r="N1750" t="str">
        <f>IF(Table1[[#This Row],[CurrentStock]]&gt;Table1[[#This Row],[ReorderLevel]]*3,"Over Stock","Okay")</f>
        <v>Over Stock</v>
      </c>
      <c r="O1750" t="str">
        <f>IF(Table1[[#This Row],[CurrentStock]]&lt;Table1[[#This Row],[ReorderLevel]],"Reorder","Okay")</f>
        <v>Okay</v>
      </c>
    </row>
    <row r="1751" spans="1:15" x14ac:dyDescent="0.3">
      <c r="A1751">
        <v>49913</v>
      </c>
      <c r="B1751" t="s">
        <v>15</v>
      </c>
      <c r="C1751" t="s">
        <v>29</v>
      </c>
      <c r="D1751">
        <v>154</v>
      </c>
      <c r="E1751">
        <v>100</v>
      </c>
      <c r="F1751">
        <v>110.93</v>
      </c>
      <c r="G1751" t="s">
        <v>34</v>
      </c>
      <c r="H1751" s="1">
        <v>45591</v>
      </c>
      <c r="I1751" s="1">
        <v>45617</v>
      </c>
      <c r="J1751" t="s">
        <v>37</v>
      </c>
      <c r="K1751" t="b">
        <f>Table1[[#This Row],[CurrentStock]]&lt;Table1[[#This Row],[ReorderLevel]]</f>
        <v>0</v>
      </c>
      <c r="L1751" s="9">
        <f>Table1[[#This Row],[CurrentStock]]*Table1[[#This Row],[UnitPrice]]</f>
        <v>17083.22</v>
      </c>
      <c r="M1751" t="str">
        <f>IF(Table1[[#This Row],[ReorderLevel]]-Table1[[#This Row],[CurrentStock]]&gt;0,Table1[[#This Row],[ReorderLevel]]-Table1[[#This Row],[CurrentStock]],"")</f>
        <v/>
      </c>
      <c r="N1751" t="str">
        <f>IF(Table1[[#This Row],[CurrentStock]]&gt;Table1[[#This Row],[ReorderLevel]]*3,"Over Stock","Okay")</f>
        <v>Okay</v>
      </c>
      <c r="O1751" t="str">
        <f>IF(Table1[[#This Row],[CurrentStock]]&lt;Table1[[#This Row],[ReorderLevel]],"Reorder","Okay")</f>
        <v>Okay</v>
      </c>
    </row>
    <row r="1752" spans="1:15" x14ac:dyDescent="0.3">
      <c r="A1752">
        <v>24919</v>
      </c>
      <c r="B1752" t="s">
        <v>12</v>
      </c>
      <c r="C1752" t="s">
        <v>28</v>
      </c>
      <c r="D1752">
        <v>227</v>
      </c>
      <c r="E1752">
        <v>20</v>
      </c>
      <c r="F1752">
        <v>129.07</v>
      </c>
      <c r="G1752" t="s">
        <v>33</v>
      </c>
      <c r="H1752" s="1">
        <v>45592</v>
      </c>
      <c r="I1752" s="1">
        <v>45616</v>
      </c>
      <c r="J1752" t="s">
        <v>38</v>
      </c>
      <c r="K1752" t="b">
        <f>Table1[[#This Row],[CurrentStock]]&lt;Table1[[#This Row],[ReorderLevel]]</f>
        <v>0</v>
      </c>
      <c r="L1752" s="9">
        <f>Table1[[#This Row],[CurrentStock]]*Table1[[#This Row],[UnitPrice]]</f>
        <v>29298.89</v>
      </c>
      <c r="M1752" t="str">
        <f>IF(Table1[[#This Row],[ReorderLevel]]-Table1[[#This Row],[CurrentStock]]&gt;0,Table1[[#This Row],[ReorderLevel]]-Table1[[#This Row],[CurrentStock]],"")</f>
        <v/>
      </c>
      <c r="N1752" t="str">
        <f>IF(Table1[[#This Row],[CurrentStock]]&gt;Table1[[#This Row],[ReorderLevel]]*3,"Over Stock","Okay")</f>
        <v>Over Stock</v>
      </c>
      <c r="O1752" t="str">
        <f>IF(Table1[[#This Row],[CurrentStock]]&lt;Table1[[#This Row],[ReorderLevel]],"Reorder","Okay")</f>
        <v>Okay</v>
      </c>
    </row>
    <row r="1753" spans="1:15" x14ac:dyDescent="0.3">
      <c r="A1753">
        <v>24242</v>
      </c>
      <c r="B1753" t="s">
        <v>20</v>
      </c>
      <c r="C1753" t="s">
        <v>29</v>
      </c>
      <c r="D1753">
        <v>15</v>
      </c>
      <c r="E1753">
        <v>40</v>
      </c>
      <c r="F1753">
        <v>377.27</v>
      </c>
      <c r="G1753" t="s">
        <v>32</v>
      </c>
      <c r="H1753" s="1">
        <v>45365</v>
      </c>
      <c r="I1753" s="1">
        <v>45387</v>
      </c>
      <c r="J1753" t="s">
        <v>39</v>
      </c>
      <c r="K1753" t="b">
        <f>Table1[[#This Row],[CurrentStock]]&lt;Table1[[#This Row],[ReorderLevel]]</f>
        <v>1</v>
      </c>
      <c r="L1753" s="9">
        <f>Table1[[#This Row],[CurrentStock]]*Table1[[#This Row],[UnitPrice]]</f>
        <v>5659.0499999999993</v>
      </c>
      <c r="M1753">
        <f>IF(Table1[[#This Row],[ReorderLevel]]-Table1[[#This Row],[CurrentStock]]&gt;0,Table1[[#This Row],[ReorderLevel]]-Table1[[#This Row],[CurrentStock]],"")</f>
        <v>25</v>
      </c>
      <c r="N1753" t="str">
        <f>IF(Table1[[#This Row],[CurrentStock]]&gt;Table1[[#This Row],[ReorderLevel]]*3,"Over Stock","Okay")</f>
        <v>Okay</v>
      </c>
      <c r="O1753" t="str">
        <f>IF(Table1[[#This Row],[CurrentStock]]&lt;Table1[[#This Row],[ReorderLevel]],"Reorder","Okay")</f>
        <v>Reorder</v>
      </c>
    </row>
    <row r="1754" spans="1:15" x14ac:dyDescent="0.3">
      <c r="A1754">
        <v>75950</v>
      </c>
      <c r="B1754" t="s">
        <v>13</v>
      </c>
      <c r="C1754" t="s">
        <v>29</v>
      </c>
      <c r="D1754">
        <v>58</v>
      </c>
      <c r="E1754">
        <v>50</v>
      </c>
      <c r="F1754">
        <v>167.49</v>
      </c>
      <c r="G1754" t="s">
        <v>36</v>
      </c>
      <c r="H1754" s="1">
        <v>45361</v>
      </c>
      <c r="I1754" s="1">
        <v>45379</v>
      </c>
      <c r="J1754" t="s">
        <v>39</v>
      </c>
      <c r="K1754" t="b">
        <f>Table1[[#This Row],[CurrentStock]]&lt;Table1[[#This Row],[ReorderLevel]]</f>
        <v>0</v>
      </c>
      <c r="L1754" s="9">
        <f>Table1[[#This Row],[CurrentStock]]*Table1[[#This Row],[UnitPrice]]</f>
        <v>9714.42</v>
      </c>
      <c r="M1754" t="str">
        <f>IF(Table1[[#This Row],[ReorderLevel]]-Table1[[#This Row],[CurrentStock]]&gt;0,Table1[[#This Row],[ReorderLevel]]-Table1[[#This Row],[CurrentStock]],"")</f>
        <v/>
      </c>
      <c r="N1754" t="str">
        <f>IF(Table1[[#This Row],[CurrentStock]]&gt;Table1[[#This Row],[ReorderLevel]]*3,"Over Stock","Okay")</f>
        <v>Okay</v>
      </c>
      <c r="O1754" t="str">
        <f>IF(Table1[[#This Row],[CurrentStock]]&lt;Table1[[#This Row],[ReorderLevel]],"Reorder","Okay")</f>
        <v>Okay</v>
      </c>
    </row>
    <row r="1755" spans="1:15" x14ac:dyDescent="0.3">
      <c r="A1755">
        <v>41676</v>
      </c>
      <c r="B1755" t="s">
        <v>19</v>
      </c>
      <c r="C1755" t="s">
        <v>28</v>
      </c>
      <c r="D1755">
        <v>50</v>
      </c>
      <c r="E1755">
        <v>80</v>
      </c>
      <c r="F1755">
        <v>373.16</v>
      </c>
      <c r="G1755" t="s">
        <v>35</v>
      </c>
      <c r="H1755" s="1">
        <v>45637</v>
      </c>
      <c r="I1755" s="1">
        <v>45653</v>
      </c>
      <c r="J1755" t="s">
        <v>37</v>
      </c>
      <c r="K1755" t="b">
        <f>Table1[[#This Row],[CurrentStock]]&lt;Table1[[#This Row],[ReorderLevel]]</f>
        <v>1</v>
      </c>
      <c r="L1755" s="9">
        <f>Table1[[#This Row],[CurrentStock]]*Table1[[#This Row],[UnitPrice]]</f>
        <v>18658</v>
      </c>
      <c r="M1755">
        <f>IF(Table1[[#This Row],[ReorderLevel]]-Table1[[#This Row],[CurrentStock]]&gt;0,Table1[[#This Row],[ReorderLevel]]-Table1[[#This Row],[CurrentStock]],"")</f>
        <v>30</v>
      </c>
      <c r="N1755" t="str">
        <f>IF(Table1[[#This Row],[CurrentStock]]&gt;Table1[[#This Row],[ReorderLevel]]*3,"Over Stock","Okay")</f>
        <v>Okay</v>
      </c>
      <c r="O1755" t="str">
        <f>IF(Table1[[#This Row],[CurrentStock]]&lt;Table1[[#This Row],[ReorderLevel]],"Reorder","Okay")</f>
        <v>Reorder</v>
      </c>
    </row>
    <row r="1756" spans="1:15" x14ac:dyDescent="0.3">
      <c r="A1756">
        <v>82369</v>
      </c>
      <c r="B1756" t="s">
        <v>11</v>
      </c>
      <c r="C1756" t="s">
        <v>27</v>
      </c>
      <c r="D1756">
        <v>239</v>
      </c>
      <c r="E1756">
        <v>20</v>
      </c>
      <c r="F1756">
        <v>350.63</v>
      </c>
      <c r="G1756" t="s">
        <v>35</v>
      </c>
      <c r="H1756" s="1">
        <v>45408</v>
      </c>
      <c r="I1756" s="1">
        <v>45415</v>
      </c>
      <c r="J1756" t="s">
        <v>39</v>
      </c>
      <c r="K1756" t="b">
        <f>Table1[[#This Row],[CurrentStock]]&lt;Table1[[#This Row],[ReorderLevel]]</f>
        <v>0</v>
      </c>
      <c r="L1756" s="9">
        <f>Table1[[#This Row],[CurrentStock]]*Table1[[#This Row],[UnitPrice]]</f>
        <v>83800.569999999992</v>
      </c>
      <c r="M1756" t="str">
        <f>IF(Table1[[#This Row],[ReorderLevel]]-Table1[[#This Row],[CurrentStock]]&gt;0,Table1[[#This Row],[ReorderLevel]]-Table1[[#This Row],[CurrentStock]],"")</f>
        <v/>
      </c>
      <c r="N1756" t="str">
        <f>IF(Table1[[#This Row],[CurrentStock]]&gt;Table1[[#This Row],[ReorderLevel]]*3,"Over Stock","Okay")</f>
        <v>Over Stock</v>
      </c>
      <c r="O1756" t="str">
        <f>IF(Table1[[#This Row],[CurrentStock]]&lt;Table1[[#This Row],[ReorderLevel]],"Reorder","Okay")</f>
        <v>Okay</v>
      </c>
    </row>
    <row r="1757" spans="1:15" x14ac:dyDescent="0.3">
      <c r="A1757">
        <v>64843</v>
      </c>
      <c r="B1757" t="s">
        <v>25</v>
      </c>
      <c r="C1757" t="s">
        <v>31</v>
      </c>
      <c r="D1757">
        <v>23</v>
      </c>
      <c r="E1757">
        <v>40</v>
      </c>
      <c r="F1757">
        <v>282.01</v>
      </c>
      <c r="G1757" t="s">
        <v>32</v>
      </c>
      <c r="H1757" s="1">
        <v>45396</v>
      </c>
      <c r="I1757" s="1">
        <v>45419</v>
      </c>
      <c r="J1757" t="s">
        <v>39</v>
      </c>
      <c r="K1757" t="b">
        <f>Table1[[#This Row],[CurrentStock]]&lt;Table1[[#This Row],[ReorderLevel]]</f>
        <v>1</v>
      </c>
      <c r="L1757" s="9">
        <f>Table1[[#This Row],[CurrentStock]]*Table1[[#This Row],[UnitPrice]]</f>
        <v>6486.23</v>
      </c>
      <c r="M1757">
        <f>IF(Table1[[#This Row],[ReorderLevel]]-Table1[[#This Row],[CurrentStock]]&gt;0,Table1[[#This Row],[ReorderLevel]]-Table1[[#This Row],[CurrentStock]],"")</f>
        <v>17</v>
      </c>
      <c r="N1757" t="str">
        <f>IF(Table1[[#This Row],[CurrentStock]]&gt;Table1[[#This Row],[ReorderLevel]]*3,"Over Stock","Okay")</f>
        <v>Okay</v>
      </c>
      <c r="O1757" t="str">
        <f>IF(Table1[[#This Row],[CurrentStock]]&lt;Table1[[#This Row],[ReorderLevel]],"Reorder","Okay")</f>
        <v>Reorder</v>
      </c>
    </row>
    <row r="1758" spans="1:15" x14ac:dyDescent="0.3">
      <c r="A1758">
        <v>20108</v>
      </c>
      <c r="B1758" t="s">
        <v>16</v>
      </c>
      <c r="C1758" t="s">
        <v>30</v>
      </c>
      <c r="D1758">
        <v>196</v>
      </c>
      <c r="E1758">
        <v>40</v>
      </c>
      <c r="F1758">
        <v>7.79</v>
      </c>
      <c r="G1758" t="s">
        <v>35</v>
      </c>
      <c r="H1758" s="1">
        <v>45554</v>
      </c>
      <c r="I1758" s="1">
        <v>45564</v>
      </c>
      <c r="J1758" t="s">
        <v>39</v>
      </c>
      <c r="K1758" t="b">
        <f>Table1[[#This Row],[CurrentStock]]&lt;Table1[[#This Row],[ReorderLevel]]</f>
        <v>0</v>
      </c>
      <c r="L1758" s="9">
        <f>Table1[[#This Row],[CurrentStock]]*Table1[[#This Row],[UnitPrice]]</f>
        <v>1526.84</v>
      </c>
      <c r="M1758" t="str">
        <f>IF(Table1[[#This Row],[ReorderLevel]]-Table1[[#This Row],[CurrentStock]]&gt;0,Table1[[#This Row],[ReorderLevel]]-Table1[[#This Row],[CurrentStock]],"")</f>
        <v/>
      </c>
      <c r="N1758" t="str">
        <f>IF(Table1[[#This Row],[CurrentStock]]&gt;Table1[[#This Row],[ReorderLevel]]*3,"Over Stock","Okay")</f>
        <v>Over Stock</v>
      </c>
      <c r="O1758" t="str">
        <f>IF(Table1[[#This Row],[CurrentStock]]&lt;Table1[[#This Row],[ReorderLevel]],"Reorder","Okay")</f>
        <v>Okay</v>
      </c>
    </row>
    <row r="1759" spans="1:15" x14ac:dyDescent="0.3">
      <c r="A1759">
        <v>84693</v>
      </c>
      <c r="B1759" t="s">
        <v>18</v>
      </c>
      <c r="C1759" t="s">
        <v>28</v>
      </c>
      <c r="D1759">
        <v>365</v>
      </c>
      <c r="E1759">
        <v>30</v>
      </c>
      <c r="F1759">
        <v>260.60000000000002</v>
      </c>
      <c r="G1759" t="s">
        <v>34</v>
      </c>
      <c r="H1759" s="1">
        <v>45465</v>
      </c>
      <c r="I1759" s="1">
        <v>45476</v>
      </c>
      <c r="J1759" t="s">
        <v>37</v>
      </c>
      <c r="K1759" t="b">
        <f>Table1[[#This Row],[CurrentStock]]&lt;Table1[[#This Row],[ReorderLevel]]</f>
        <v>0</v>
      </c>
      <c r="L1759" s="9">
        <f>Table1[[#This Row],[CurrentStock]]*Table1[[#This Row],[UnitPrice]]</f>
        <v>95119.000000000015</v>
      </c>
      <c r="M1759" t="str">
        <f>IF(Table1[[#This Row],[ReorderLevel]]-Table1[[#This Row],[CurrentStock]]&gt;0,Table1[[#This Row],[ReorderLevel]]-Table1[[#This Row],[CurrentStock]],"")</f>
        <v/>
      </c>
      <c r="N1759" t="str">
        <f>IF(Table1[[#This Row],[CurrentStock]]&gt;Table1[[#This Row],[ReorderLevel]]*3,"Over Stock","Okay")</f>
        <v>Over Stock</v>
      </c>
      <c r="O1759" t="str">
        <f>IF(Table1[[#This Row],[CurrentStock]]&lt;Table1[[#This Row],[ReorderLevel]],"Reorder","Okay")</f>
        <v>Okay</v>
      </c>
    </row>
    <row r="1760" spans="1:15" x14ac:dyDescent="0.3">
      <c r="A1760">
        <v>46067</v>
      </c>
      <c r="B1760" t="s">
        <v>19</v>
      </c>
      <c r="C1760" t="s">
        <v>28</v>
      </c>
      <c r="D1760">
        <v>352</v>
      </c>
      <c r="E1760">
        <v>50</v>
      </c>
      <c r="F1760">
        <v>401.96</v>
      </c>
      <c r="G1760" t="s">
        <v>35</v>
      </c>
      <c r="H1760" s="1">
        <v>45616</v>
      </c>
      <c r="I1760" s="1">
        <v>45625</v>
      </c>
      <c r="J1760" t="s">
        <v>37</v>
      </c>
      <c r="K1760" t="b">
        <f>Table1[[#This Row],[CurrentStock]]&lt;Table1[[#This Row],[ReorderLevel]]</f>
        <v>0</v>
      </c>
      <c r="L1760" s="9">
        <f>Table1[[#This Row],[CurrentStock]]*Table1[[#This Row],[UnitPrice]]</f>
        <v>141489.91999999998</v>
      </c>
      <c r="M1760" t="str">
        <f>IF(Table1[[#This Row],[ReorderLevel]]-Table1[[#This Row],[CurrentStock]]&gt;0,Table1[[#This Row],[ReorderLevel]]-Table1[[#This Row],[CurrentStock]],"")</f>
        <v/>
      </c>
      <c r="N1760" t="str">
        <f>IF(Table1[[#This Row],[CurrentStock]]&gt;Table1[[#This Row],[ReorderLevel]]*3,"Over Stock","Okay")</f>
        <v>Over Stock</v>
      </c>
      <c r="O1760" t="str">
        <f>IF(Table1[[#This Row],[CurrentStock]]&lt;Table1[[#This Row],[ReorderLevel]],"Reorder","Okay")</f>
        <v>Okay</v>
      </c>
    </row>
    <row r="1761" spans="1:15" x14ac:dyDescent="0.3">
      <c r="A1761">
        <v>55852</v>
      </c>
      <c r="B1761" t="s">
        <v>14</v>
      </c>
      <c r="C1761" t="s">
        <v>27</v>
      </c>
      <c r="D1761">
        <v>121</v>
      </c>
      <c r="E1761">
        <v>80</v>
      </c>
      <c r="F1761">
        <v>110.61</v>
      </c>
      <c r="G1761" t="s">
        <v>34</v>
      </c>
      <c r="H1761" s="1">
        <v>45651</v>
      </c>
      <c r="I1761" s="1">
        <v>45656</v>
      </c>
      <c r="J1761" t="s">
        <v>38</v>
      </c>
      <c r="K1761" t="b">
        <f>Table1[[#This Row],[CurrentStock]]&lt;Table1[[#This Row],[ReorderLevel]]</f>
        <v>0</v>
      </c>
      <c r="L1761" s="9">
        <f>Table1[[#This Row],[CurrentStock]]*Table1[[#This Row],[UnitPrice]]</f>
        <v>13383.81</v>
      </c>
      <c r="M1761" t="str">
        <f>IF(Table1[[#This Row],[ReorderLevel]]-Table1[[#This Row],[CurrentStock]]&gt;0,Table1[[#This Row],[ReorderLevel]]-Table1[[#This Row],[CurrentStock]],"")</f>
        <v/>
      </c>
      <c r="N1761" t="str">
        <f>IF(Table1[[#This Row],[CurrentStock]]&gt;Table1[[#This Row],[ReorderLevel]]*3,"Over Stock","Okay")</f>
        <v>Okay</v>
      </c>
      <c r="O1761" t="str">
        <f>IF(Table1[[#This Row],[CurrentStock]]&lt;Table1[[#This Row],[ReorderLevel]],"Reorder","Okay")</f>
        <v>Okay</v>
      </c>
    </row>
    <row r="1762" spans="1:15" x14ac:dyDescent="0.3">
      <c r="A1762">
        <v>35099</v>
      </c>
      <c r="B1762" t="s">
        <v>26</v>
      </c>
      <c r="C1762" t="s">
        <v>30</v>
      </c>
      <c r="D1762">
        <v>68</v>
      </c>
      <c r="E1762">
        <v>80</v>
      </c>
      <c r="F1762">
        <v>219.51</v>
      </c>
      <c r="G1762" t="s">
        <v>34</v>
      </c>
      <c r="H1762" s="1">
        <v>45635</v>
      </c>
      <c r="I1762" s="1">
        <v>45658</v>
      </c>
      <c r="J1762" t="s">
        <v>37</v>
      </c>
      <c r="K1762" t="b">
        <f>Table1[[#This Row],[CurrentStock]]&lt;Table1[[#This Row],[ReorderLevel]]</f>
        <v>1</v>
      </c>
      <c r="L1762" s="9">
        <f>Table1[[#This Row],[CurrentStock]]*Table1[[#This Row],[UnitPrice]]</f>
        <v>14926.68</v>
      </c>
      <c r="M1762">
        <f>IF(Table1[[#This Row],[ReorderLevel]]-Table1[[#This Row],[CurrentStock]]&gt;0,Table1[[#This Row],[ReorderLevel]]-Table1[[#This Row],[CurrentStock]],"")</f>
        <v>12</v>
      </c>
      <c r="N1762" t="str">
        <f>IF(Table1[[#This Row],[CurrentStock]]&gt;Table1[[#This Row],[ReorderLevel]]*3,"Over Stock","Okay")</f>
        <v>Okay</v>
      </c>
      <c r="O1762" t="str">
        <f>IF(Table1[[#This Row],[CurrentStock]]&lt;Table1[[#This Row],[ReorderLevel]],"Reorder","Okay")</f>
        <v>Reorder</v>
      </c>
    </row>
    <row r="1763" spans="1:15" x14ac:dyDescent="0.3">
      <c r="A1763">
        <v>31788</v>
      </c>
      <c r="B1763" t="s">
        <v>19</v>
      </c>
      <c r="C1763" t="s">
        <v>28</v>
      </c>
      <c r="D1763">
        <v>225</v>
      </c>
      <c r="E1763">
        <v>40</v>
      </c>
      <c r="F1763">
        <v>360.26</v>
      </c>
      <c r="G1763" t="s">
        <v>32</v>
      </c>
      <c r="H1763" s="1">
        <v>45478</v>
      </c>
      <c r="I1763" s="1">
        <v>45485</v>
      </c>
      <c r="J1763" t="s">
        <v>37</v>
      </c>
      <c r="K1763" t="b">
        <f>Table1[[#This Row],[CurrentStock]]&lt;Table1[[#This Row],[ReorderLevel]]</f>
        <v>0</v>
      </c>
      <c r="L1763" s="9">
        <f>Table1[[#This Row],[CurrentStock]]*Table1[[#This Row],[UnitPrice]]</f>
        <v>81058.5</v>
      </c>
      <c r="M1763" t="str">
        <f>IF(Table1[[#This Row],[ReorderLevel]]-Table1[[#This Row],[CurrentStock]]&gt;0,Table1[[#This Row],[ReorderLevel]]-Table1[[#This Row],[CurrentStock]],"")</f>
        <v/>
      </c>
      <c r="N1763" t="str">
        <f>IF(Table1[[#This Row],[CurrentStock]]&gt;Table1[[#This Row],[ReorderLevel]]*3,"Over Stock","Okay")</f>
        <v>Over Stock</v>
      </c>
      <c r="O1763" t="str">
        <f>IF(Table1[[#This Row],[CurrentStock]]&lt;Table1[[#This Row],[ReorderLevel]],"Reorder","Okay")</f>
        <v>Okay</v>
      </c>
    </row>
    <row r="1764" spans="1:15" x14ac:dyDescent="0.3">
      <c r="A1764">
        <v>75911</v>
      </c>
      <c r="B1764" t="s">
        <v>21</v>
      </c>
      <c r="C1764" t="s">
        <v>31</v>
      </c>
      <c r="D1764">
        <v>245</v>
      </c>
      <c r="E1764">
        <v>30</v>
      </c>
      <c r="F1764">
        <v>462.59</v>
      </c>
      <c r="G1764" t="s">
        <v>33</v>
      </c>
      <c r="H1764" s="1">
        <v>45442</v>
      </c>
      <c r="I1764" s="1">
        <v>45467</v>
      </c>
      <c r="J1764" t="s">
        <v>39</v>
      </c>
      <c r="K1764" t="b">
        <f>Table1[[#This Row],[CurrentStock]]&lt;Table1[[#This Row],[ReorderLevel]]</f>
        <v>0</v>
      </c>
      <c r="L1764" s="9">
        <f>Table1[[#This Row],[CurrentStock]]*Table1[[#This Row],[UnitPrice]]</f>
        <v>113334.54999999999</v>
      </c>
      <c r="M1764" t="str">
        <f>IF(Table1[[#This Row],[ReorderLevel]]-Table1[[#This Row],[CurrentStock]]&gt;0,Table1[[#This Row],[ReorderLevel]]-Table1[[#This Row],[CurrentStock]],"")</f>
        <v/>
      </c>
      <c r="N1764" t="str">
        <f>IF(Table1[[#This Row],[CurrentStock]]&gt;Table1[[#This Row],[ReorderLevel]]*3,"Over Stock","Okay")</f>
        <v>Over Stock</v>
      </c>
      <c r="O1764" t="str">
        <f>IF(Table1[[#This Row],[CurrentStock]]&lt;Table1[[#This Row],[ReorderLevel]],"Reorder","Okay")</f>
        <v>Okay</v>
      </c>
    </row>
    <row r="1765" spans="1:15" x14ac:dyDescent="0.3">
      <c r="A1765">
        <v>29984</v>
      </c>
      <c r="B1765" t="s">
        <v>17</v>
      </c>
      <c r="C1765" t="s">
        <v>30</v>
      </c>
      <c r="D1765">
        <v>150</v>
      </c>
      <c r="E1765">
        <v>50</v>
      </c>
      <c r="F1765">
        <v>14.07</v>
      </c>
      <c r="G1765" t="s">
        <v>32</v>
      </c>
      <c r="H1765" s="1">
        <v>45548</v>
      </c>
      <c r="I1765" s="1">
        <v>45567</v>
      </c>
      <c r="J1765" t="s">
        <v>38</v>
      </c>
      <c r="K1765" t="b">
        <f>Table1[[#This Row],[CurrentStock]]&lt;Table1[[#This Row],[ReorderLevel]]</f>
        <v>0</v>
      </c>
      <c r="L1765" s="9">
        <f>Table1[[#This Row],[CurrentStock]]*Table1[[#This Row],[UnitPrice]]</f>
        <v>2110.5</v>
      </c>
      <c r="M1765" t="str">
        <f>IF(Table1[[#This Row],[ReorderLevel]]-Table1[[#This Row],[CurrentStock]]&gt;0,Table1[[#This Row],[ReorderLevel]]-Table1[[#This Row],[CurrentStock]],"")</f>
        <v/>
      </c>
      <c r="N1765" t="str">
        <f>IF(Table1[[#This Row],[CurrentStock]]&gt;Table1[[#This Row],[ReorderLevel]]*3,"Over Stock","Okay")</f>
        <v>Okay</v>
      </c>
      <c r="O1765" t="str">
        <f>IF(Table1[[#This Row],[CurrentStock]]&lt;Table1[[#This Row],[ReorderLevel]],"Reorder","Okay")</f>
        <v>Okay</v>
      </c>
    </row>
    <row r="1766" spans="1:15" x14ac:dyDescent="0.3">
      <c r="A1766">
        <v>48516</v>
      </c>
      <c r="B1766" t="s">
        <v>13</v>
      </c>
      <c r="C1766" t="s">
        <v>29</v>
      </c>
      <c r="D1766">
        <v>305</v>
      </c>
      <c r="E1766">
        <v>50</v>
      </c>
      <c r="F1766">
        <v>262.94</v>
      </c>
      <c r="G1766" t="s">
        <v>36</v>
      </c>
      <c r="H1766" s="1">
        <v>45656</v>
      </c>
      <c r="I1766" s="1">
        <v>45666</v>
      </c>
      <c r="J1766" t="s">
        <v>38</v>
      </c>
      <c r="K1766" t="b">
        <f>Table1[[#This Row],[CurrentStock]]&lt;Table1[[#This Row],[ReorderLevel]]</f>
        <v>0</v>
      </c>
      <c r="L1766" s="9">
        <f>Table1[[#This Row],[CurrentStock]]*Table1[[#This Row],[UnitPrice]]</f>
        <v>80196.7</v>
      </c>
      <c r="M1766" t="str">
        <f>IF(Table1[[#This Row],[ReorderLevel]]-Table1[[#This Row],[CurrentStock]]&gt;0,Table1[[#This Row],[ReorderLevel]]-Table1[[#This Row],[CurrentStock]],"")</f>
        <v/>
      </c>
      <c r="N1766" t="str">
        <f>IF(Table1[[#This Row],[CurrentStock]]&gt;Table1[[#This Row],[ReorderLevel]]*3,"Over Stock","Okay")</f>
        <v>Over Stock</v>
      </c>
      <c r="O1766" t="str">
        <f>IF(Table1[[#This Row],[CurrentStock]]&lt;Table1[[#This Row],[ReorderLevel]],"Reorder","Okay")</f>
        <v>Okay</v>
      </c>
    </row>
    <row r="1767" spans="1:15" x14ac:dyDescent="0.3">
      <c r="A1767">
        <v>74198</v>
      </c>
      <c r="B1767" t="s">
        <v>18</v>
      </c>
      <c r="C1767" t="s">
        <v>28</v>
      </c>
      <c r="D1767">
        <v>434</v>
      </c>
      <c r="E1767">
        <v>100</v>
      </c>
      <c r="F1767">
        <v>412.78</v>
      </c>
      <c r="G1767" t="s">
        <v>34</v>
      </c>
      <c r="H1767" s="1">
        <v>45462</v>
      </c>
      <c r="I1767" s="1">
        <v>45493</v>
      </c>
      <c r="J1767" t="s">
        <v>38</v>
      </c>
      <c r="K1767" t="b">
        <f>Table1[[#This Row],[CurrentStock]]&lt;Table1[[#This Row],[ReorderLevel]]</f>
        <v>0</v>
      </c>
      <c r="L1767" s="9">
        <f>Table1[[#This Row],[CurrentStock]]*Table1[[#This Row],[UnitPrice]]</f>
        <v>179146.52</v>
      </c>
      <c r="M1767" t="str">
        <f>IF(Table1[[#This Row],[ReorderLevel]]-Table1[[#This Row],[CurrentStock]]&gt;0,Table1[[#This Row],[ReorderLevel]]-Table1[[#This Row],[CurrentStock]],"")</f>
        <v/>
      </c>
      <c r="N1767" t="str">
        <f>IF(Table1[[#This Row],[CurrentStock]]&gt;Table1[[#This Row],[ReorderLevel]]*3,"Over Stock","Okay")</f>
        <v>Over Stock</v>
      </c>
      <c r="O1767" t="str">
        <f>IF(Table1[[#This Row],[CurrentStock]]&lt;Table1[[#This Row],[ReorderLevel]],"Reorder","Okay")</f>
        <v>Okay</v>
      </c>
    </row>
    <row r="1768" spans="1:15" x14ac:dyDescent="0.3">
      <c r="A1768">
        <v>81895</v>
      </c>
      <c r="B1768" t="s">
        <v>24</v>
      </c>
      <c r="C1768" t="s">
        <v>31</v>
      </c>
      <c r="D1768">
        <v>96</v>
      </c>
      <c r="E1768">
        <v>20</v>
      </c>
      <c r="F1768">
        <v>349.65</v>
      </c>
      <c r="G1768" t="s">
        <v>36</v>
      </c>
      <c r="H1768" s="1">
        <v>45392</v>
      </c>
      <c r="I1768" s="1">
        <v>45419</v>
      </c>
      <c r="J1768" t="s">
        <v>39</v>
      </c>
      <c r="K1768" t="b">
        <f>Table1[[#This Row],[CurrentStock]]&lt;Table1[[#This Row],[ReorderLevel]]</f>
        <v>0</v>
      </c>
      <c r="L1768" s="9">
        <f>Table1[[#This Row],[CurrentStock]]*Table1[[#This Row],[UnitPrice]]</f>
        <v>33566.399999999994</v>
      </c>
      <c r="M1768" t="str">
        <f>IF(Table1[[#This Row],[ReorderLevel]]-Table1[[#This Row],[CurrentStock]]&gt;0,Table1[[#This Row],[ReorderLevel]]-Table1[[#This Row],[CurrentStock]],"")</f>
        <v/>
      </c>
      <c r="N1768" t="str">
        <f>IF(Table1[[#This Row],[CurrentStock]]&gt;Table1[[#This Row],[ReorderLevel]]*3,"Over Stock","Okay")</f>
        <v>Over Stock</v>
      </c>
      <c r="O1768" t="str">
        <f>IF(Table1[[#This Row],[CurrentStock]]&lt;Table1[[#This Row],[ReorderLevel]],"Reorder","Okay")</f>
        <v>Okay</v>
      </c>
    </row>
    <row r="1769" spans="1:15" x14ac:dyDescent="0.3">
      <c r="A1769">
        <v>51936</v>
      </c>
      <c r="B1769" t="s">
        <v>15</v>
      </c>
      <c r="C1769" t="s">
        <v>29</v>
      </c>
      <c r="D1769">
        <v>282</v>
      </c>
      <c r="E1769">
        <v>100</v>
      </c>
      <c r="F1769">
        <v>376.42</v>
      </c>
      <c r="G1769" t="s">
        <v>36</v>
      </c>
      <c r="H1769" s="1">
        <v>45336</v>
      </c>
      <c r="I1769" s="1">
        <v>45363</v>
      </c>
      <c r="J1769" t="s">
        <v>37</v>
      </c>
      <c r="K1769" t="b">
        <f>Table1[[#This Row],[CurrentStock]]&lt;Table1[[#This Row],[ReorderLevel]]</f>
        <v>0</v>
      </c>
      <c r="L1769" s="9">
        <f>Table1[[#This Row],[CurrentStock]]*Table1[[#This Row],[UnitPrice]]</f>
        <v>106150.44</v>
      </c>
      <c r="M1769" t="str">
        <f>IF(Table1[[#This Row],[ReorderLevel]]-Table1[[#This Row],[CurrentStock]]&gt;0,Table1[[#This Row],[ReorderLevel]]-Table1[[#This Row],[CurrentStock]],"")</f>
        <v/>
      </c>
      <c r="N1769" t="str">
        <f>IF(Table1[[#This Row],[CurrentStock]]&gt;Table1[[#This Row],[ReorderLevel]]*3,"Over Stock","Okay")</f>
        <v>Okay</v>
      </c>
      <c r="O1769" t="str">
        <f>IF(Table1[[#This Row],[CurrentStock]]&lt;Table1[[#This Row],[ReorderLevel]],"Reorder","Okay")</f>
        <v>Okay</v>
      </c>
    </row>
    <row r="1770" spans="1:15" x14ac:dyDescent="0.3">
      <c r="A1770">
        <v>92298</v>
      </c>
      <c r="B1770" t="s">
        <v>13</v>
      </c>
      <c r="C1770" t="s">
        <v>29</v>
      </c>
      <c r="D1770">
        <v>260</v>
      </c>
      <c r="E1770">
        <v>100</v>
      </c>
      <c r="F1770">
        <v>480.91</v>
      </c>
      <c r="G1770" t="s">
        <v>33</v>
      </c>
      <c r="H1770" s="1">
        <v>45340</v>
      </c>
      <c r="I1770" s="1">
        <v>45350</v>
      </c>
      <c r="J1770" t="s">
        <v>39</v>
      </c>
      <c r="K1770" t="b">
        <f>Table1[[#This Row],[CurrentStock]]&lt;Table1[[#This Row],[ReorderLevel]]</f>
        <v>0</v>
      </c>
      <c r="L1770" s="9">
        <f>Table1[[#This Row],[CurrentStock]]*Table1[[#This Row],[UnitPrice]]</f>
        <v>125036.6</v>
      </c>
      <c r="M1770" t="str">
        <f>IF(Table1[[#This Row],[ReorderLevel]]-Table1[[#This Row],[CurrentStock]]&gt;0,Table1[[#This Row],[ReorderLevel]]-Table1[[#This Row],[CurrentStock]],"")</f>
        <v/>
      </c>
      <c r="N1770" t="str">
        <f>IF(Table1[[#This Row],[CurrentStock]]&gt;Table1[[#This Row],[ReorderLevel]]*3,"Over Stock","Okay")</f>
        <v>Okay</v>
      </c>
      <c r="O1770" t="str">
        <f>IF(Table1[[#This Row],[CurrentStock]]&lt;Table1[[#This Row],[ReorderLevel]],"Reorder","Okay")</f>
        <v>Okay</v>
      </c>
    </row>
    <row r="1771" spans="1:15" x14ac:dyDescent="0.3">
      <c r="A1771">
        <v>26689</v>
      </c>
      <c r="B1771" t="s">
        <v>12</v>
      </c>
      <c r="C1771" t="s">
        <v>28</v>
      </c>
      <c r="D1771">
        <v>211</v>
      </c>
      <c r="E1771">
        <v>50</v>
      </c>
      <c r="F1771">
        <v>466.96</v>
      </c>
      <c r="G1771" t="s">
        <v>34</v>
      </c>
      <c r="H1771" s="1">
        <v>45463</v>
      </c>
      <c r="I1771" s="1">
        <v>45489</v>
      </c>
      <c r="J1771" t="s">
        <v>39</v>
      </c>
      <c r="K1771" t="b">
        <f>Table1[[#This Row],[CurrentStock]]&lt;Table1[[#This Row],[ReorderLevel]]</f>
        <v>0</v>
      </c>
      <c r="L1771" s="9">
        <f>Table1[[#This Row],[CurrentStock]]*Table1[[#This Row],[UnitPrice]]</f>
        <v>98528.56</v>
      </c>
      <c r="M1771" t="str">
        <f>IF(Table1[[#This Row],[ReorderLevel]]-Table1[[#This Row],[CurrentStock]]&gt;0,Table1[[#This Row],[ReorderLevel]]-Table1[[#This Row],[CurrentStock]],"")</f>
        <v/>
      </c>
      <c r="N1771" t="str">
        <f>IF(Table1[[#This Row],[CurrentStock]]&gt;Table1[[#This Row],[ReorderLevel]]*3,"Over Stock","Okay")</f>
        <v>Over Stock</v>
      </c>
      <c r="O1771" t="str">
        <f>IF(Table1[[#This Row],[CurrentStock]]&lt;Table1[[#This Row],[ReorderLevel]],"Reorder","Okay")</f>
        <v>Okay</v>
      </c>
    </row>
    <row r="1772" spans="1:15" x14ac:dyDescent="0.3">
      <c r="A1772">
        <v>85519</v>
      </c>
      <c r="B1772" t="s">
        <v>22</v>
      </c>
      <c r="C1772" t="s">
        <v>27</v>
      </c>
      <c r="D1772">
        <v>441</v>
      </c>
      <c r="E1772">
        <v>150</v>
      </c>
      <c r="F1772">
        <v>473.65</v>
      </c>
      <c r="G1772" t="s">
        <v>34</v>
      </c>
      <c r="H1772" s="1">
        <v>45409</v>
      </c>
      <c r="I1772" s="1">
        <v>45444</v>
      </c>
      <c r="J1772" t="s">
        <v>38</v>
      </c>
      <c r="K1772" t="b">
        <f>Table1[[#This Row],[CurrentStock]]&lt;Table1[[#This Row],[ReorderLevel]]</f>
        <v>0</v>
      </c>
      <c r="L1772" s="9">
        <f>Table1[[#This Row],[CurrentStock]]*Table1[[#This Row],[UnitPrice]]</f>
        <v>208879.65</v>
      </c>
      <c r="M1772" t="str">
        <f>IF(Table1[[#This Row],[ReorderLevel]]-Table1[[#This Row],[CurrentStock]]&gt;0,Table1[[#This Row],[ReorderLevel]]-Table1[[#This Row],[CurrentStock]],"")</f>
        <v/>
      </c>
      <c r="N1772" t="str">
        <f>IF(Table1[[#This Row],[CurrentStock]]&gt;Table1[[#This Row],[ReorderLevel]]*3,"Over Stock","Okay")</f>
        <v>Okay</v>
      </c>
      <c r="O1772" t="str">
        <f>IF(Table1[[#This Row],[CurrentStock]]&lt;Table1[[#This Row],[ReorderLevel]],"Reorder","Okay")</f>
        <v>Okay</v>
      </c>
    </row>
    <row r="1773" spans="1:15" x14ac:dyDescent="0.3">
      <c r="A1773">
        <v>29504</v>
      </c>
      <c r="B1773" t="s">
        <v>22</v>
      </c>
      <c r="C1773" t="s">
        <v>27</v>
      </c>
      <c r="D1773">
        <v>205</v>
      </c>
      <c r="E1773">
        <v>30</v>
      </c>
      <c r="F1773">
        <v>480.06</v>
      </c>
      <c r="G1773" t="s">
        <v>32</v>
      </c>
      <c r="H1773" s="1">
        <v>45351</v>
      </c>
      <c r="I1773" s="1">
        <v>45365</v>
      </c>
      <c r="J1773" t="s">
        <v>37</v>
      </c>
      <c r="K1773" t="b">
        <f>Table1[[#This Row],[CurrentStock]]&lt;Table1[[#This Row],[ReorderLevel]]</f>
        <v>0</v>
      </c>
      <c r="L1773" s="9">
        <f>Table1[[#This Row],[CurrentStock]]*Table1[[#This Row],[UnitPrice]]</f>
        <v>98412.3</v>
      </c>
      <c r="M1773" t="str">
        <f>IF(Table1[[#This Row],[ReorderLevel]]-Table1[[#This Row],[CurrentStock]]&gt;0,Table1[[#This Row],[ReorderLevel]]-Table1[[#This Row],[CurrentStock]],"")</f>
        <v/>
      </c>
      <c r="N1773" t="str">
        <f>IF(Table1[[#This Row],[CurrentStock]]&gt;Table1[[#This Row],[ReorderLevel]]*3,"Over Stock","Okay")</f>
        <v>Over Stock</v>
      </c>
      <c r="O1773" t="str">
        <f>IF(Table1[[#This Row],[CurrentStock]]&lt;Table1[[#This Row],[ReorderLevel]],"Reorder","Okay")</f>
        <v>Okay</v>
      </c>
    </row>
    <row r="1774" spans="1:15" x14ac:dyDescent="0.3">
      <c r="A1774">
        <v>51745</v>
      </c>
      <c r="B1774" t="s">
        <v>22</v>
      </c>
      <c r="C1774" t="s">
        <v>27</v>
      </c>
      <c r="D1774">
        <v>178</v>
      </c>
      <c r="E1774">
        <v>20</v>
      </c>
      <c r="F1774">
        <v>478.61</v>
      </c>
      <c r="G1774" t="s">
        <v>34</v>
      </c>
      <c r="H1774" s="1">
        <v>45600</v>
      </c>
      <c r="I1774" s="1">
        <v>45635</v>
      </c>
      <c r="J1774" t="s">
        <v>39</v>
      </c>
      <c r="K1774" t="b">
        <f>Table1[[#This Row],[CurrentStock]]&lt;Table1[[#This Row],[ReorderLevel]]</f>
        <v>0</v>
      </c>
      <c r="L1774" s="9">
        <f>Table1[[#This Row],[CurrentStock]]*Table1[[#This Row],[UnitPrice]]</f>
        <v>85192.58</v>
      </c>
      <c r="M1774" t="str">
        <f>IF(Table1[[#This Row],[ReorderLevel]]-Table1[[#This Row],[CurrentStock]]&gt;0,Table1[[#This Row],[ReorderLevel]]-Table1[[#This Row],[CurrentStock]],"")</f>
        <v/>
      </c>
      <c r="N1774" t="str">
        <f>IF(Table1[[#This Row],[CurrentStock]]&gt;Table1[[#This Row],[ReorderLevel]]*3,"Over Stock","Okay")</f>
        <v>Over Stock</v>
      </c>
      <c r="O1774" t="str">
        <f>IF(Table1[[#This Row],[CurrentStock]]&lt;Table1[[#This Row],[ReorderLevel]],"Reorder","Okay")</f>
        <v>Okay</v>
      </c>
    </row>
    <row r="1775" spans="1:15" x14ac:dyDescent="0.3">
      <c r="A1775">
        <v>21230</v>
      </c>
      <c r="B1775" t="s">
        <v>19</v>
      </c>
      <c r="C1775" t="s">
        <v>28</v>
      </c>
      <c r="D1775">
        <v>494</v>
      </c>
      <c r="E1775">
        <v>150</v>
      </c>
      <c r="F1775">
        <v>439.04</v>
      </c>
      <c r="G1775" t="s">
        <v>32</v>
      </c>
      <c r="H1775" s="1">
        <v>45550</v>
      </c>
      <c r="I1775" s="1">
        <v>45560</v>
      </c>
      <c r="J1775" t="s">
        <v>39</v>
      </c>
      <c r="K1775" t="b">
        <f>Table1[[#This Row],[CurrentStock]]&lt;Table1[[#This Row],[ReorderLevel]]</f>
        <v>0</v>
      </c>
      <c r="L1775" s="9">
        <f>Table1[[#This Row],[CurrentStock]]*Table1[[#This Row],[UnitPrice]]</f>
        <v>216885.76000000001</v>
      </c>
      <c r="M1775" t="str">
        <f>IF(Table1[[#This Row],[ReorderLevel]]-Table1[[#This Row],[CurrentStock]]&gt;0,Table1[[#This Row],[ReorderLevel]]-Table1[[#This Row],[CurrentStock]],"")</f>
        <v/>
      </c>
      <c r="N1775" t="str">
        <f>IF(Table1[[#This Row],[CurrentStock]]&gt;Table1[[#This Row],[ReorderLevel]]*3,"Over Stock","Okay")</f>
        <v>Over Stock</v>
      </c>
      <c r="O1775" t="str">
        <f>IF(Table1[[#This Row],[CurrentStock]]&lt;Table1[[#This Row],[ReorderLevel]],"Reorder","Okay")</f>
        <v>Okay</v>
      </c>
    </row>
    <row r="1776" spans="1:15" x14ac:dyDescent="0.3">
      <c r="A1776">
        <v>24962</v>
      </c>
      <c r="B1776" t="s">
        <v>20</v>
      </c>
      <c r="C1776" t="s">
        <v>29</v>
      </c>
      <c r="D1776">
        <v>145</v>
      </c>
      <c r="E1776">
        <v>100</v>
      </c>
      <c r="F1776">
        <v>466.15</v>
      </c>
      <c r="G1776" t="s">
        <v>32</v>
      </c>
      <c r="H1776" s="1">
        <v>45352</v>
      </c>
      <c r="I1776" s="1">
        <v>45382</v>
      </c>
      <c r="J1776" t="s">
        <v>37</v>
      </c>
      <c r="K1776" t="b">
        <f>Table1[[#This Row],[CurrentStock]]&lt;Table1[[#This Row],[ReorderLevel]]</f>
        <v>0</v>
      </c>
      <c r="L1776" s="9">
        <f>Table1[[#This Row],[CurrentStock]]*Table1[[#This Row],[UnitPrice]]</f>
        <v>67591.75</v>
      </c>
      <c r="M1776" t="str">
        <f>IF(Table1[[#This Row],[ReorderLevel]]-Table1[[#This Row],[CurrentStock]]&gt;0,Table1[[#This Row],[ReorderLevel]]-Table1[[#This Row],[CurrentStock]],"")</f>
        <v/>
      </c>
      <c r="N1776" t="str">
        <f>IF(Table1[[#This Row],[CurrentStock]]&gt;Table1[[#This Row],[ReorderLevel]]*3,"Over Stock","Okay")</f>
        <v>Okay</v>
      </c>
      <c r="O1776" t="str">
        <f>IF(Table1[[#This Row],[CurrentStock]]&lt;Table1[[#This Row],[ReorderLevel]],"Reorder","Okay")</f>
        <v>Okay</v>
      </c>
    </row>
    <row r="1777" spans="1:15" x14ac:dyDescent="0.3">
      <c r="A1777">
        <v>93040</v>
      </c>
      <c r="B1777" t="s">
        <v>16</v>
      </c>
      <c r="C1777" t="s">
        <v>30</v>
      </c>
      <c r="D1777">
        <v>20</v>
      </c>
      <c r="E1777">
        <v>40</v>
      </c>
      <c r="F1777">
        <v>415.16</v>
      </c>
      <c r="G1777" t="s">
        <v>35</v>
      </c>
      <c r="H1777" s="1">
        <v>45318</v>
      </c>
      <c r="I1777" s="1">
        <v>45331</v>
      </c>
      <c r="J1777" t="s">
        <v>39</v>
      </c>
      <c r="K1777" t="b">
        <f>Table1[[#This Row],[CurrentStock]]&lt;Table1[[#This Row],[ReorderLevel]]</f>
        <v>1</v>
      </c>
      <c r="L1777" s="9">
        <f>Table1[[#This Row],[CurrentStock]]*Table1[[#This Row],[UnitPrice]]</f>
        <v>8303.2000000000007</v>
      </c>
      <c r="M1777">
        <f>IF(Table1[[#This Row],[ReorderLevel]]-Table1[[#This Row],[CurrentStock]]&gt;0,Table1[[#This Row],[ReorderLevel]]-Table1[[#This Row],[CurrentStock]],"")</f>
        <v>20</v>
      </c>
      <c r="N1777" t="str">
        <f>IF(Table1[[#This Row],[CurrentStock]]&gt;Table1[[#This Row],[ReorderLevel]]*3,"Over Stock","Okay")</f>
        <v>Okay</v>
      </c>
      <c r="O1777" t="str">
        <f>IF(Table1[[#This Row],[CurrentStock]]&lt;Table1[[#This Row],[ReorderLevel]],"Reorder","Okay")</f>
        <v>Reorder</v>
      </c>
    </row>
    <row r="1778" spans="1:15" x14ac:dyDescent="0.3">
      <c r="A1778">
        <v>63648</v>
      </c>
      <c r="B1778" t="s">
        <v>11</v>
      </c>
      <c r="C1778" t="s">
        <v>27</v>
      </c>
      <c r="D1778">
        <v>298</v>
      </c>
      <c r="E1778">
        <v>150</v>
      </c>
      <c r="F1778">
        <v>279.01</v>
      </c>
      <c r="G1778" t="s">
        <v>33</v>
      </c>
      <c r="H1778" s="1">
        <v>45503</v>
      </c>
      <c r="I1778" s="1">
        <v>45519</v>
      </c>
      <c r="J1778" t="s">
        <v>39</v>
      </c>
      <c r="K1778" t="b">
        <f>Table1[[#This Row],[CurrentStock]]&lt;Table1[[#This Row],[ReorderLevel]]</f>
        <v>0</v>
      </c>
      <c r="L1778" s="9">
        <f>Table1[[#This Row],[CurrentStock]]*Table1[[#This Row],[UnitPrice]]</f>
        <v>83144.98</v>
      </c>
      <c r="M1778" t="str">
        <f>IF(Table1[[#This Row],[ReorderLevel]]-Table1[[#This Row],[CurrentStock]]&gt;0,Table1[[#This Row],[ReorderLevel]]-Table1[[#This Row],[CurrentStock]],"")</f>
        <v/>
      </c>
      <c r="N1778" t="str">
        <f>IF(Table1[[#This Row],[CurrentStock]]&gt;Table1[[#This Row],[ReorderLevel]]*3,"Over Stock","Okay")</f>
        <v>Okay</v>
      </c>
      <c r="O1778" t="str">
        <f>IF(Table1[[#This Row],[CurrentStock]]&lt;Table1[[#This Row],[ReorderLevel]],"Reorder","Okay")</f>
        <v>Okay</v>
      </c>
    </row>
    <row r="1779" spans="1:15" x14ac:dyDescent="0.3">
      <c r="A1779">
        <v>78993</v>
      </c>
      <c r="B1779" t="s">
        <v>11</v>
      </c>
      <c r="C1779" t="s">
        <v>27</v>
      </c>
      <c r="D1779">
        <v>97</v>
      </c>
      <c r="E1779">
        <v>100</v>
      </c>
      <c r="F1779">
        <v>278.72000000000003</v>
      </c>
      <c r="G1779" t="s">
        <v>35</v>
      </c>
      <c r="H1779" s="1">
        <v>45319</v>
      </c>
      <c r="I1779" s="1">
        <v>45332</v>
      </c>
      <c r="J1779" t="s">
        <v>39</v>
      </c>
      <c r="K1779" t="b">
        <f>Table1[[#This Row],[CurrentStock]]&lt;Table1[[#This Row],[ReorderLevel]]</f>
        <v>1</v>
      </c>
      <c r="L1779" s="9">
        <f>Table1[[#This Row],[CurrentStock]]*Table1[[#This Row],[UnitPrice]]</f>
        <v>27035.840000000004</v>
      </c>
      <c r="M1779">
        <f>IF(Table1[[#This Row],[ReorderLevel]]-Table1[[#This Row],[CurrentStock]]&gt;0,Table1[[#This Row],[ReorderLevel]]-Table1[[#This Row],[CurrentStock]],"")</f>
        <v>3</v>
      </c>
      <c r="N1779" t="str">
        <f>IF(Table1[[#This Row],[CurrentStock]]&gt;Table1[[#This Row],[ReorderLevel]]*3,"Over Stock","Okay")</f>
        <v>Okay</v>
      </c>
      <c r="O1779" t="str">
        <f>IF(Table1[[#This Row],[CurrentStock]]&lt;Table1[[#This Row],[ReorderLevel]],"Reorder","Okay")</f>
        <v>Reorder</v>
      </c>
    </row>
    <row r="1780" spans="1:15" x14ac:dyDescent="0.3">
      <c r="A1780">
        <v>62330</v>
      </c>
      <c r="B1780" t="s">
        <v>24</v>
      </c>
      <c r="C1780" t="s">
        <v>31</v>
      </c>
      <c r="D1780">
        <v>286</v>
      </c>
      <c r="E1780">
        <v>30</v>
      </c>
      <c r="F1780">
        <v>477.06</v>
      </c>
      <c r="G1780" t="s">
        <v>35</v>
      </c>
      <c r="H1780" s="1">
        <v>45310</v>
      </c>
      <c r="I1780" s="1">
        <v>45331</v>
      </c>
      <c r="J1780" t="s">
        <v>39</v>
      </c>
      <c r="K1780" t="b">
        <f>Table1[[#This Row],[CurrentStock]]&lt;Table1[[#This Row],[ReorderLevel]]</f>
        <v>0</v>
      </c>
      <c r="L1780" s="9">
        <f>Table1[[#This Row],[CurrentStock]]*Table1[[#This Row],[UnitPrice]]</f>
        <v>136439.16</v>
      </c>
      <c r="M1780" t="str">
        <f>IF(Table1[[#This Row],[ReorderLevel]]-Table1[[#This Row],[CurrentStock]]&gt;0,Table1[[#This Row],[ReorderLevel]]-Table1[[#This Row],[CurrentStock]],"")</f>
        <v/>
      </c>
      <c r="N1780" t="str">
        <f>IF(Table1[[#This Row],[CurrentStock]]&gt;Table1[[#This Row],[ReorderLevel]]*3,"Over Stock","Okay")</f>
        <v>Over Stock</v>
      </c>
      <c r="O1780" t="str">
        <f>IF(Table1[[#This Row],[CurrentStock]]&lt;Table1[[#This Row],[ReorderLevel]],"Reorder","Okay")</f>
        <v>Okay</v>
      </c>
    </row>
    <row r="1781" spans="1:15" x14ac:dyDescent="0.3">
      <c r="A1781">
        <v>31883</v>
      </c>
      <c r="B1781" t="s">
        <v>25</v>
      </c>
      <c r="C1781" t="s">
        <v>31</v>
      </c>
      <c r="D1781">
        <v>411</v>
      </c>
      <c r="E1781">
        <v>100</v>
      </c>
      <c r="F1781">
        <v>246.07</v>
      </c>
      <c r="G1781" t="s">
        <v>32</v>
      </c>
      <c r="H1781" s="1">
        <v>45414</v>
      </c>
      <c r="I1781" s="1">
        <v>45419</v>
      </c>
      <c r="J1781" t="s">
        <v>38</v>
      </c>
      <c r="K1781" t="b">
        <f>Table1[[#This Row],[CurrentStock]]&lt;Table1[[#This Row],[ReorderLevel]]</f>
        <v>0</v>
      </c>
      <c r="L1781" s="9">
        <f>Table1[[#This Row],[CurrentStock]]*Table1[[#This Row],[UnitPrice]]</f>
        <v>101134.77</v>
      </c>
      <c r="M1781" t="str">
        <f>IF(Table1[[#This Row],[ReorderLevel]]-Table1[[#This Row],[CurrentStock]]&gt;0,Table1[[#This Row],[ReorderLevel]]-Table1[[#This Row],[CurrentStock]],"")</f>
        <v/>
      </c>
      <c r="N1781" t="str">
        <f>IF(Table1[[#This Row],[CurrentStock]]&gt;Table1[[#This Row],[ReorderLevel]]*3,"Over Stock","Okay")</f>
        <v>Over Stock</v>
      </c>
      <c r="O1781" t="str">
        <f>IF(Table1[[#This Row],[CurrentStock]]&lt;Table1[[#This Row],[ReorderLevel]],"Reorder","Okay")</f>
        <v>Okay</v>
      </c>
    </row>
    <row r="1782" spans="1:15" x14ac:dyDescent="0.3">
      <c r="A1782">
        <v>61319</v>
      </c>
      <c r="B1782" t="s">
        <v>14</v>
      </c>
      <c r="C1782" t="s">
        <v>27</v>
      </c>
      <c r="D1782">
        <v>20</v>
      </c>
      <c r="E1782">
        <v>80</v>
      </c>
      <c r="F1782">
        <v>102.32</v>
      </c>
      <c r="G1782" t="s">
        <v>35</v>
      </c>
      <c r="H1782" s="1">
        <v>45497</v>
      </c>
      <c r="I1782" s="1">
        <v>45516</v>
      </c>
      <c r="J1782" t="s">
        <v>38</v>
      </c>
      <c r="K1782" t="b">
        <f>Table1[[#This Row],[CurrentStock]]&lt;Table1[[#This Row],[ReorderLevel]]</f>
        <v>1</v>
      </c>
      <c r="L1782" s="9">
        <f>Table1[[#This Row],[CurrentStock]]*Table1[[#This Row],[UnitPrice]]</f>
        <v>2046.3999999999999</v>
      </c>
      <c r="M1782">
        <f>IF(Table1[[#This Row],[ReorderLevel]]-Table1[[#This Row],[CurrentStock]]&gt;0,Table1[[#This Row],[ReorderLevel]]-Table1[[#This Row],[CurrentStock]],"")</f>
        <v>60</v>
      </c>
      <c r="N1782" t="str">
        <f>IF(Table1[[#This Row],[CurrentStock]]&gt;Table1[[#This Row],[ReorderLevel]]*3,"Over Stock","Okay")</f>
        <v>Okay</v>
      </c>
      <c r="O1782" t="str">
        <f>IF(Table1[[#This Row],[CurrentStock]]&lt;Table1[[#This Row],[ReorderLevel]],"Reorder","Okay")</f>
        <v>Reorder</v>
      </c>
    </row>
    <row r="1783" spans="1:15" x14ac:dyDescent="0.3">
      <c r="A1783">
        <v>43971</v>
      </c>
      <c r="B1783" t="s">
        <v>26</v>
      </c>
      <c r="C1783" t="s">
        <v>30</v>
      </c>
      <c r="D1783">
        <v>311</v>
      </c>
      <c r="E1783">
        <v>30</v>
      </c>
      <c r="F1783">
        <v>407.49</v>
      </c>
      <c r="G1783" t="s">
        <v>35</v>
      </c>
      <c r="H1783" s="1">
        <v>45611</v>
      </c>
      <c r="I1783" s="1">
        <v>45623</v>
      </c>
      <c r="J1783" t="s">
        <v>37</v>
      </c>
      <c r="K1783" t="b">
        <f>Table1[[#This Row],[CurrentStock]]&lt;Table1[[#This Row],[ReorderLevel]]</f>
        <v>0</v>
      </c>
      <c r="L1783" s="9">
        <f>Table1[[#This Row],[CurrentStock]]*Table1[[#This Row],[UnitPrice]]</f>
        <v>126729.39</v>
      </c>
      <c r="M1783" t="str">
        <f>IF(Table1[[#This Row],[ReorderLevel]]-Table1[[#This Row],[CurrentStock]]&gt;0,Table1[[#This Row],[ReorderLevel]]-Table1[[#This Row],[CurrentStock]],"")</f>
        <v/>
      </c>
      <c r="N1783" t="str">
        <f>IF(Table1[[#This Row],[CurrentStock]]&gt;Table1[[#This Row],[ReorderLevel]]*3,"Over Stock","Okay")</f>
        <v>Over Stock</v>
      </c>
      <c r="O1783" t="str">
        <f>IF(Table1[[#This Row],[CurrentStock]]&lt;Table1[[#This Row],[ReorderLevel]],"Reorder","Okay")</f>
        <v>Okay</v>
      </c>
    </row>
    <row r="1784" spans="1:15" x14ac:dyDescent="0.3">
      <c r="A1784">
        <v>30114</v>
      </c>
      <c r="B1784" t="s">
        <v>21</v>
      </c>
      <c r="C1784" t="s">
        <v>31</v>
      </c>
      <c r="D1784">
        <v>200</v>
      </c>
      <c r="E1784">
        <v>100</v>
      </c>
      <c r="F1784">
        <v>125.75</v>
      </c>
      <c r="G1784" t="s">
        <v>32</v>
      </c>
      <c r="H1784" s="1">
        <v>45510</v>
      </c>
      <c r="I1784" s="1">
        <v>45545</v>
      </c>
      <c r="J1784" t="s">
        <v>39</v>
      </c>
      <c r="K1784" t="b">
        <f>Table1[[#This Row],[CurrentStock]]&lt;Table1[[#This Row],[ReorderLevel]]</f>
        <v>0</v>
      </c>
      <c r="L1784" s="9">
        <f>Table1[[#This Row],[CurrentStock]]*Table1[[#This Row],[UnitPrice]]</f>
        <v>25150</v>
      </c>
      <c r="M1784" t="str">
        <f>IF(Table1[[#This Row],[ReorderLevel]]-Table1[[#This Row],[CurrentStock]]&gt;0,Table1[[#This Row],[ReorderLevel]]-Table1[[#This Row],[CurrentStock]],"")</f>
        <v/>
      </c>
      <c r="N1784" t="str">
        <f>IF(Table1[[#This Row],[CurrentStock]]&gt;Table1[[#This Row],[ReorderLevel]]*3,"Over Stock","Okay")</f>
        <v>Okay</v>
      </c>
      <c r="O1784" t="str">
        <f>IF(Table1[[#This Row],[CurrentStock]]&lt;Table1[[#This Row],[ReorderLevel]],"Reorder","Okay")</f>
        <v>Okay</v>
      </c>
    </row>
    <row r="1785" spans="1:15" x14ac:dyDescent="0.3">
      <c r="A1785">
        <v>48973</v>
      </c>
      <c r="B1785" t="s">
        <v>16</v>
      </c>
      <c r="C1785" t="s">
        <v>30</v>
      </c>
      <c r="D1785">
        <v>428</v>
      </c>
      <c r="E1785">
        <v>100</v>
      </c>
      <c r="F1785">
        <v>357.25</v>
      </c>
      <c r="G1785" t="s">
        <v>34</v>
      </c>
      <c r="H1785" s="1">
        <v>45344</v>
      </c>
      <c r="I1785" s="1">
        <v>45350</v>
      </c>
      <c r="J1785" t="s">
        <v>39</v>
      </c>
      <c r="K1785" t="b">
        <f>Table1[[#This Row],[CurrentStock]]&lt;Table1[[#This Row],[ReorderLevel]]</f>
        <v>0</v>
      </c>
      <c r="L1785" s="9">
        <f>Table1[[#This Row],[CurrentStock]]*Table1[[#This Row],[UnitPrice]]</f>
        <v>152903</v>
      </c>
      <c r="M1785" t="str">
        <f>IF(Table1[[#This Row],[ReorderLevel]]-Table1[[#This Row],[CurrentStock]]&gt;0,Table1[[#This Row],[ReorderLevel]]-Table1[[#This Row],[CurrentStock]],"")</f>
        <v/>
      </c>
      <c r="N1785" t="str">
        <f>IF(Table1[[#This Row],[CurrentStock]]&gt;Table1[[#This Row],[ReorderLevel]]*3,"Over Stock","Okay")</f>
        <v>Over Stock</v>
      </c>
      <c r="O1785" t="str">
        <f>IF(Table1[[#This Row],[CurrentStock]]&lt;Table1[[#This Row],[ReorderLevel]],"Reorder","Okay")</f>
        <v>Okay</v>
      </c>
    </row>
    <row r="1786" spans="1:15" x14ac:dyDescent="0.3">
      <c r="A1786">
        <v>93611</v>
      </c>
      <c r="B1786" t="s">
        <v>13</v>
      </c>
      <c r="C1786" t="s">
        <v>29</v>
      </c>
      <c r="D1786">
        <v>346</v>
      </c>
      <c r="E1786">
        <v>50</v>
      </c>
      <c r="F1786">
        <v>401.34</v>
      </c>
      <c r="G1786" t="s">
        <v>33</v>
      </c>
      <c r="H1786" s="1">
        <v>45380</v>
      </c>
      <c r="I1786" s="1">
        <v>45415</v>
      </c>
      <c r="J1786" t="s">
        <v>38</v>
      </c>
      <c r="K1786" t="b">
        <f>Table1[[#This Row],[CurrentStock]]&lt;Table1[[#This Row],[ReorderLevel]]</f>
        <v>0</v>
      </c>
      <c r="L1786" s="9">
        <f>Table1[[#This Row],[CurrentStock]]*Table1[[#This Row],[UnitPrice]]</f>
        <v>138863.63999999998</v>
      </c>
      <c r="M1786" t="str">
        <f>IF(Table1[[#This Row],[ReorderLevel]]-Table1[[#This Row],[CurrentStock]]&gt;0,Table1[[#This Row],[ReorderLevel]]-Table1[[#This Row],[CurrentStock]],"")</f>
        <v/>
      </c>
      <c r="N1786" t="str">
        <f>IF(Table1[[#This Row],[CurrentStock]]&gt;Table1[[#This Row],[ReorderLevel]]*3,"Over Stock","Okay")</f>
        <v>Over Stock</v>
      </c>
      <c r="O1786" t="str">
        <f>IF(Table1[[#This Row],[CurrentStock]]&lt;Table1[[#This Row],[ReorderLevel]],"Reorder","Okay")</f>
        <v>Okay</v>
      </c>
    </row>
    <row r="1787" spans="1:15" x14ac:dyDescent="0.3">
      <c r="A1787">
        <v>42632</v>
      </c>
      <c r="B1787" t="s">
        <v>14</v>
      </c>
      <c r="C1787" t="s">
        <v>27</v>
      </c>
      <c r="D1787">
        <v>55</v>
      </c>
      <c r="E1787">
        <v>40</v>
      </c>
      <c r="F1787">
        <v>312.75</v>
      </c>
      <c r="G1787" t="s">
        <v>35</v>
      </c>
      <c r="H1787" s="1">
        <v>45511</v>
      </c>
      <c r="I1787" s="1">
        <v>45527</v>
      </c>
      <c r="J1787" t="s">
        <v>39</v>
      </c>
      <c r="K1787" t="b">
        <f>Table1[[#This Row],[CurrentStock]]&lt;Table1[[#This Row],[ReorderLevel]]</f>
        <v>0</v>
      </c>
      <c r="L1787" s="9">
        <f>Table1[[#This Row],[CurrentStock]]*Table1[[#This Row],[UnitPrice]]</f>
        <v>17201.25</v>
      </c>
      <c r="M1787" t="str">
        <f>IF(Table1[[#This Row],[ReorderLevel]]-Table1[[#This Row],[CurrentStock]]&gt;0,Table1[[#This Row],[ReorderLevel]]-Table1[[#This Row],[CurrentStock]],"")</f>
        <v/>
      </c>
      <c r="N1787" t="str">
        <f>IF(Table1[[#This Row],[CurrentStock]]&gt;Table1[[#This Row],[ReorderLevel]]*3,"Over Stock","Okay")</f>
        <v>Okay</v>
      </c>
      <c r="O1787" t="str">
        <f>IF(Table1[[#This Row],[CurrentStock]]&lt;Table1[[#This Row],[ReorderLevel]],"Reorder","Okay")</f>
        <v>Okay</v>
      </c>
    </row>
    <row r="1788" spans="1:15" x14ac:dyDescent="0.3">
      <c r="A1788">
        <v>65175</v>
      </c>
      <c r="B1788" t="s">
        <v>22</v>
      </c>
      <c r="C1788" t="s">
        <v>27</v>
      </c>
      <c r="D1788">
        <v>235</v>
      </c>
      <c r="E1788">
        <v>20</v>
      </c>
      <c r="F1788">
        <v>415.6</v>
      </c>
      <c r="G1788" t="s">
        <v>32</v>
      </c>
      <c r="H1788" s="1">
        <v>45325</v>
      </c>
      <c r="I1788" s="1">
        <v>45342</v>
      </c>
      <c r="J1788" t="s">
        <v>37</v>
      </c>
      <c r="K1788" t="b">
        <f>Table1[[#This Row],[CurrentStock]]&lt;Table1[[#This Row],[ReorderLevel]]</f>
        <v>0</v>
      </c>
      <c r="L1788" s="9">
        <f>Table1[[#This Row],[CurrentStock]]*Table1[[#This Row],[UnitPrice]]</f>
        <v>97666</v>
      </c>
      <c r="M1788" t="str">
        <f>IF(Table1[[#This Row],[ReorderLevel]]-Table1[[#This Row],[CurrentStock]]&gt;0,Table1[[#This Row],[ReorderLevel]]-Table1[[#This Row],[CurrentStock]],"")</f>
        <v/>
      </c>
      <c r="N1788" t="str">
        <f>IF(Table1[[#This Row],[CurrentStock]]&gt;Table1[[#This Row],[ReorderLevel]]*3,"Over Stock","Okay")</f>
        <v>Over Stock</v>
      </c>
      <c r="O1788" t="str">
        <f>IF(Table1[[#This Row],[CurrentStock]]&lt;Table1[[#This Row],[ReorderLevel]],"Reorder","Okay")</f>
        <v>Okay</v>
      </c>
    </row>
    <row r="1789" spans="1:15" x14ac:dyDescent="0.3">
      <c r="A1789">
        <v>36190</v>
      </c>
      <c r="B1789" t="s">
        <v>14</v>
      </c>
      <c r="C1789" t="s">
        <v>27</v>
      </c>
      <c r="D1789">
        <v>229</v>
      </c>
      <c r="E1789">
        <v>80</v>
      </c>
      <c r="F1789">
        <v>159.38999999999999</v>
      </c>
      <c r="G1789" t="s">
        <v>35</v>
      </c>
      <c r="H1789" s="1">
        <v>45532</v>
      </c>
      <c r="I1789" s="1">
        <v>45543</v>
      </c>
      <c r="J1789" t="s">
        <v>39</v>
      </c>
      <c r="K1789" t="b">
        <f>Table1[[#This Row],[CurrentStock]]&lt;Table1[[#This Row],[ReorderLevel]]</f>
        <v>0</v>
      </c>
      <c r="L1789" s="9">
        <f>Table1[[#This Row],[CurrentStock]]*Table1[[#This Row],[UnitPrice]]</f>
        <v>36500.31</v>
      </c>
      <c r="M1789" t="str">
        <f>IF(Table1[[#This Row],[ReorderLevel]]-Table1[[#This Row],[CurrentStock]]&gt;0,Table1[[#This Row],[ReorderLevel]]-Table1[[#This Row],[CurrentStock]],"")</f>
        <v/>
      </c>
      <c r="N1789" t="str">
        <f>IF(Table1[[#This Row],[CurrentStock]]&gt;Table1[[#This Row],[ReorderLevel]]*3,"Over Stock","Okay")</f>
        <v>Okay</v>
      </c>
      <c r="O1789" t="str">
        <f>IF(Table1[[#This Row],[CurrentStock]]&lt;Table1[[#This Row],[ReorderLevel]],"Reorder","Okay")</f>
        <v>Okay</v>
      </c>
    </row>
    <row r="1790" spans="1:15" x14ac:dyDescent="0.3">
      <c r="A1790">
        <v>89455</v>
      </c>
      <c r="B1790" t="s">
        <v>14</v>
      </c>
      <c r="C1790" t="s">
        <v>27</v>
      </c>
      <c r="D1790">
        <v>360</v>
      </c>
      <c r="E1790">
        <v>150</v>
      </c>
      <c r="F1790">
        <v>6.73</v>
      </c>
      <c r="G1790" t="s">
        <v>36</v>
      </c>
      <c r="H1790" s="1">
        <v>45395</v>
      </c>
      <c r="I1790" s="1">
        <v>45415</v>
      </c>
      <c r="J1790" t="s">
        <v>39</v>
      </c>
      <c r="K1790" t="b">
        <f>Table1[[#This Row],[CurrentStock]]&lt;Table1[[#This Row],[ReorderLevel]]</f>
        <v>0</v>
      </c>
      <c r="L1790" s="9">
        <f>Table1[[#This Row],[CurrentStock]]*Table1[[#This Row],[UnitPrice]]</f>
        <v>2422.8000000000002</v>
      </c>
      <c r="M1790" t="str">
        <f>IF(Table1[[#This Row],[ReorderLevel]]-Table1[[#This Row],[CurrentStock]]&gt;0,Table1[[#This Row],[ReorderLevel]]-Table1[[#This Row],[CurrentStock]],"")</f>
        <v/>
      </c>
      <c r="N1790" t="str">
        <f>IF(Table1[[#This Row],[CurrentStock]]&gt;Table1[[#This Row],[ReorderLevel]]*3,"Over Stock","Okay")</f>
        <v>Okay</v>
      </c>
      <c r="O1790" t="str">
        <f>IF(Table1[[#This Row],[CurrentStock]]&lt;Table1[[#This Row],[ReorderLevel]],"Reorder","Okay")</f>
        <v>Okay</v>
      </c>
    </row>
    <row r="1791" spans="1:15" x14ac:dyDescent="0.3">
      <c r="A1791">
        <v>39692</v>
      </c>
      <c r="B1791" t="s">
        <v>14</v>
      </c>
      <c r="C1791" t="s">
        <v>27</v>
      </c>
      <c r="D1791">
        <v>1</v>
      </c>
      <c r="E1791">
        <v>150</v>
      </c>
      <c r="F1791">
        <v>296.74</v>
      </c>
      <c r="G1791" t="s">
        <v>35</v>
      </c>
      <c r="H1791" s="1">
        <v>45482</v>
      </c>
      <c r="I1791" s="1">
        <v>45489</v>
      </c>
      <c r="J1791" t="s">
        <v>37</v>
      </c>
      <c r="K1791" t="b">
        <f>Table1[[#This Row],[CurrentStock]]&lt;Table1[[#This Row],[ReorderLevel]]</f>
        <v>1</v>
      </c>
      <c r="L1791" s="9">
        <f>Table1[[#This Row],[CurrentStock]]*Table1[[#This Row],[UnitPrice]]</f>
        <v>296.74</v>
      </c>
      <c r="M1791">
        <f>IF(Table1[[#This Row],[ReorderLevel]]-Table1[[#This Row],[CurrentStock]]&gt;0,Table1[[#This Row],[ReorderLevel]]-Table1[[#This Row],[CurrentStock]],"")</f>
        <v>149</v>
      </c>
      <c r="N1791" t="str">
        <f>IF(Table1[[#This Row],[CurrentStock]]&gt;Table1[[#This Row],[ReorderLevel]]*3,"Over Stock","Okay")</f>
        <v>Okay</v>
      </c>
      <c r="O1791" t="str">
        <f>IF(Table1[[#This Row],[CurrentStock]]&lt;Table1[[#This Row],[ReorderLevel]],"Reorder","Okay")</f>
        <v>Reorder</v>
      </c>
    </row>
    <row r="1792" spans="1:15" x14ac:dyDescent="0.3">
      <c r="A1792">
        <v>19605</v>
      </c>
      <c r="B1792" t="s">
        <v>12</v>
      </c>
      <c r="C1792" t="s">
        <v>28</v>
      </c>
      <c r="D1792">
        <v>476</v>
      </c>
      <c r="E1792">
        <v>100</v>
      </c>
      <c r="F1792">
        <v>68.900000000000006</v>
      </c>
      <c r="G1792" t="s">
        <v>35</v>
      </c>
      <c r="H1792" s="1">
        <v>45464</v>
      </c>
      <c r="I1792" s="1">
        <v>45500</v>
      </c>
      <c r="J1792" t="s">
        <v>37</v>
      </c>
      <c r="K1792" t="b">
        <f>Table1[[#This Row],[CurrentStock]]&lt;Table1[[#This Row],[ReorderLevel]]</f>
        <v>0</v>
      </c>
      <c r="L1792" s="9">
        <f>Table1[[#This Row],[CurrentStock]]*Table1[[#This Row],[UnitPrice]]</f>
        <v>32796.400000000001</v>
      </c>
      <c r="M1792" t="str">
        <f>IF(Table1[[#This Row],[ReorderLevel]]-Table1[[#This Row],[CurrentStock]]&gt;0,Table1[[#This Row],[ReorderLevel]]-Table1[[#This Row],[CurrentStock]],"")</f>
        <v/>
      </c>
      <c r="N1792" t="str">
        <f>IF(Table1[[#This Row],[CurrentStock]]&gt;Table1[[#This Row],[ReorderLevel]]*3,"Over Stock","Okay")</f>
        <v>Over Stock</v>
      </c>
      <c r="O1792" t="str">
        <f>IF(Table1[[#This Row],[CurrentStock]]&lt;Table1[[#This Row],[ReorderLevel]],"Reorder","Okay")</f>
        <v>Okay</v>
      </c>
    </row>
    <row r="1793" spans="1:15" x14ac:dyDescent="0.3">
      <c r="A1793">
        <v>68618</v>
      </c>
      <c r="B1793" t="s">
        <v>19</v>
      </c>
      <c r="C1793" t="s">
        <v>28</v>
      </c>
      <c r="D1793">
        <v>112</v>
      </c>
      <c r="E1793">
        <v>100</v>
      </c>
      <c r="F1793">
        <v>460.97</v>
      </c>
      <c r="G1793" t="s">
        <v>35</v>
      </c>
      <c r="H1793" s="1">
        <v>45502</v>
      </c>
      <c r="I1793" s="1">
        <v>45526</v>
      </c>
      <c r="J1793" t="s">
        <v>38</v>
      </c>
      <c r="K1793" t="b">
        <f>Table1[[#This Row],[CurrentStock]]&lt;Table1[[#This Row],[ReorderLevel]]</f>
        <v>0</v>
      </c>
      <c r="L1793" s="9">
        <f>Table1[[#This Row],[CurrentStock]]*Table1[[#This Row],[UnitPrice]]</f>
        <v>51628.639999999999</v>
      </c>
      <c r="M1793" t="str">
        <f>IF(Table1[[#This Row],[ReorderLevel]]-Table1[[#This Row],[CurrentStock]]&gt;0,Table1[[#This Row],[ReorderLevel]]-Table1[[#This Row],[CurrentStock]],"")</f>
        <v/>
      </c>
      <c r="N1793" t="str">
        <f>IF(Table1[[#This Row],[CurrentStock]]&gt;Table1[[#This Row],[ReorderLevel]]*3,"Over Stock","Okay")</f>
        <v>Okay</v>
      </c>
      <c r="O1793" t="str">
        <f>IF(Table1[[#This Row],[CurrentStock]]&lt;Table1[[#This Row],[ReorderLevel]],"Reorder","Okay")</f>
        <v>Okay</v>
      </c>
    </row>
    <row r="1794" spans="1:15" x14ac:dyDescent="0.3">
      <c r="A1794">
        <v>33386</v>
      </c>
      <c r="B1794" t="s">
        <v>14</v>
      </c>
      <c r="C1794" t="s">
        <v>27</v>
      </c>
      <c r="D1794">
        <v>440</v>
      </c>
      <c r="E1794">
        <v>20</v>
      </c>
      <c r="F1794">
        <v>234.75</v>
      </c>
      <c r="G1794" t="s">
        <v>32</v>
      </c>
      <c r="H1794" s="1">
        <v>45454</v>
      </c>
      <c r="I1794" s="1">
        <v>45468</v>
      </c>
      <c r="J1794" t="s">
        <v>37</v>
      </c>
      <c r="K1794" t="b">
        <f>Table1[[#This Row],[CurrentStock]]&lt;Table1[[#This Row],[ReorderLevel]]</f>
        <v>0</v>
      </c>
      <c r="L1794" s="9">
        <f>Table1[[#This Row],[CurrentStock]]*Table1[[#This Row],[UnitPrice]]</f>
        <v>103290</v>
      </c>
      <c r="M1794" t="str">
        <f>IF(Table1[[#This Row],[ReorderLevel]]-Table1[[#This Row],[CurrentStock]]&gt;0,Table1[[#This Row],[ReorderLevel]]-Table1[[#This Row],[CurrentStock]],"")</f>
        <v/>
      </c>
      <c r="N1794" t="str">
        <f>IF(Table1[[#This Row],[CurrentStock]]&gt;Table1[[#This Row],[ReorderLevel]]*3,"Over Stock","Okay")</f>
        <v>Over Stock</v>
      </c>
      <c r="O1794" t="str">
        <f>IF(Table1[[#This Row],[CurrentStock]]&lt;Table1[[#This Row],[ReorderLevel]],"Reorder","Okay")</f>
        <v>Okay</v>
      </c>
    </row>
    <row r="1795" spans="1:15" x14ac:dyDescent="0.3">
      <c r="A1795">
        <v>65097</v>
      </c>
      <c r="B1795" t="s">
        <v>10</v>
      </c>
      <c r="C1795" t="s">
        <v>27</v>
      </c>
      <c r="D1795">
        <v>33</v>
      </c>
      <c r="E1795">
        <v>40</v>
      </c>
      <c r="F1795">
        <v>347.99</v>
      </c>
      <c r="G1795" t="s">
        <v>35</v>
      </c>
      <c r="H1795" s="1">
        <v>45551</v>
      </c>
      <c r="I1795" s="1">
        <v>45568</v>
      </c>
      <c r="J1795" t="s">
        <v>38</v>
      </c>
      <c r="K1795" t="b">
        <f>Table1[[#This Row],[CurrentStock]]&lt;Table1[[#This Row],[ReorderLevel]]</f>
        <v>1</v>
      </c>
      <c r="L1795" s="9">
        <f>Table1[[#This Row],[CurrentStock]]*Table1[[#This Row],[UnitPrice]]</f>
        <v>11483.67</v>
      </c>
      <c r="M1795">
        <f>IF(Table1[[#This Row],[ReorderLevel]]-Table1[[#This Row],[CurrentStock]]&gt;0,Table1[[#This Row],[ReorderLevel]]-Table1[[#This Row],[CurrentStock]],"")</f>
        <v>7</v>
      </c>
      <c r="N1795" t="str">
        <f>IF(Table1[[#This Row],[CurrentStock]]&gt;Table1[[#This Row],[ReorderLevel]]*3,"Over Stock","Okay")</f>
        <v>Okay</v>
      </c>
      <c r="O1795" t="str">
        <f>IF(Table1[[#This Row],[CurrentStock]]&lt;Table1[[#This Row],[ReorderLevel]],"Reorder","Okay")</f>
        <v>Reorder</v>
      </c>
    </row>
    <row r="1796" spans="1:15" x14ac:dyDescent="0.3">
      <c r="A1796">
        <v>55167</v>
      </c>
      <c r="B1796" t="s">
        <v>25</v>
      </c>
      <c r="C1796" t="s">
        <v>31</v>
      </c>
      <c r="D1796">
        <v>115</v>
      </c>
      <c r="E1796">
        <v>50</v>
      </c>
      <c r="F1796">
        <v>187.5</v>
      </c>
      <c r="G1796" t="s">
        <v>32</v>
      </c>
      <c r="H1796" s="1">
        <v>45541</v>
      </c>
      <c r="I1796" s="1">
        <v>45567</v>
      </c>
      <c r="J1796" t="s">
        <v>38</v>
      </c>
      <c r="K1796" t="b">
        <f>Table1[[#This Row],[CurrentStock]]&lt;Table1[[#This Row],[ReorderLevel]]</f>
        <v>0</v>
      </c>
      <c r="L1796" s="9">
        <f>Table1[[#This Row],[CurrentStock]]*Table1[[#This Row],[UnitPrice]]</f>
        <v>21562.5</v>
      </c>
      <c r="M1796" t="str">
        <f>IF(Table1[[#This Row],[ReorderLevel]]-Table1[[#This Row],[CurrentStock]]&gt;0,Table1[[#This Row],[ReorderLevel]]-Table1[[#This Row],[CurrentStock]],"")</f>
        <v/>
      </c>
      <c r="N1796" t="str">
        <f>IF(Table1[[#This Row],[CurrentStock]]&gt;Table1[[#This Row],[ReorderLevel]]*3,"Over Stock","Okay")</f>
        <v>Okay</v>
      </c>
      <c r="O1796" t="str">
        <f>IF(Table1[[#This Row],[CurrentStock]]&lt;Table1[[#This Row],[ReorderLevel]],"Reorder","Okay")</f>
        <v>Okay</v>
      </c>
    </row>
    <row r="1797" spans="1:15" x14ac:dyDescent="0.3">
      <c r="A1797">
        <v>42259</v>
      </c>
      <c r="B1797" t="s">
        <v>12</v>
      </c>
      <c r="C1797" t="s">
        <v>28</v>
      </c>
      <c r="D1797">
        <v>175</v>
      </c>
      <c r="E1797">
        <v>20</v>
      </c>
      <c r="F1797">
        <v>284.94</v>
      </c>
      <c r="G1797" t="s">
        <v>36</v>
      </c>
      <c r="H1797" s="1">
        <v>45472</v>
      </c>
      <c r="I1797" s="1">
        <v>45479</v>
      </c>
      <c r="J1797" t="s">
        <v>37</v>
      </c>
      <c r="K1797" t="b">
        <f>Table1[[#This Row],[CurrentStock]]&lt;Table1[[#This Row],[ReorderLevel]]</f>
        <v>0</v>
      </c>
      <c r="L1797" s="9">
        <f>Table1[[#This Row],[CurrentStock]]*Table1[[#This Row],[UnitPrice]]</f>
        <v>49864.5</v>
      </c>
      <c r="M1797" t="str">
        <f>IF(Table1[[#This Row],[ReorderLevel]]-Table1[[#This Row],[CurrentStock]]&gt;0,Table1[[#This Row],[ReorderLevel]]-Table1[[#This Row],[CurrentStock]],"")</f>
        <v/>
      </c>
      <c r="N1797" t="str">
        <f>IF(Table1[[#This Row],[CurrentStock]]&gt;Table1[[#This Row],[ReorderLevel]]*3,"Over Stock","Okay")</f>
        <v>Over Stock</v>
      </c>
      <c r="O1797" t="str">
        <f>IF(Table1[[#This Row],[CurrentStock]]&lt;Table1[[#This Row],[ReorderLevel]],"Reorder","Okay")</f>
        <v>Okay</v>
      </c>
    </row>
    <row r="1798" spans="1:15" x14ac:dyDescent="0.3">
      <c r="A1798">
        <v>53199</v>
      </c>
      <c r="B1798" t="s">
        <v>18</v>
      </c>
      <c r="C1798" t="s">
        <v>28</v>
      </c>
      <c r="D1798">
        <v>493</v>
      </c>
      <c r="E1798">
        <v>40</v>
      </c>
      <c r="F1798">
        <v>480.3</v>
      </c>
      <c r="G1798" t="s">
        <v>36</v>
      </c>
      <c r="H1798" s="1">
        <v>45377</v>
      </c>
      <c r="I1798" s="1">
        <v>45401</v>
      </c>
      <c r="J1798" t="s">
        <v>39</v>
      </c>
      <c r="K1798" t="b">
        <f>Table1[[#This Row],[CurrentStock]]&lt;Table1[[#This Row],[ReorderLevel]]</f>
        <v>0</v>
      </c>
      <c r="L1798" s="9">
        <f>Table1[[#This Row],[CurrentStock]]*Table1[[#This Row],[UnitPrice]]</f>
        <v>236787.9</v>
      </c>
      <c r="M1798" t="str">
        <f>IF(Table1[[#This Row],[ReorderLevel]]-Table1[[#This Row],[CurrentStock]]&gt;0,Table1[[#This Row],[ReorderLevel]]-Table1[[#This Row],[CurrentStock]],"")</f>
        <v/>
      </c>
      <c r="N1798" t="str">
        <f>IF(Table1[[#This Row],[CurrentStock]]&gt;Table1[[#This Row],[ReorderLevel]]*3,"Over Stock","Okay")</f>
        <v>Over Stock</v>
      </c>
      <c r="O1798" t="str">
        <f>IF(Table1[[#This Row],[CurrentStock]]&lt;Table1[[#This Row],[ReorderLevel]],"Reorder","Okay")</f>
        <v>Okay</v>
      </c>
    </row>
    <row r="1799" spans="1:15" x14ac:dyDescent="0.3">
      <c r="A1799">
        <v>15717</v>
      </c>
      <c r="B1799" t="s">
        <v>21</v>
      </c>
      <c r="C1799" t="s">
        <v>31</v>
      </c>
      <c r="D1799">
        <v>106</v>
      </c>
      <c r="E1799">
        <v>150</v>
      </c>
      <c r="F1799">
        <v>339.3</v>
      </c>
      <c r="G1799" t="s">
        <v>32</v>
      </c>
      <c r="H1799" s="1">
        <v>45501</v>
      </c>
      <c r="I1799" s="1">
        <v>45516</v>
      </c>
      <c r="J1799" t="s">
        <v>39</v>
      </c>
      <c r="K1799" t="b">
        <f>Table1[[#This Row],[CurrentStock]]&lt;Table1[[#This Row],[ReorderLevel]]</f>
        <v>1</v>
      </c>
      <c r="L1799" s="9">
        <f>Table1[[#This Row],[CurrentStock]]*Table1[[#This Row],[UnitPrice]]</f>
        <v>35965.800000000003</v>
      </c>
      <c r="M1799">
        <f>IF(Table1[[#This Row],[ReorderLevel]]-Table1[[#This Row],[CurrentStock]]&gt;0,Table1[[#This Row],[ReorderLevel]]-Table1[[#This Row],[CurrentStock]],"")</f>
        <v>44</v>
      </c>
      <c r="N1799" t="str">
        <f>IF(Table1[[#This Row],[CurrentStock]]&gt;Table1[[#This Row],[ReorderLevel]]*3,"Over Stock","Okay")</f>
        <v>Okay</v>
      </c>
      <c r="O1799" t="str">
        <f>IF(Table1[[#This Row],[CurrentStock]]&lt;Table1[[#This Row],[ReorderLevel]],"Reorder","Okay")</f>
        <v>Reorder</v>
      </c>
    </row>
    <row r="1800" spans="1:15" x14ac:dyDescent="0.3">
      <c r="A1800">
        <v>25198</v>
      </c>
      <c r="B1800" t="s">
        <v>21</v>
      </c>
      <c r="C1800" t="s">
        <v>31</v>
      </c>
      <c r="D1800">
        <v>342</v>
      </c>
      <c r="E1800">
        <v>20</v>
      </c>
      <c r="F1800">
        <v>341.47</v>
      </c>
      <c r="G1800" t="s">
        <v>35</v>
      </c>
      <c r="H1800" s="1">
        <v>45420</v>
      </c>
      <c r="I1800" s="1">
        <v>45433</v>
      </c>
      <c r="J1800" t="s">
        <v>38</v>
      </c>
      <c r="K1800" t="b">
        <f>Table1[[#This Row],[CurrentStock]]&lt;Table1[[#This Row],[ReorderLevel]]</f>
        <v>0</v>
      </c>
      <c r="L1800" s="9">
        <f>Table1[[#This Row],[CurrentStock]]*Table1[[#This Row],[UnitPrice]]</f>
        <v>116782.74</v>
      </c>
      <c r="M1800" t="str">
        <f>IF(Table1[[#This Row],[ReorderLevel]]-Table1[[#This Row],[CurrentStock]]&gt;0,Table1[[#This Row],[ReorderLevel]]-Table1[[#This Row],[CurrentStock]],"")</f>
        <v/>
      </c>
      <c r="N1800" t="str">
        <f>IF(Table1[[#This Row],[CurrentStock]]&gt;Table1[[#This Row],[ReorderLevel]]*3,"Over Stock","Okay")</f>
        <v>Over Stock</v>
      </c>
      <c r="O1800" t="str">
        <f>IF(Table1[[#This Row],[CurrentStock]]&lt;Table1[[#This Row],[ReorderLevel]],"Reorder","Okay")</f>
        <v>Okay</v>
      </c>
    </row>
    <row r="1801" spans="1:15" x14ac:dyDescent="0.3">
      <c r="A1801">
        <v>36547</v>
      </c>
      <c r="B1801" t="s">
        <v>17</v>
      </c>
      <c r="C1801" t="s">
        <v>30</v>
      </c>
      <c r="D1801">
        <v>145</v>
      </c>
      <c r="E1801">
        <v>150</v>
      </c>
      <c r="F1801">
        <v>414.7</v>
      </c>
      <c r="G1801" t="s">
        <v>35</v>
      </c>
      <c r="H1801" s="1">
        <v>45378</v>
      </c>
      <c r="I1801" s="1">
        <v>45393</v>
      </c>
      <c r="J1801" t="s">
        <v>39</v>
      </c>
      <c r="K1801" t="b">
        <f>Table1[[#This Row],[CurrentStock]]&lt;Table1[[#This Row],[ReorderLevel]]</f>
        <v>1</v>
      </c>
      <c r="L1801" s="9">
        <f>Table1[[#This Row],[CurrentStock]]*Table1[[#This Row],[UnitPrice]]</f>
        <v>60131.5</v>
      </c>
      <c r="M1801">
        <f>IF(Table1[[#This Row],[ReorderLevel]]-Table1[[#This Row],[CurrentStock]]&gt;0,Table1[[#This Row],[ReorderLevel]]-Table1[[#This Row],[CurrentStock]],"")</f>
        <v>5</v>
      </c>
      <c r="N1801" t="str">
        <f>IF(Table1[[#This Row],[CurrentStock]]&gt;Table1[[#This Row],[ReorderLevel]]*3,"Over Stock","Okay")</f>
        <v>Okay</v>
      </c>
      <c r="O1801" t="str">
        <f>IF(Table1[[#This Row],[CurrentStock]]&lt;Table1[[#This Row],[ReorderLevel]],"Reorder","Okay")</f>
        <v>Reorder</v>
      </c>
    </row>
    <row r="1802" spans="1:15" x14ac:dyDescent="0.3">
      <c r="A1802">
        <v>98636</v>
      </c>
      <c r="B1802" t="s">
        <v>17</v>
      </c>
      <c r="C1802" t="s">
        <v>30</v>
      </c>
      <c r="D1802">
        <v>446</v>
      </c>
      <c r="E1802">
        <v>20</v>
      </c>
      <c r="F1802">
        <v>92.65</v>
      </c>
      <c r="G1802" t="s">
        <v>32</v>
      </c>
      <c r="H1802" s="1">
        <v>45461</v>
      </c>
      <c r="I1802" s="1">
        <v>45491</v>
      </c>
      <c r="J1802" t="s">
        <v>38</v>
      </c>
      <c r="K1802" t="b">
        <f>Table1[[#This Row],[CurrentStock]]&lt;Table1[[#This Row],[ReorderLevel]]</f>
        <v>0</v>
      </c>
      <c r="L1802" s="9">
        <f>Table1[[#This Row],[CurrentStock]]*Table1[[#This Row],[UnitPrice]]</f>
        <v>41321.9</v>
      </c>
      <c r="M1802" t="str">
        <f>IF(Table1[[#This Row],[ReorderLevel]]-Table1[[#This Row],[CurrentStock]]&gt;0,Table1[[#This Row],[ReorderLevel]]-Table1[[#This Row],[CurrentStock]],"")</f>
        <v/>
      </c>
      <c r="N1802" t="str">
        <f>IF(Table1[[#This Row],[CurrentStock]]&gt;Table1[[#This Row],[ReorderLevel]]*3,"Over Stock","Okay")</f>
        <v>Over Stock</v>
      </c>
      <c r="O1802" t="str">
        <f>IF(Table1[[#This Row],[CurrentStock]]&lt;Table1[[#This Row],[ReorderLevel]],"Reorder","Okay")</f>
        <v>Okay</v>
      </c>
    </row>
    <row r="1803" spans="1:15" x14ac:dyDescent="0.3">
      <c r="A1803">
        <v>24248</v>
      </c>
      <c r="B1803" t="s">
        <v>25</v>
      </c>
      <c r="C1803" t="s">
        <v>31</v>
      </c>
      <c r="D1803">
        <v>491</v>
      </c>
      <c r="E1803">
        <v>50</v>
      </c>
      <c r="F1803">
        <v>140.91</v>
      </c>
      <c r="G1803" t="s">
        <v>33</v>
      </c>
      <c r="H1803" s="1">
        <v>45330</v>
      </c>
      <c r="I1803" s="1">
        <v>45355</v>
      </c>
      <c r="J1803" t="s">
        <v>38</v>
      </c>
      <c r="K1803" t="b">
        <f>Table1[[#This Row],[CurrentStock]]&lt;Table1[[#This Row],[ReorderLevel]]</f>
        <v>0</v>
      </c>
      <c r="L1803" s="9">
        <f>Table1[[#This Row],[CurrentStock]]*Table1[[#This Row],[UnitPrice]]</f>
        <v>69186.81</v>
      </c>
      <c r="M1803" t="str">
        <f>IF(Table1[[#This Row],[ReorderLevel]]-Table1[[#This Row],[CurrentStock]]&gt;0,Table1[[#This Row],[ReorderLevel]]-Table1[[#This Row],[CurrentStock]],"")</f>
        <v/>
      </c>
      <c r="N1803" t="str">
        <f>IF(Table1[[#This Row],[CurrentStock]]&gt;Table1[[#This Row],[ReorderLevel]]*3,"Over Stock","Okay")</f>
        <v>Over Stock</v>
      </c>
      <c r="O1803" t="str">
        <f>IF(Table1[[#This Row],[CurrentStock]]&lt;Table1[[#This Row],[ReorderLevel]],"Reorder","Okay")</f>
        <v>Okay</v>
      </c>
    </row>
    <row r="1804" spans="1:15" x14ac:dyDescent="0.3">
      <c r="A1804">
        <v>87994</v>
      </c>
      <c r="B1804" t="s">
        <v>17</v>
      </c>
      <c r="C1804" t="s">
        <v>30</v>
      </c>
      <c r="D1804">
        <v>151</v>
      </c>
      <c r="E1804">
        <v>20</v>
      </c>
      <c r="F1804">
        <v>184.01</v>
      </c>
      <c r="G1804" t="s">
        <v>34</v>
      </c>
      <c r="H1804" s="1">
        <v>45437</v>
      </c>
      <c r="I1804" s="1">
        <v>45456</v>
      </c>
      <c r="J1804" t="s">
        <v>37</v>
      </c>
      <c r="K1804" t="b">
        <f>Table1[[#This Row],[CurrentStock]]&lt;Table1[[#This Row],[ReorderLevel]]</f>
        <v>0</v>
      </c>
      <c r="L1804" s="9">
        <f>Table1[[#This Row],[CurrentStock]]*Table1[[#This Row],[UnitPrice]]</f>
        <v>27785.51</v>
      </c>
      <c r="M1804" t="str">
        <f>IF(Table1[[#This Row],[ReorderLevel]]-Table1[[#This Row],[CurrentStock]]&gt;0,Table1[[#This Row],[ReorderLevel]]-Table1[[#This Row],[CurrentStock]],"")</f>
        <v/>
      </c>
      <c r="N1804" t="str">
        <f>IF(Table1[[#This Row],[CurrentStock]]&gt;Table1[[#This Row],[ReorderLevel]]*3,"Over Stock","Okay")</f>
        <v>Over Stock</v>
      </c>
      <c r="O1804" t="str">
        <f>IF(Table1[[#This Row],[CurrentStock]]&lt;Table1[[#This Row],[ReorderLevel]],"Reorder","Okay")</f>
        <v>Okay</v>
      </c>
    </row>
    <row r="1805" spans="1:15" x14ac:dyDescent="0.3">
      <c r="A1805">
        <v>44094</v>
      </c>
      <c r="B1805" t="s">
        <v>26</v>
      </c>
      <c r="C1805" t="s">
        <v>30</v>
      </c>
      <c r="D1805">
        <v>375</v>
      </c>
      <c r="E1805">
        <v>20</v>
      </c>
      <c r="F1805">
        <v>441.89</v>
      </c>
      <c r="G1805" t="s">
        <v>33</v>
      </c>
      <c r="H1805" s="1">
        <v>45519</v>
      </c>
      <c r="I1805" s="1">
        <v>45554</v>
      </c>
      <c r="J1805" t="s">
        <v>39</v>
      </c>
      <c r="K1805" t="b">
        <f>Table1[[#This Row],[CurrentStock]]&lt;Table1[[#This Row],[ReorderLevel]]</f>
        <v>0</v>
      </c>
      <c r="L1805" s="9">
        <f>Table1[[#This Row],[CurrentStock]]*Table1[[#This Row],[UnitPrice]]</f>
        <v>165708.75</v>
      </c>
      <c r="M1805" t="str">
        <f>IF(Table1[[#This Row],[ReorderLevel]]-Table1[[#This Row],[CurrentStock]]&gt;0,Table1[[#This Row],[ReorderLevel]]-Table1[[#This Row],[CurrentStock]],"")</f>
        <v/>
      </c>
      <c r="N1805" t="str">
        <f>IF(Table1[[#This Row],[CurrentStock]]&gt;Table1[[#This Row],[ReorderLevel]]*3,"Over Stock","Okay")</f>
        <v>Over Stock</v>
      </c>
      <c r="O1805" t="str">
        <f>IF(Table1[[#This Row],[CurrentStock]]&lt;Table1[[#This Row],[ReorderLevel]],"Reorder","Okay")</f>
        <v>Okay</v>
      </c>
    </row>
    <row r="1806" spans="1:15" x14ac:dyDescent="0.3">
      <c r="A1806">
        <v>42089</v>
      </c>
      <c r="B1806" t="s">
        <v>25</v>
      </c>
      <c r="C1806" t="s">
        <v>31</v>
      </c>
      <c r="D1806">
        <v>93</v>
      </c>
      <c r="E1806">
        <v>50</v>
      </c>
      <c r="F1806">
        <v>181.4</v>
      </c>
      <c r="G1806" t="s">
        <v>34</v>
      </c>
      <c r="H1806" s="1">
        <v>45541</v>
      </c>
      <c r="I1806" s="1">
        <v>45564</v>
      </c>
      <c r="J1806" t="s">
        <v>39</v>
      </c>
      <c r="K1806" t="b">
        <f>Table1[[#This Row],[CurrentStock]]&lt;Table1[[#This Row],[ReorderLevel]]</f>
        <v>0</v>
      </c>
      <c r="L1806" s="9">
        <f>Table1[[#This Row],[CurrentStock]]*Table1[[#This Row],[UnitPrice]]</f>
        <v>16870.2</v>
      </c>
      <c r="M1806" t="str">
        <f>IF(Table1[[#This Row],[ReorderLevel]]-Table1[[#This Row],[CurrentStock]]&gt;0,Table1[[#This Row],[ReorderLevel]]-Table1[[#This Row],[CurrentStock]],"")</f>
        <v/>
      </c>
      <c r="N1806" t="str">
        <f>IF(Table1[[#This Row],[CurrentStock]]&gt;Table1[[#This Row],[ReorderLevel]]*3,"Over Stock","Okay")</f>
        <v>Okay</v>
      </c>
      <c r="O1806" t="str">
        <f>IF(Table1[[#This Row],[CurrentStock]]&lt;Table1[[#This Row],[ReorderLevel]],"Reorder","Okay")</f>
        <v>Okay</v>
      </c>
    </row>
    <row r="1807" spans="1:15" x14ac:dyDescent="0.3">
      <c r="A1807">
        <v>92864</v>
      </c>
      <c r="B1807" t="s">
        <v>16</v>
      </c>
      <c r="C1807" t="s">
        <v>30</v>
      </c>
      <c r="D1807">
        <v>397</v>
      </c>
      <c r="E1807">
        <v>40</v>
      </c>
      <c r="F1807">
        <v>54.01</v>
      </c>
      <c r="G1807" t="s">
        <v>34</v>
      </c>
      <c r="H1807" s="1">
        <v>45601</v>
      </c>
      <c r="I1807" s="1">
        <v>45611</v>
      </c>
      <c r="J1807" t="s">
        <v>39</v>
      </c>
      <c r="K1807" t="b">
        <f>Table1[[#This Row],[CurrentStock]]&lt;Table1[[#This Row],[ReorderLevel]]</f>
        <v>0</v>
      </c>
      <c r="L1807" s="9">
        <f>Table1[[#This Row],[CurrentStock]]*Table1[[#This Row],[UnitPrice]]</f>
        <v>21441.969999999998</v>
      </c>
      <c r="M1807" t="str">
        <f>IF(Table1[[#This Row],[ReorderLevel]]-Table1[[#This Row],[CurrentStock]]&gt;0,Table1[[#This Row],[ReorderLevel]]-Table1[[#This Row],[CurrentStock]],"")</f>
        <v/>
      </c>
      <c r="N1807" t="str">
        <f>IF(Table1[[#This Row],[CurrentStock]]&gt;Table1[[#This Row],[ReorderLevel]]*3,"Over Stock","Okay")</f>
        <v>Over Stock</v>
      </c>
      <c r="O1807" t="str">
        <f>IF(Table1[[#This Row],[CurrentStock]]&lt;Table1[[#This Row],[ReorderLevel]],"Reorder","Okay")</f>
        <v>Okay</v>
      </c>
    </row>
    <row r="1808" spans="1:15" x14ac:dyDescent="0.3">
      <c r="A1808">
        <v>17084</v>
      </c>
      <c r="B1808" t="s">
        <v>10</v>
      </c>
      <c r="C1808" t="s">
        <v>27</v>
      </c>
      <c r="D1808">
        <v>90</v>
      </c>
      <c r="E1808">
        <v>50</v>
      </c>
      <c r="F1808">
        <v>405.85</v>
      </c>
      <c r="G1808" t="s">
        <v>36</v>
      </c>
      <c r="H1808" s="1">
        <v>45480</v>
      </c>
      <c r="I1808" s="1">
        <v>45486</v>
      </c>
      <c r="J1808" t="s">
        <v>38</v>
      </c>
      <c r="K1808" t="b">
        <f>Table1[[#This Row],[CurrentStock]]&lt;Table1[[#This Row],[ReorderLevel]]</f>
        <v>0</v>
      </c>
      <c r="L1808" s="9">
        <f>Table1[[#This Row],[CurrentStock]]*Table1[[#This Row],[UnitPrice]]</f>
        <v>36526.5</v>
      </c>
      <c r="M1808" t="str">
        <f>IF(Table1[[#This Row],[ReorderLevel]]-Table1[[#This Row],[CurrentStock]]&gt;0,Table1[[#This Row],[ReorderLevel]]-Table1[[#This Row],[CurrentStock]],"")</f>
        <v/>
      </c>
      <c r="N1808" t="str">
        <f>IF(Table1[[#This Row],[CurrentStock]]&gt;Table1[[#This Row],[ReorderLevel]]*3,"Over Stock","Okay")</f>
        <v>Okay</v>
      </c>
      <c r="O1808" t="str">
        <f>IF(Table1[[#This Row],[CurrentStock]]&lt;Table1[[#This Row],[ReorderLevel]],"Reorder","Okay")</f>
        <v>Okay</v>
      </c>
    </row>
    <row r="1809" spans="1:15" x14ac:dyDescent="0.3">
      <c r="A1809">
        <v>46668</v>
      </c>
      <c r="B1809" t="s">
        <v>17</v>
      </c>
      <c r="C1809" t="s">
        <v>30</v>
      </c>
      <c r="D1809">
        <v>369</v>
      </c>
      <c r="E1809">
        <v>30</v>
      </c>
      <c r="F1809">
        <v>412.98</v>
      </c>
      <c r="G1809" t="s">
        <v>33</v>
      </c>
      <c r="H1809" s="1">
        <v>45498</v>
      </c>
      <c r="I1809" s="1">
        <v>45534</v>
      </c>
      <c r="J1809" t="s">
        <v>37</v>
      </c>
      <c r="K1809" t="b">
        <f>Table1[[#This Row],[CurrentStock]]&lt;Table1[[#This Row],[ReorderLevel]]</f>
        <v>0</v>
      </c>
      <c r="L1809" s="9">
        <f>Table1[[#This Row],[CurrentStock]]*Table1[[#This Row],[UnitPrice]]</f>
        <v>152389.62</v>
      </c>
      <c r="M1809" t="str">
        <f>IF(Table1[[#This Row],[ReorderLevel]]-Table1[[#This Row],[CurrentStock]]&gt;0,Table1[[#This Row],[ReorderLevel]]-Table1[[#This Row],[CurrentStock]],"")</f>
        <v/>
      </c>
      <c r="N1809" t="str">
        <f>IF(Table1[[#This Row],[CurrentStock]]&gt;Table1[[#This Row],[ReorderLevel]]*3,"Over Stock","Okay")</f>
        <v>Over Stock</v>
      </c>
      <c r="O1809" t="str">
        <f>IF(Table1[[#This Row],[CurrentStock]]&lt;Table1[[#This Row],[ReorderLevel]],"Reorder","Okay")</f>
        <v>Okay</v>
      </c>
    </row>
    <row r="1810" spans="1:15" x14ac:dyDescent="0.3">
      <c r="A1810">
        <v>14601</v>
      </c>
      <c r="B1810" t="s">
        <v>13</v>
      </c>
      <c r="C1810" t="s">
        <v>29</v>
      </c>
      <c r="D1810">
        <v>198</v>
      </c>
      <c r="E1810">
        <v>80</v>
      </c>
      <c r="F1810">
        <v>90.95</v>
      </c>
      <c r="G1810" t="s">
        <v>32</v>
      </c>
      <c r="H1810" s="1">
        <v>45612</v>
      </c>
      <c r="I1810" s="1">
        <v>45630</v>
      </c>
      <c r="J1810" t="s">
        <v>39</v>
      </c>
      <c r="K1810" t="b">
        <f>Table1[[#This Row],[CurrentStock]]&lt;Table1[[#This Row],[ReorderLevel]]</f>
        <v>0</v>
      </c>
      <c r="L1810" s="9">
        <f>Table1[[#This Row],[CurrentStock]]*Table1[[#This Row],[UnitPrice]]</f>
        <v>18008.100000000002</v>
      </c>
      <c r="M1810" t="str">
        <f>IF(Table1[[#This Row],[ReorderLevel]]-Table1[[#This Row],[CurrentStock]]&gt;0,Table1[[#This Row],[ReorderLevel]]-Table1[[#This Row],[CurrentStock]],"")</f>
        <v/>
      </c>
      <c r="N1810" t="str">
        <f>IF(Table1[[#This Row],[CurrentStock]]&gt;Table1[[#This Row],[ReorderLevel]]*3,"Over Stock","Okay")</f>
        <v>Okay</v>
      </c>
      <c r="O1810" t="str">
        <f>IF(Table1[[#This Row],[CurrentStock]]&lt;Table1[[#This Row],[ReorderLevel]],"Reorder","Okay")</f>
        <v>Okay</v>
      </c>
    </row>
    <row r="1811" spans="1:15" x14ac:dyDescent="0.3">
      <c r="A1811">
        <v>50854</v>
      </c>
      <c r="B1811" t="s">
        <v>12</v>
      </c>
      <c r="C1811" t="s">
        <v>28</v>
      </c>
      <c r="D1811">
        <v>268</v>
      </c>
      <c r="E1811">
        <v>50</v>
      </c>
      <c r="F1811">
        <v>168.8</v>
      </c>
      <c r="G1811" t="s">
        <v>32</v>
      </c>
      <c r="H1811" s="1">
        <v>45391</v>
      </c>
      <c r="I1811" s="1">
        <v>45405</v>
      </c>
      <c r="J1811" t="s">
        <v>38</v>
      </c>
      <c r="K1811" t="b">
        <f>Table1[[#This Row],[CurrentStock]]&lt;Table1[[#This Row],[ReorderLevel]]</f>
        <v>0</v>
      </c>
      <c r="L1811" s="9">
        <f>Table1[[#This Row],[CurrentStock]]*Table1[[#This Row],[UnitPrice]]</f>
        <v>45238.400000000001</v>
      </c>
      <c r="M1811" t="str">
        <f>IF(Table1[[#This Row],[ReorderLevel]]-Table1[[#This Row],[CurrentStock]]&gt;0,Table1[[#This Row],[ReorderLevel]]-Table1[[#This Row],[CurrentStock]],"")</f>
        <v/>
      </c>
      <c r="N1811" t="str">
        <f>IF(Table1[[#This Row],[CurrentStock]]&gt;Table1[[#This Row],[ReorderLevel]]*3,"Over Stock","Okay")</f>
        <v>Over Stock</v>
      </c>
      <c r="O1811" t="str">
        <f>IF(Table1[[#This Row],[CurrentStock]]&lt;Table1[[#This Row],[ReorderLevel]],"Reorder","Okay")</f>
        <v>Okay</v>
      </c>
    </row>
    <row r="1812" spans="1:15" x14ac:dyDescent="0.3">
      <c r="A1812">
        <v>97191</v>
      </c>
      <c r="B1812" t="s">
        <v>25</v>
      </c>
      <c r="C1812" t="s">
        <v>31</v>
      </c>
      <c r="D1812">
        <v>65</v>
      </c>
      <c r="E1812">
        <v>150</v>
      </c>
      <c r="F1812">
        <v>278.14999999999998</v>
      </c>
      <c r="G1812" t="s">
        <v>34</v>
      </c>
      <c r="H1812" s="1">
        <v>45628</v>
      </c>
      <c r="I1812" s="1">
        <v>45650</v>
      </c>
      <c r="J1812" t="s">
        <v>38</v>
      </c>
      <c r="K1812" t="b">
        <f>Table1[[#This Row],[CurrentStock]]&lt;Table1[[#This Row],[ReorderLevel]]</f>
        <v>1</v>
      </c>
      <c r="L1812" s="9">
        <f>Table1[[#This Row],[CurrentStock]]*Table1[[#This Row],[UnitPrice]]</f>
        <v>18079.75</v>
      </c>
      <c r="M1812">
        <f>IF(Table1[[#This Row],[ReorderLevel]]-Table1[[#This Row],[CurrentStock]]&gt;0,Table1[[#This Row],[ReorderLevel]]-Table1[[#This Row],[CurrentStock]],"")</f>
        <v>85</v>
      </c>
      <c r="N1812" t="str">
        <f>IF(Table1[[#This Row],[CurrentStock]]&gt;Table1[[#This Row],[ReorderLevel]]*3,"Over Stock","Okay")</f>
        <v>Okay</v>
      </c>
      <c r="O1812" t="str">
        <f>IF(Table1[[#This Row],[CurrentStock]]&lt;Table1[[#This Row],[ReorderLevel]],"Reorder","Okay")</f>
        <v>Reorder</v>
      </c>
    </row>
    <row r="1813" spans="1:15" x14ac:dyDescent="0.3">
      <c r="A1813">
        <v>41300</v>
      </c>
      <c r="B1813" t="s">
        <v>23</v>
      </c>
      <c r="C1813" t="s">
        <v>30</v>
      </c>
      <c r="D1813">
        <v>63</v>
      </c>
      <c r="E1813">
        <v>30</v>
      </c>
      <c r="F1813">
        <v>289.08999999999997</v>
      </c>
      <c r="G1813" t="s">
        <v>35</v>
      </c>
      <c r="H1813" s="1">
        <v>45453</v>
      </c>
      <c r="I1813" s="1">
        <v>45459</v>
      </c>
      <c r="J1813" t="s">
        <v>39</v>
      </c>
      <c r="K1813" t="b">
        <f>Table1[[#This Row],[CurrentStock]]&lt;Table1[[#This Row],[ReorderLevel]]</f>
        <v>0</v>
      </c>
      <c r="L1813" s="9">
        <f>Table1[[#This Row],[CurrentStock]]*Table1[[#This Row],[UnitPrice]]</f>
        <v>18212.669999999998</v>
      </c>
      <c r="M1813" t="str">
        <f>IF(Table1[[#This Row],[ReorderLevel]]-Table1[[#This Row],[CurrentStock]]&gt;0,Table1[[#This Row],[ReorderLevel]]-Table1[[#This Row],[CurrentStock]],"")</f>
        <v/>
      </c>
      <c r="N1813" t="str">
        <f>IF(Table1[[#This Row],[CurrentStock]]&gt;Table1[[#This Row],[ReorderLevel]]*3,"Over Stock","Okay")</f>
        <v>Okay</v>
      </c>
      <c r="O1813" t="str">
        <f>IF(Table1[[#This Row],[CurrentStock]]&lt;Table1[[#This Row],[ReorderLevel]],"Reorder","Okay")</f>
        <v>Okay</v>
      </c>
    </row>
    <row r="1814" spans="1:15" x14ac:dyDescent="0.3">
      <c r="A1814">
        <v>66422</v>
      </c>
      <c r="B1814" t="s">
        <v>14</v>
      </c>
      <c r="C1814" t="s">
        <v>27</v>
      </c>
      <c r="D1814">
        <v>470</v>
      </c>
      <c r="E1814">
        <v>80</v>
      </c>
      <c r="F1814">
        <v>405.26</v>
      </c>
      <c r="G1814" t="s">
        <v>36</v>
      </c>
      <c r="H1814" s="1">
        <v>45398</v>
      </c>
      <c r="I1814" s="1">
        <v>45410</v>
      </c>
      <c r="J1814" t="s">
        <v>37</v>
      </c>
      <c r="K1814" t="b">
        <f>Table1[[#This Row],[CurrentStock]]&lt;Table1[[#This Row],[ReorderLevel]]</f>
        <v>0</v>
      </c>
      <c r="L1814" s="9">
        <f>Table1[[#This Row],[CurrentStock]]*Table1[[#This Row],[UnitPrice]]</f>
        <v>190472.19999999998</v>
      </c>
      <c r="M1814" t="str">
        <f>IF(Table1[[#This Row],[ReorderLevel]]-Table1[[#This Row],[CurrentStock]]&gt;0,Table1[[#This Row],[ReorderLevel]]-Table1[[#This Row],[CurrentStock]],"")</f>
        <v/>
      </c>
      <c r="N1814" t="str">
        <f>IF(Table1[[#This Row],[CurrentStock]]&gt;Table1[[#This Row],[ReorderLevel]]*3,"Over Stock","Okay")</f>
        <v>Over Stock</v>
      </c>
      <c r="O1814" t="str">
        <f>IF(Table1[[#This Row],[CurrentStock]]&lt;Table1[[#This Row],[ReorderLevel]],"Reorder","Okay")</f>
        <v>Okay</v>
      </c>
    </row>
    <row r="1815" spans="1:15" x14ac:dyDescent="0.3">
      <c r="A1815">
        <v>67135</v>
      </c>
      <c r="B1815" t="s">
        <v>13</v>
      </c>
      <c r="C1815" t="s">
        <v>29</v>
      </c>
      <c r="D1815">
        <v>435</v>
      </c>
      <c r="E1815">
        <v>100</v>
      </c>
      <c r="F1815">
        <v>257.7</v>
      </c>
      <c r="G1815" t="s">
        <v>35</v>
      </c>
      <c r="H1815" s="1">
        <v>45541</v>
      </c>
      <c r="I1815" s="1">
        <v>45568</v>
      </c>
      <c r="J1815" t="s">
        <v>38</v>
      </c>
      <c r="K1815" t="b">
        <f>Table1[[#This Row],[CurrentStock]]&lt;Table1[[#This Row],[ReorderLevel]]</f>
        <v>0</v>
      </c>
      <c r="L1815" s="9">
        <f>Table1[[#This Row],[CurrentStock]]*Table1[[#This Row],[UnitPrice]]</f>
        <v>112099.5</v>
      </c>
      <c r="M1815" t="str">
        <f>IF(Table1[[#This Row],[ReorderLevel]]-Table1[[#This Row],[CurrentStock]]&gt;0,Table1[[#This Row],[ReorderLevel]]-Table1[[#This Row],[CurrentStock]],"")</f>
        <v/>
      </c>
      <c r="N1815" t="str">
        <f>IF(Table1[[#This Row],[CurrentStock]]&gt;Table1[[#This Row],[ReorderLevel]]*3,"Over Stock","Okay")</f>
        <v>Over Stock</v>
      </c>
      <c r="O1815" t="str">
        <f>IF(Table1[[#This Row],[CurrentStock]]&lt;Table1[[#This Row],[ReorderLevel]],"Reorder","Okay")</f>
        <v>Okay</v>
      </c>
    </row>
    <row r="1816" spans="1:15" x14ac:dyDescent="0.3">
      <c r="A1816">
        <v>40085</v>
      </c>
      <c r="B1816" t="s">
        <v>20</v>
      </c>
      <c r="C1816" t="s">
        <v>29</v>
      </c>
      <c r="D1816">
        <v>16</v>
      </c>
      <c r="E1816">
        <v>150</v>
      </c>
      <c r="F1816">
        <v>46.04</v>
      </c>
      <c r="G1816" t="s">
        <v>34</v>
      </c>
      <c r="H1816" s="1">
        <v>45601</v>
      </c>
      <c r="I1816" s="1">
        <v>45632</v>
      </c>
      <c r="J1816" t="s">
        <v>38</v>
      </c>
      <c r="K1816" t="b">
        <f>Table1[[#This Row],[CurrentStock]]&lt;Table1[[#This Row],[ReorderLevel]]</f>
        <v>1</v>
      </c>
      <c r="L1816" s="9">
        <f>Table1[[#This Row],[CurrentStock]]*Table1[[#This Row],[UnitPrice]]</f>
        <v>736.64</v>
      </c>
      <c r="M1816">
        <f>IF(Table1[[#This Row],[ReorderLevel]]-Table1[[#This Row],[CurrentStock]]&gt;0,Table1[[#This Row],[ReorderLevel]]-Table1[[#This Row],[CurrentStock]],"")</f>
        <v>134</v>
      </c>
      <c r="N1816" t="str">
        <f>IF(Table1[[#This Row],[CurrentStock]]&gt;Table1[[#This Row],[ReorderLevel]]*3,"Over Stock","Okay")</f>
        <v>Okay</v>
      </c>
      <c r="O1816" t="str">
        <f>IF(Table1[[#This Row],[CurrentStock]]&lt;Table1[[#This Row],[ReorderLevel]],"Reorder","Okay")</f>
        <v>Reorder</v>
      </c>
    </row>
    <row r="1817" spans="1:15" x14ac:dyDescent="0.3">
      <c r="A1817">
        <v>26057</v>
      </c>
      <c r="B1817" t="s">
        <v>10</v>
      </c>
      <c r="C1817" t="s">
        <v>27</v>
      </c>
      <c r="D1817">
        <v>111</v>
      </c>
      <c r="E1817">
        <v>100</v>
      </c>
      <c r="F1817">
        <v>298.58999999999997</v>
      </c>
      <c r="G1817" t="s">
        <v>33</v>
      </c>
      <c r="H1817" s="1">
        <v>45298</v>
      </c>
      <c r="I1817" s="1">
        <v>45328</v>
      </c>
      <c r="J1817" t="s">
        <v>39</v>
      </c>
      <c r="K1817" t="b">
        <f>Table1[[#This Row],[CurrentStock]]&lt;Table1[[#This Row],[ReorderLevel]]</f>
        <v>0</v>
      </c>
      <c r="L1817" s="9">
        <f>Table1[[#This Row],[CurrentStock]]*Table1[[#This Row],[UnitPrice]]</f>
        <v>33143.49</v>
      </c>
      <c r="M1817" t="str">
        <f>IF(Table1[[#This Row],[ReorderLevel]]-Table1[[#This Row],[CurrentStock]]&gt;0,Table1[[#This Row],[ReorderLevel]]-Table1[[#This Row],[CurrentStock]],"")</f>
        <v/>
      </c>
      <c r="N1817" t="str">
        <f>IF(Table1[[#This Row],[CurrentStock]]&gt;Table1[[#This Row],[ReorderLevel]]*3,"Over Stock","Okay")</f>
        <v>Okay</v>
      </c>
      <c r="O1817" t="str">
        <f>IF(Table1[[#This Row],[CurrentStock]]&lt;Table1[[#This Row],[ReorderLevel]],"Reorder","Okay")</f>
        <v>Okay</v>
      </c>
    </row>
    <row r="1818" spans="1:15" x14ac:dyDescent="0.3">
      <c r="A1818">
        <v>43149</v>
      </c>
      <c r="B1818" t="s">
        <v>23</v>
      </c>
      <c r="C1818" t="s">
        <v>30</v>
      </c>
      <c r="D1818">
        <v>477</v>
      </c>
      <c r="E1818">
        <v>150</v>
      </c>
      <c r="F1818">
        <v>219.95</v>
      </c>
      <c r="G1818" t="s">
        <v>36</v>
      </c>
      <c r="H1818" s="1">
        <v>45406</v>
      </c>
      <c r="I1818" s="1">
        <v>45434</v>
      </c>
      <c r="J1818" t="s">
        <v>39</v>
      </c>
      <c r="K1818" t="b">
        <f>Table1[[#This Row],[CurrentStock]]&lt;Table1[[#This Row],[ReorderLevel]]</f>
        <v>0</v>
      </c>
      <c r="L1818" s="9">
        <f>Table1[[#This Row],[CurrentStock]]*Table1[[#This Row],[UnitPrice]]</f>
        <v>104916.15</v>
      </c>
      <c r="M1818" t="str">
        <f>IF(Table1[[#This Row],[ReorderLevel]]-Table1[[#This Row],[CurrentStock]]&gt;0,Table1[[#This Row],[ReorderLevel]]-Table1[[#This Row],[CurrentStock]],"")</f>
        <v/>
      </c>
      <c r="N1818" t="str">
        <f>IF(Table1[[#This Row],[CurrentStock]]&gt;Table1[[#This Row],[ReorderLevel]]*3,"Over Stock","Okay")</f>
        <v>Over Stock</v>
      </c>
      <c r="O1818" t="str">
        <f>IF(Table1[[#This Row],[CurrentStock]]&lt;Table1[[#This Row],[ReorderLevel]],"Reorder","Okay")</f>
        <v>Okay</v>
      </c>
    </row>
    <row r="1819" spans="1:15" x14ac:dyDescent="0.3">
      <c r="A1819">
        <v>66869</v>
      </c>
      <c r="B1819" t="s">
        <v>16</v>
      </c>
      <c r="C1819" t="s">
        <v>30</v>
      </c>
      <c r="D1819">
        <v>274</v>
      </c>
      <c r="E1819">
        <v>150</v>
      </c>
      <c r="F1819">
        <v>152.16</v>
      </c>
      <c r="G1819" t="s">
        <v>35</v>
      </c>
      <c r="H1819" s="1">
        <v>45335</v>
      </c>
      <c r="I1819" s="1">
        <v>45353</v>
      </c>
      <c r="J1819" t="s">
        <v>37</v>
      </c>
      <c r="K1819" t="b">
        <f>Table1[[#This Row],[CurrentStock]]&lt;Table1[[#This Row],[ReorderLevel]]</f>
        <v>0</v>
      </c>
      <c r="L1819" s="9">
        <f>Table1[[#This Row],[CurrentStock]]*Table1[[#This Row],[UnitPrice]]</f>
        <v>41691.839999999997</v>
      </c>
      <c r="M1819" t="str">
        <f>IF(Table1[[#This Row],[ReorderLevel]]-Table1[[#This Row],[CurrentStock]]&gt;0,Table1[[#This Row],[ReorderLevel]]-Table1[[#This Row],[CurrentStock]],"")</f>
        <v/>
      </c>
      <c r="N1819" t="str">
        <f>IF(Table1[[#This Row],[CurrentStock]]&gt;Table1[[#This Row],[ReorderLevel]]*3,"Over Stock","Okay")</f>
        <v>Okay</v>
      </c>
      <c r="O1819" t="str">
        <f>IF(Table1[[#This Row],[CurrentStock]]&lt;Table1[[#This Row],[ReorderLevel]],"Reorder","Okay")</f>
        <v>Okay</v>
      </c>
    </row>
    <row r="1820" spans="1:15" x14ac:dyDescent="0.3">
      <c r="A1820">
        <v>65333</v>
      </c>
      <c r="B1820" t="s">
        <v>24</v>
      </c>
      <c r="C1820" t="s">
        <v>31</v>
      </c>
      <c r="D1820">
        <v>380</v>
      </c>
      <c r="E1820">
        <v>80</v>
      </c>
      <c r="F1820">
        <v>425.32</v>
      </c>
      <c r="G1820" t="s">
        <v>32</v>
      </c>
      <c r="H1820" s="1">
        <v>45377</v>
      </c>
      <c r="I1820" s="1">
        <v>45384</v>
      </c>
      <c r="J1820" t="s">
        <v>38</v>
      </c>
      <c r="K1820" t="b">
        <f>Table1[[#This Row],[CurrentStock]]&lt;Table1[[#This Row],[ReorderLevel]]</f>
        <v>0</v>
      </c>
      <c r="L1820" s="9">
        <f>Table1[[#This Row],[CurrentStock]]*Table1[[#This Row],[UnitPrice]]</f>
        <v>161621.6</v>
      </c>
      <c r="M1820" t="str">
        <f>IF(Table1[[#This Row],[ReorderLevel]]-Table1[[#This Row],[CurrentStock]]&gt;0,Table1[[#This Row],[ReorderLevel]]-Table1[[#This Row],[CurrentStock]],"")</f>
        <v/>
      </c>
      <c r="N1820" t="str">
        <f>IF(Table1[[#This Row],[CurrentStock]]&gt;Table1[[#This Row],[ReorderLevel]]*3,"Over Stock","Okay")</f>
        <v>Over Stock</v>
      </c>
      <c r="O1820" t="str">
        <f>IF(Table1[[#This Row],[CurrentStock]]&lt;Table1[[#This Row],[ReorderLevel]],"Reorder","Okay")</f>
        <v>Okay</v>
      </c>
    </row>
    <row r="1821" spans="1:15" x14ac:dyDescent="0.3">
      <c r="A1821">
        <v>10792</v>
      </c>
      <c r="B1821" t="s">
        <v>12</v>
      </c>
      <c r="C1821" t="s">
        <v>28</v>
      </c>
      <c r="D1821">
        <v>447</v>
      </c>
      <c r="E1821">
        <v>150</v>
      </c>
      <c r="F1821">
        <v>286.57</v>
      </c>
      <c r="G1821" t="s">
        <v>34</v>
      </c>
      <c r="H1821" s="1">
        <v>45617</v>
      </c>
      <c r="I1821" s="1">
        <v>45622</v>
      </c>
      <c r="J1821" t="s">
        <v>38</v>
      </c>
      <c r="K1821" t="b">
        <f>Table1[[#This Row],[CurrentStock]]&lt;Table1[[#This Row],[ReorderLevel]]</f>
        <v>0</v>
      </c>
      <c r="L1821" s="9">
        <f>Table1[[#This Row],[CurrentStock]]*Table1[[#This Row],[UnitPrice]]</f>
        <v>128096.79</v>
      </c>
      <c r="M1821" t="str">
        <f>IF(Table1[[#This Row],[ReorderLevel]]-Table1[[#This Row],[CurrentStock]]&gt;0,Table1[[#This Row],[ReorderLevel]]-Table1[[#This Row],[CurrentStock]],"")</f>
        <v/>
      </c>
      <c r="N1821" t="str">
        <f>IF(Table1[[#This Row],[CurrentStock]]&gt;Table1[[#This Row],[ReorderLevel]]*3,"Over Stock","Okay")</f>
        <v>Okay</v>
      </c>
      <c r="O1821" t="str">
        <f>IF(Table1[[#This Row],[CurrentStock]]&lt;Table1[[#This Row],[ReorderLevel]],"Reorder","Okay")</f>
        <v>Okay</v>
      </c>
    </row>
    <row r="1822" spans="1:15" x14ac:dyDescent="0.3">
      <c r="A1822">
        <v>54870</v>
      </c>
      <c r="B1822" t="s">
        <v>24</v>
      </c>
      <c r="C1822" t="s">
        <v>31</v>
      </c>
      <c r="D1822">
        <v>130</v>
      </c>
      <c r="E1822">
        <v>40</v>
      </c>
      <c r="F1822">
        <v>97.02</v>
      </c>
      <c r="G1822" t="s">
        <v>33</v>
      </c>
      <c r="H1822" s="1">
        <v>45404</v>
      </c>
      <c r="I1822" s="1">
        <v>45409</v>
      </c>
      <c r="J1822" t="s">
        <v>38</v>
      </c>
      <c r="K1822" t="b">
        <f>Table1[[#This Row],[CurrentStock]]&lt;Table1[[#This Row],[ReorderLevel]]</f>
        <v>0</v>
      </c>
      <c r="L1822" s="9">
        <f>Table1[[#This Row],[CurrentStock]]*Table1[[#This Row],[UnitPrice]]</f>
        <v>12612.6</v>
      </c>
      <c r="M1822" t="str">
        <f>IF(Table1[[#This Row],[ReorderLevel]]-Table1[[#This Row],[CurrentStock]]&gt;0,Table1[[#This Row],[ReorderLevel]]-Table1[[#This Row],[CurrentStock]],"")</f>
        <v/>
      </c>
      <c r="N1822" t="str">
        <f>IF(Table1[[#This Row],[CurrentStock]]&gt;Table1[[#This Row],[ReorderLevel]]*3,"Over Stock","Okay")</f>
        <v>Over Stock</v>
      </c>
      <c r="O1822" t="str">
        <f>IF(Table1[[#This Row],[CurrentStock]]&lt;Table1[[#This Row],[ReorderLevel]],"Reorder","Okay")</f>
        <v>Okay</v>
      </c>
    </row>
    <row r="1823" spans="1:15" x14ac:dyDescent="0.3">
      <c r="A1823">
        <v>24937</v>
      </c>
      <c r="B1823" t="s">
        <v>15</v>
      </c>
      <c r="C1823" t="s">
        <v>29</v>
      </c>
      <c r="D1823">
        <v>157</v>
      </c>
      <c r="E1823">
        <v>40</v>
      </c>
      <c r="F1823">
        <v>78.41</v>
      </c>
      <c r="G1823" t="s">
        <v>32</v>
      </c>
      <c r="H1823" s="1">
        <v>45560</v>
      </c>
      <c r="I1823" s="1">
        <v>45584</v>
      </c>
      <c r="J1823" t="s">
        <v>37</v>
      </c>
      <c r="K1823" t="b">
        <f>Table1[[#This Row],[CurrentStock]]&lt;Table1[[#This Row],[ReorderLevel]]</f>
        <v>0</v>
      </c>
      <c r="L1823" s="9">
        <f>Table1[[#This Row],[CurrentStock]]*Table1[[#This Row],[UnitPrice]]</f>
        <v>12310.369999999999</v>
      </c>
      <c r="M1823" t="str">
        <f>IF(Table1[[#This Row],[ReorderLevel]]-Table1[[#This Row],[CurrentStock]]&gt;0,Table1[[#This Row],[ReorderLevel]]-Table1[[#This Row],[CurrentStock]],"")</f>
        <v/>
      </c>
      <c r="N1823" t="str">
        <f>IF(Table1[[#This Row],[CurrentStock]]&gt;Table1[[#This Row],[ReorderLevel]]*3,"Over Stock","Okay")</f>
        <v>Over Stock</v>
      </c>
      <c r="O1823" t="str">
        <f>IF(Table1[[#This Row],[CurrentStock]]&lt;Table1[[#This Row],[ReorderLevel]],"Reorder","Okay")</f>
        <v>Okay</v>
      </c>
    </row>
    <row r="1824" spans="1:15" x14ac:dyDescent="0.3">
      <c r="A1824">
        <v>58122</v>
      </c>
      <c r="B1824" t="s">
        <v>18</v>
      </c>
      <c r="C1824" t="s">
        <v>28</v>
      </c>
      <c r="D1824">
        <v>303</v>
      </c>
      <c r="E1824">
        <v>50</v>
      </c>
      <c r="F1824">
        <v>43.96</v>
      </c>
      <c r="G1824" t="s">
        <v>34</v>
      </c>
      <c r="H1824" s="1">
        <v>45533</v>
      </c>
      <c r="I1824" s="1">
        <v>45571</v>
      </c>
      <c r="J1824" t="s">
        <v>37</v>
      </c>
      <c r="K1824" t="b">
        <f>Table1[[#This Row],[CurrentStock]]&lt;Table1[[#This Row],[ReorderLevel]]</f>
        <v>0</v>
      </c>
      <c r="L1824" s="9">
        <f>Table1[[#This Row],[CurrentStock]]*Table1[[#This Row],[UnitPrice]]</f>
        <v>13319.880000000001</v>
      </c>
      <c r="M1824" t="str">
        <f>IF(Table1[[#This Row],[ReorderLevel]]-Table1[[#This Row],[CurrentStock]]&gt;0,Table1[[#This Row],[ReorderLevel]]-Table1[[#This Row],[CurrentStock]],"")</f>
        <v/>
      </c>
      <c r="N1824" t="str">
        <f>IF(Table1[[#This Row],[CurrentStock]]&gt;Table1[[#This Row],[ReorderLevel]]*3,"Over Stock","Okay")</f>
        <v>Over Stock</v>
      </c>
      <c r="O1824" t="str">
        <f>IF(Table1[[#This Row],[CurrentStock]]&lt;Table1[[#This Row],[ReorderLevel]],"Reorder","Okay")</f>
        <v>Okay</v>
      </c>
    </row>
    <row r="1825" spans="1:15" x14ac:dyDescent="0.3">
      <c r="A1825">
        <v>73175</v>
      </c>
      <c r="B1825" t="s">
        <v>15</v>
      </c>
      <c r="C1825" t="s">
        <v>29</v>
      </c>
      <c r="D1825">
        <v>385</v>
      </c>
      <c r="E1825">
        <v>150</v>
      </c>
      <c r="F1825">
        <v>183.39</v>
      </c>
      <c r="G1825" t="s">
        <v>33</v>
      </c>
      <c r="H1825" s="1">
        <v>45447</v>
      </c>
      <c r="I1825" s="1">
        <v>45472</v>
      </c>
      <c r="J1825" t="s">
        <v>39</v>
      </c>
      <c r="K1825" t="b">
        <f>Table1[[#This Row],[CurrentStock]]&lt;Table1[[#This Row],[ReorderLevel]]</f>
        <v>0</v>
      </c>
      <c r="L1825" s="9">
        <f>Table1[[#This Row],[CurrentStock]]*Table1[[#This Row],[UnitPrice]]</f>
        <v>70605.149999999994</v>
      </c>
      <c r="M1825" t="str">
        <f>IF(Table1[[#This Row],[ReorderLevel]]-Table1[[#This Row],[CurrentStock]]&gt;0,Table1[[#This Row],[ReorderLevel]]-Table1[[#This Row],[CurrentStock]],"")</f>
        <v/>
      </c>
      <c r="N1825" t="str">
        <f>IF(Table1[[#This Row],[CurrentStock]]&gt;Table1[[#This Row],[ReorderLevel]]*3,"Over Stock","Okay")</f>
        <v>Okay</v>
      </c>
      <c r="O1825" t="str">
        <f>IF(Table1[[#This Row],[CurrentStock]]&lt;Table1[[#This Row],[ReorderLevel]],"Reorder","Okay")</f>
        <v>Okay</v>
      </c>
    </row>
    <row r="1826" spans="1:15" x14ac:dyDescent="0.3">
      <c r="A1826">
        <v>21447</v>
      </c>
      <c r="B1826" t="s">
        <v>21</v>
      </c>
      <c r="C1826" t="s">
        <v>31</v>
      </c>
      <c r="D1826">
        <v>200</v>
      </c>
      <c r="E1826">
        <v>50</v>
      </c>
      <c r="F1826">
        <v>197.11</v>
      </c>
      <c r="G1826" t="s">
        <v>32</v>
      </c>
      <c r="H1826" s="1">
        <v>45516</v>
      </c>
      <c r="I1826" s="1">
        <v>45524</v>
      </c>
      <c r="J1826" t="s">
        <v>39</v>
      </c>
      <c r="K1826" t="b">
        <f>Table1[[#This Row],[CurrentStock]]&lt;Table1[[#This Row],[ReorderLevel]]</f>
        <v>0</v>
      </c>
      <c r="L1826" s="9">
        <f>Table1[[#This Row],[CurrentStock]]*Table1[[#This Row],[UnitPrice]]</f>
        <v>39422</v>
      </c>
      <c r="M1826" t="str">
        <f>IF(Table1[[#This Row],[ReorderLevel]]-Table1[[#This Row],[CurrentStock]]&gt;0,Table1[[#This Row],[ReorderLevel]]-Table1[[#This Row],[CurrentStock]],"")</f>
        <v/>
      </c>
      <c r="N1826" t="str">
        <f>IF(Table1[[#This Row],[CurrentStock]]&gt;Table1[[#This Row],[ReorderLevel]]*3,"Over Stock","Okay")</f>
        <v>Over Stock</v>
      </c>
      <c r="O1826" t="str">
        <f>IF(Table1[[#This Row],[CurrentStock]]&lt;Table1[[#This Row],[ReorderLevel]],"Reorder","Okay")</f>
        <v>Okay</v>
      </c>
    </row>
    <row r="1827" spans="1:15" x14ac:dyDescent="0.3">
      <c r="A1827">
        <v>12589</v>
      </c>
      <c r="B1827" t="s">
        <v>14</v>
      </c>
      <c r="C1827" t="s">
        <v>27</v>
      </c>
      <c r="D1827">
        <v>150</v>
      </c>
      <c r="E1827">
        <v>50</v>
      </c>
      <c r="F1827">
        <v>28.08</v>
      </c>
      <c r="G1827" t="s">
        <v>35</v>
      </c>
      <c r="H1827" s="1">
        <v>45645</v>
      </c>
      <c r="I1827" s="1">
        <v>45651</v>
      </c>
      <c r="J1827" t="s">
        <v>38</v>
      </c>
      <c r="K1827" t="b">
        <f>Table1[[#This Row],[CurrentStock]]&lt;Table1[[#This Row],[ReorderLevel]]</f>
        <v>0</v>
      </c>
      <c r="L1827" s="9">
        <f>Table1[[#This Row],[CurrentStock]]*Table1[[#This Row],[UnitPrice]]</f>
        <v>4212</v>
      </c>
      <c r="M1827" t="str">
        <f>IF(Table1[[#This Row],[ReorderLevel]]-Table1[[#This Row],[CurrentStock]]&gt;0,Table1[[#This Row],[ReorderLevel]]-Table1[[#This Row],[CurrentStock]],"")</f>
        <v/>
      </c>
      <c r="N1827" t="str">
        <f>IF(Table1[[#This Row],[CurrentStock]]&gt;Table1[[#This Row],[ReorderLevel]]*3,"Over Stock","Okay")</f>
        <v>Okay</v>
      </c>
      <c r="O1827" t="str">
        <f>IF(Table1[[#This Row],[CurrentStock]]&lt;Table1[[#This Row],[ReorderLevel]],"Reorder","Okay")</f>
        <v>Okay</v>
      </c>
    </row>
    <row r="1828" spans="1:15" x14ac:dyDescent="0.3">
      <c r="A1828">
        <v>71104</v>
      </c>
      <c r="B1828" t="s">
        <v>21</v>
      </c>
      <c r="C1828" t="s">
        <v>31</v>
      </c>
      <c r="D1828">
        <v>167</v>
      </c>
      <c r="E1828">
        <v>20</v>
      </c>
      <c r="F1828">
        <v>139.61000000000001</v>
      </c>
      <c r="G1828" t="s">
        <v>35</v>
      </c>
      <c r="H1828" s="1">
        <v>45519</v>
      </c>
      <c r="I1828" s="1">
        <v>45535</v>
      </c>
      <c r="J1828" t="s">
        <v>37</v>
      </c>
      <c r="K1828" t="b">
        <f>Table1[[#This Row],[CurrentStock]]&lt;Table1[[#This Row],[ReorderLevel]]</f>
        <v>0</v>
      </c>
      <c r="L1828" s="9">
        <f>Table1[[#This Row],[CurrentStock]]*Table1[[#This Row],[UnitPrice]]</f>
        <v>23314.870000000003</v>
      </c>
      <c r="M1828" t="str">
        <f>IF(Table1[[#This Row],[ReorderLevel]]-Table1[[#This Row],[CurrentStock]]&gt;0,Table1[[#This Row],[ReorderLevel]]-Table1[[#This Row],[CurrentStock]],"")</f>
        <v/>
      </c>
      <c r="N1828" t="str">
        <f>IF(Table1[[#This Row],[CurrentStock]]&gt;Table1[[#This Row],[ReorderLevel]]*3,"Over Stock","Okay")</f>
        <v>Over Stock</v>
      </c>
      <c r="O1828" t="str">
        <f>IF(Table1[[#This Row],[CurrentStock]]&lt;Table1[[#This Row],[ReorderLevel]],"Reorder","Okay")</f>
        <v>Okay</v>
      </c>
    </row>
    <row r="1829" spans="1:15" x14ac:dyDescent="0.3">
      <c r="A1829">
        <v>60298</v>
      </c>
      <c r="B1829" t="s">
        <v>15</v>
      </c>
      <c r="C1829" t="s">
        <v>29</v>
      </c>
      <c r="D1829">
        <v>45</v>
      </c>
      <c r="E1829">
        <v>100</v>
      </c>
      <c r="F1829">
        <v>352.51</v>
      </c>
      <c r="G1829" t="s">
        <v>36</v>
      </c>
      <c r="H1829" s="1">
        <v>45651</v>
      </c>
      <c r="I1829" s="1">
        <v>45660</v>
      </c>
      <c r="J1829" t="s">
        <v>37</v>
      </c>
      <c r="K1829" t="b">
        <f>Table1[[#This Row],[CurrentStock]]&lt;Table1[[#This Row],[ReorderLevel]]</f>
        <v>1</v>
      </c>
      <c r="L1829" s="9">
        <f>Table1[[#This Row],[CurrentStock]]*Table1[[#This Row],[UnitPrice]]</f>
        <v>15862.949999999999</v>
      </c>
      <c r="M1829">
        <f>IF(Table1[[#This Row],[ReorderLevel]]-Table1[[#This Row],[CurrentStock]]&gt;0,Table1[[#This Row],[ReorderLevel]]-Table1[[#This Row],[CurrentStock]],"")</f>
        <v>55</v>
      </c>
      <c r="N1829" t="str">
        <f>IF(Table1[[#This Row],[CurrentStock]]&gt;Table1[[#This Row],[ReorderLevel]]*3,"Over Stock","Okay")</f>
        <v>Okay</v>
      </c>
      <c r="O1829" t="str">
        <f>IF(Table1[[#This Row],[CurrentStock]]&lt;Table1[[#This Row],[ReorderLevel]],"Reorder","Okay")</f>
        <v>Reorder</v>
      </c>
    </row>
    <row r="1830" spans="1:15" x14ac:dyDescent="0.3">
      <c r="A1830">
        <v>46366</v>
      </c>
      <c r="B1830" t="s">
        <v>13</v>
      </c>
      <c r="C1830" t="s">
        <v>29</v>
      </c>
      <c r="D1830">
        <v>499</v>
      </c>
      <c r="E1830">
        <v>150</v>
      </c>
      <c r="F1830">
        <v>172.63</v>
      </c>
      <c r="G1830" t="s">
        <v>34</v>
      </c>
      <c r="H1830" s="1">
        <v>45373</v>
      </c>
      <c r="I1830" s="1">
        <v>45389</v>
      </c>
      <c r="J1830" t="s">
        <v>38</v>
      </c>
      <c r="K1830" t="b">
        <f>Table1[[#This Row],[CurrentStock]]&lt;Table1[[#This Row],[ReorderLevel]]</f>
        <v>0</v>
      </c>
      <c r="L1830" s="9">
        <f>Table1[[#This Row],[CurrentStock]]*Table1[[#This Row],[UnitPrice]]</f>
        <v>86142.37</v>
      </c>
      <c r="M1830" t="str">
        <f>IF(Table1[[#This Row],[ReorderLevel]]-Table1[[#This Row],[CurrentStock]]&gt;0,Table1[[#This Row],[ReorderLevel]]-Table1[[#This Row],[CurrentStock]],"")</f>
        <v/>
      </c>
      <c r="N1830" t="str">
        <f>IF(Table1[[#This Row],[CurrentStock]]&gt;Table1[[#This Row],[ReorderLevel]]*3,"Over Stock","Okay")</f>
        <v>Over Stock</v>
      </c>
      <c r="O1830" t="str">
        <f>IF(Table1[[#This Row],[CurrentStock]]&lt;Table1[[#This Row],[ReorderLevel]],"Reorder","Okay")</f>
        <v>Okay</v>
      </c>
    </row>
    <row r="1831" spans="1:15" x14ac:dyDescent="0.3">
      <c r="A1831">
        <v>45779</v>
      </c>
      <c r="B1831" t="s">
        <v>25</v>
      </c>
      <c r="C1831" t="s">
        <v>31</v>
      </c>
      <c r="D1831">
        <v>371</v>
      </c>
      <c r="E1831">
        <v>20</v>
      </c>
      <c r="F1831">
        <v>374.65</v>
      </c>
      <c r="G1831" t="s">
        <v>32</v>
      </c>
      <c r="H1831" s="1">
        <v>45598</v>
      </c>
      <c r="I1831" s="1">
        <v>45610</v>
      </c>
      <c r="J1831" t="s">
        <v>38</v>
      </c>
      <c r="K1831" t="b">
        <f>Table1[[#This Row],[CurrentStock]]&lt;Table1[[#This Row],[ReorderLevel]]</f>
        <v>0</v>
      </c>
      <c r="L1831" s="9">
        <f>Table1[[#This Row],[CurrentStock]]*Table1[[#This Row],[UnitPrice]]</f>
        <v>138995.15</v>
      </c>
      <c r="M1831" t="str">
        <f>IF(Table1[[#This Row],[ReorderLevel]]-Table1[[#This Row],[CurrentStock]]&gt;0,Table1[[#This Row],[ReorderLevel]]-Table1[[#This Row],[CurrentStock]],"")</f>
        <v/>
      </c>
      <c r="N1831" t="str">
        <f>IF(Table1[[#This Row],[CurrentStock]]&gt;Table1[[#This Row],[ReorderLevel]]*3,"Over Stock","Okay")</f>
        <v>Over Stock</v>
      </c>
      <c r="O1831" t="str">
        <f>IF(Table1[[#This Row],[CurrentStock]]&lt;Table1[[#This Row],[ReorderLevel]],"Reorder","Okay")</f>
        <v>Okay</v>
      </c>
    </row>
    <row r="1832" spans="1:15" x14ac:dyDescent="0.3">
      <c r="A1832">
        <v>76555</v>
      </c>
      <c r="B1832" t="s">
        <v>13</v>
      </c>
      <c r="C1832" t="s">
        <v>29</v>
      </c>
      <c r="D1832">
        <v>284</v>
      </c>
      <c r="E1832">
        <v>30</v>
      </c>
      <c r="F1832">
        <v>479.6</v>
      </c>
      <c r="G1832" t="s">
        <v>33</v>
      </c>
      <c r="H1832" s="1">
        <v>45577</v>
      </c>
      <c r="I1832" s="1">
        <v>45611</v>
      </c>
      <c r="J1832" t="s">
        <v>37</v>
      </c>
      <c r="K1832" t="b">
        <f>Table1[[#This Row],[CurrentStock]]&lt;Table1[[#This Row],[ReorderLevel]]</f>
        <v>0</v>
      </c>
      <c r="L1832" s="9">
        <f>Table1[[#This Row],[CurrentStock]]*Table1[[#This Row],[UnitPrice]]</f>
        <v>136206.39999999999</v>
      </c>
      <c r="M1832" t="str">
        <f>IF(Table1[[#This Row],[ReorderLevel]]-Table1[[#This Row],[CurrentStock]]&gt;0,Table1[[#This Row],[ReorderLevel]]-Table1[[#This Row],[CurrentStock]],"")</f>
        <v/>
      </c>
      <c r="N1832" t="str">
        <f>IF(Table1[[#This Row],[CurrentStock]]&gt;Table1[[#This Row],[ReorderLevel]]*3,"Over Stock","Okay")</f>
        <v>Over Stock</v>
      </c>
      <c r="O1832" t="str">
        <f>IF(Table1[[#This Row],[CurrentStock]]&lt;Table1[[#This Row],[ReorderLevel]],"Reorder","Okay")</f>
        <v>Okay</v>
      </c>
    </row>
    <row r="1833" spans="1:15" x14ac:dyDescent="0.3">
      <c r="A1833">
        <v>65165</v>
      </c>
      <c r="B1833" t="s">
        <v>25</v>
      </c>
      <c r="C1833" t="s">
        <v>31</v>
      </c>
      <c r="D1833">
        <v>278</v>
      </c>
      <c r="E1833">
        <v>40</v>
      </c>
      <c r="F1833">
        <v>272.06</v>
      </c>
      <c r="G1833" t="s">
        <v>36</v>
      </c>
      <c r="H1833" s="1">
        <v>45415</v>
      </c>
      <c r="I1833" s="1">
        <v>45432</v>
      </c>
      <c r="J1833" t="s">
        <v>39</v>
      </c>
      <c r="K1833" t="b">
        <f>Table1[[#This Row],[CurrentStock]]&lt;Table1[[#This Row],[ReorderLevel]]</f>
        <v>0</v>
      </c>
      <c r="L1833" s="9">
        <f>Table1[[#This Row],[CurrentStock]]*Table1[[#This Row],[UnitPrice]]</f>
        <v>75632.680000000008</v>
      </c>
      <c r="M1833" t="str">
        <f>IF(Table1[[#This Row],[ReorderLevel]]-Table1[[#This Row],[CurrentStock]]&gt;0,Table1[[#This Row],[ReorderLevel]]-Table1[[#This Row],[CurrentStock]],"")</f>
        <v/>
      </c>
      <c r="N1833" t="str">
        <f>IF(Table1[[#This Row],[CurrentStock]]&gt;Table1[[#This Row],[ReorderLevel]]*3,"Over Stock","Okay")</f>
        <v>Over Stock</v>
      </c>
      <c r="O1833" t="str">
        <f>IF(Table1[[#This Row],[CurrentStock]]&lt;Table1[[#This Row],[ReorderLevel]],"Reorder","Okay")</f>
        <v>Okay</v>
      </c>
    </row>
    <row r="1834" spans="1:15" x14ac:dyDescent="0.3">
      <c r="A1834">
        <v>97404</v>
      </c>
      <c r="B1834" t="s">
        <v>20</v>
      </c>
      <c r="C1834" t="s">
        <v>29</v>
      </c>
      <c r="D1834">
        <v>460</v>
      </c>
      <c r="E1834">
        <v>20</v>
      </c>
      <c r="F1834">
        <v>312.45999999999998</v>
      </c>
      <c r="G1834" t="s">
        <v>36</v>
      </c>
      <c r="H1834" s="1">
        <v>45439</v>
      </c>
      <c r="I1834" s="1">
        <v>45457</v>
      </c>
      <c r="J1834" t="s">
        <v>38</v>
      </c>
      <c r="K1834" t="b">
        <f>Table1[[#This Row],[CurrentStock]]&lt;Table1[[#This Row],[ReorderLevel]]</f>
        <v>0</v>
      </c>
      <c r="L1834" s="9">
        <f>Table1[[#This Row],[CurrentStock]]*Table1[[#This Row],[UnitPrice]]</f>
        <v>143731.59999999998</v>
      </c>
      <c r="M1834" t="str">
        <f>IF(Table1[[#This Row],[ReorderLevel]]-Table1[[#This Row],[CurrentStock]]&gt;0,Table1[[#This Row],[ReorderLevel]]-Table1[[#This Row],[CurrentStock]],"")</f>
        <v/>
      </c>
      <c r="N1834" t="str">
        <f>IF(Table1[[#This Row],[CurrentStock]]&gt;Table1[[#This Row],[ReorderLevel]]*3,"Over Stock","Okay")</f>
        <v>Over Stock</v>
      </c>
      <c r="O1834" t="str">
        <f>IF(Table1[[#This Row],[CurrentStock]]&lt;Table1[[#This Row],[ReorderLevel]],"Reorder","Okay")</f>
        <v>Okay</v>
      </c>
    </row>
    <row r="1835" spans="1:15" x14ac:dyDescent="0.3">
      <c r="A1835">
        <v>94351</v>
      </c>
      <c r="B1835" t="s">
        <v>20</v>
      </c>
      <c r="C1835" t="s">
        <v>29</v>
      </c>
      <c r="D1835">
        <v>469</v>
      </c>
      <c r="E1835">
        <v>30</v>
      </c>
      <c r="F1835">
        <v>268.58999999999997</v>
      </c>
      <c r="G1835" t="s">
        <v>33</v>
      </c>
      <c r="H1835" s="1">
        <v>45523</v>
      </c>
      <c r="I1835" s="1">
        <v>45530</v>
      </c>
      <c r="J1835" t="s">
        <v>39</v>
      </c>
      <c r="K1835" t="b">
        <f>Table1[[#This Row],[CurrentStock]]&lt;Table1[[#This Row],[ReorderLevel]]</f>
        <v>0</v>
      </c>
      <c r="L1835" s="9">
        <f>Table1[[#This Row],[CurrentStock]]*Table1[[#This Row],[UnitPrice]]</f>
        <v>125968.70999999999</v>
      </c>
      <c r="M1835" t="str">
        <f>IF(Table1[[#This Row],[ReorderLevel]]-Table1[[#This Row],[CurrentStock]]&gt;0,Table1[[#This Row],[ReorderLevel]]-Table1[[#This Row],[CurrentStock]],"")</f>
        <v/>
      </c>
      <c r="N1835" t="str">
        <f>IF(Table1[[#This Row],[CurrentStock]]&gt;Table1[[#This Row],[ReorderLevel]]*3,"Over Stock","Okay")</f>
        <v>Over Stock</v>
      </c>
      <c r="O1835" t="str">
        <f>IF(Table1[[#This Row],[CurrentStock]]&lt;Table1[[#This Row],[ReorderLevel]],"Reorder","Okay")</f>
        <v>Okay</v>
      </c>
    </row>
    <row r="1836" spans="1:15" x14ac:dyDescent="0.3">
      <c r="A1836">
        <v>97081</v>
      </c>
      <c r="B1836" t="s">
        <v>24</v>
      </c>
      <c r="C1836" t="s">
        <v>31</v>
      </c>
      <c r="D1836">
        <v>380</v>
      </c>
      <c r="E1836">
        <v>20</v>
      </c>
      <c r="F1836">
        <v>192.83</v>
      </c>
      <c r="G1836" t="s">
        <v>36</v>
      </c>
      <c r="H1836" s="1">
        <v>45411</v>
      </c>
      <c r="I1836" s="1">
        <v>45431</v>
      </c>
      <c r="J1836" t="s">
        <v>39</v>
      </c>
      <c r="K1836" t="b">
        <f>Table1[[#This Row],[CurrentStock]]&lt;Table1[[#This Row],[ReorderLevel]]</f>
        <v>0</v>
      </c>
      <c r="L1836" s="9">
        <f>Table1[[#This Row],[CurrentStock]]*Table1[[#This Row],[UnitPrice]]</f>
        <v>73275.400000000009</v>
      </c>
      <c r="M1836" t="str">
        <f>IF(Table1[[#This Row],[ReorderLevel]]-Table1[[#This Row],[CurrentStock]]&gt;0,Table1[[#This Row],[ReorderLevel]]-Table1[[#This Row],[CurrentStock]],"")</f>
        <v/>
      </c>
      <c r="N1836" t="str">
        <f>IF(Table1[[#This Row],[CurrentStock]]&gt;Table1[[#This Row],[ReorderLevel]]*3,"Over Stock","Okay")</f>
        <v>Over Stock</v>
      </c>
      <c r="O1836" t="str">
        <f>IF(Table1[[#This Row],[CurrentStock]]&lt;Table1[[#This Row],[ReorderLevel]],"Reorder","Okay")</f>
        <v>Okay</v>
      </c>
    </row>
    <row r="1837" spans="1:15" x14ac:dyDescent="0.3">
      <c r="A1837">
        <v>72979</v>
      </c>
      <c r="B1837" t="s">
        <v>18</v>
      </c>
      <c r="C1837" t="s">
        <v>28</v>
      </c>
      <c r="D1837">
        <v>311</v>
      </c>
      <c r="E1837">
        <v>100</v>
      </c>
      <c r="F1837">
        <v>270.52999999999997</v>
      </c>
      <c r="G1837" t="s">
        <v>33</v>
      </c>
      <c r="H1837" s="1">
        <v>45480</v>
      </c>
      <c r="I1837" s="1">
        <v>45488</v>
      </c>
      <c r="J1837" t="s">
        <v>37</v>
      </c>
      <c r="K1837" t="b">
        <f>Table1[[#This Row],[CurrentStock]]&lt;Table1[[#This Row],[ReorderLevel]]</f>
        <v>0</v>
      </c>
      <c r="L1837" s="9">
        <f>Table1[[#This Row],[CurrentStock]]*Table1[[#This Row],[UnitPrice]]</f>
        <v>84134.829999999987</v>
      </c>
      <c r="M1837" t="str">
        <f>IF(Table1[[#This Row],[ReorderLevel]]-Table1[[#This Row],[CurrentStock]]&gt;0,Table1[[#This Row],[ReorderLevel]]-Table1[[#This Row],[CurrentStock]],"")</f>
        <v/>
      </c>
      <c r="N1837" t="str">
        <f>IF(Table1[[#This Row],[CurrentStock]]&gt;Table1[[#This Row],[ReorderLevel]]*3,"Over Stock","Okay")</f>
        <v>Over Stock</v>
      </c>
      <c r="O1837" t="str">
        <f>IF(Table1[[#This Row],[CurrentStock]]&lt;Table1[[#This Row],[ReorderLevel]],"Reorder","Okay")</f>
        <v>Okay</v>
      </c>
    </row>
    <row r="1838" spans="1:15" x14ac:dyDescent="0.3">
      <c r="A1838">
        <v>27007</v>
      </c>
      <c r="B1838" t="s">
        <v>15</v>
      </c>
      <c r="C1838" t="s">
        <v>29</v>
      </c>
      <c r="D1838">
        <v>483</v>
      </c>
      <c r="E1838">
        <v>80</v>
      </c>
      <c r="F1838">
        <v>156.35</v>
      </c>
      <c r="G1838" t="s">
        <v>36</v>
      </c>
      <c r="H1838" s="1">
        <v>45419</v>
      </c>
      <c r="I1838" s="1">
        <v>45444</v>
      </c>
      <c r="J1838" t="s">
        <v>37</v>
      </c>
      <c r="K1838" t="b">
        <f>Table1[[#This Row],[CurrentStock]]&lt;Table1[[#This Row],[ReorderLevel]]</f>
        <v>0</v>
      </c>
      <c r="L1838" s="9">
        <f>Table1[[#This Row],[CurrentStock]]*Table1[[#This Row],[UnitPrice]]</f>
        <v>75517.05</v>
      </c>
      <c r="M1838" t="str">
        <f>IF(Table1[[#This Row],[ReorderLevel]]-Table1[[#This Row],[CurrentStock]]&gt;0,Table1[[#This Row],[ReorderLevel]]-Table1[[#This Row],[CurrentStock]],"")</f>
        <v/>
      </c>
      <c r="N1838" t="str">
        <f>IF(Table1[[#This Row],[CurrentStock]]&gt;Table1[[#This Row],[ReorderLevel]]*3,"Over Stock","Okay")</f>
        <v>Over Stock</v>
      </c>
      <c r="O1838" t="str">
        <f>IF(Table1[[#This Row],[CurrentStock]]&lt;Table1[[#This Row],[ReorderLevel]],"Reorder","Okay")</f>
        <v>Okay</v>
      </c>
    </row>
    <row r="1839" spans="1:15" x14ac:dyDescent="0.3">
      <c r="A1839">
        <v>74367</v>
      </c>
      <c r="B1839" t="s">
        <v>25</v>
      </c>
      <c r="C1839" t="s">
        <v>31</v>
      </c>
      <c r="D1839">
        <v>385</v>
      </c>
      <c r="E1839">
        <v>20</v>
      </c>
      <c r="F1839">
        <v>242.42</v>
      </c>
      <c r="G1839" t="s">
        <v>35</v>
      </c>
      <c r="H1839" s="1">
        <v>45336</v>
      </c>
      <c r="I1839" s="1">
        <v>45358</v>
      </c>
      <c r="J1839" t="s">
        <v>39</v>
      </c>
      <c r="K1839" t="b">
        <f>Table1[[#This Row],[CurrentStock]]&lt;Table1[[#This Row],[ReorderLevel]]</f>
        <v>0</v>
      </c>
      <c r="L1839" s="9">
        <f>Table1[[#This Row],[CurrentStock]]*Table1[[#This Row],[UnitPrice]]</f>
        <v>93331.7</v>
      </c>
      <c r="M1839" t="str">
        <f>IF(Table1[[#This Row],[ReorderLevel]]-Table1[[#This Row],[CurrentStock]]&gt;0,Table1[[#This Row],[ReorderLevel]]-Table1[[#This Row],[CurrentStock]],"")</f>
        <v/>
      </c>
      <c r="N1839" t="str">
        <f>IF(Table1[[#This Row],[CurrentStock]]&gt;Table1[[#This Row],[ReorderLevel]]*3,"Over Stock","Okay")</f>
        <v>Over Stock</v>
      </c>
      <c r="O1839" t="str">
        <f>IF(Table1[[#This Row],[CurrentStock]]&lt;Table1[[#This Row],[ReorderLevel]],"Reorder","Okay")</f>
        <v>Okay</v>
      </c>
    </row>
    <row r="1840" spans="1:15" x14ac:dyDescent="0.3">
      <c r="A1840">
        <v>70482</v>
      </c>
      <c r="B1840" t="s">
        <v>19</v>
      </c>
      <c r="C1840" t="s">
        <v>28</v>
      </c>
      <c r="D1840">
        <v>88</v>
      </c>
      <c r="E1840">
        <v>30</v>
      </c>
      <c r="F1840">
        <v>226.45</v>
      </c>
      <c r="G1840" t="s">
        <v>32</v>
      </c>
      <c r="H1840" s="1">
        <v>45519</v>
      </c>
      <c r="I1840" s="1">
        <v>45558</v>
      </c>
      <c r="J1840" t="s">
        <v>37</v>
      </c>
      <c r="K1840" t="b">
        <f>Table1[[#This Row],[CurrentStock]]&lt;Table1[[#This Row],[ReorderLevel]]</f>
        <v>0</v>
      </c>
      <c r="L1840" s="9">
        <f>Table1[[#This Row],[CurrentStock]]*Table1[[#This Row],[UnitPrice]]</f>
        <v>19927.599999999999</v>
      </c>
      <c r="M1840" t="str">
        <f>IF(Table1[[#This Row],[ReorderLevel]]-Table1[[#This Row],[CurrentStock]]&gt;0,Table1[[#This Row],[ReorderLevel]]-Table1[[#This Row],[CurrentStock]],"")</f>
        <v/>
      </c>
      <c r="N1840" t="str">
        <f>IF(Table1[[#This Row],[CurrentStock]]&gt;Table1[[#This Row],[ReorderLevel]]*3,"Over Stock","Okay")</f>
        <v>Okay</v>
      </c>
      <c r="O1840" t="str">
        <f>IF(Table1[[#This Row],[CurrentStock]]&lt;Table1[[#This Row],[ReorderLevel]],"Reorder","Okay")</f>
        <v>Okay</v>
      </c>
    </row>
    <row r="1841" spans="1:15" x14ac:dyDescent="0.3">
      <c r="A1841">
        <v>30967</v>
      </c>
      <c r="B1841" t="s">
        <v>15</v>
      </c>
      <c r="C1841" t="s">
        <v>29</v>
      </c>
      <c r="D1841">
        <v>359</v>
      </c>
      <c r="E1841">
        <v>100</v>
      </c>
      <c r="F1841">
        <v>232.36</v>
      </c>
      <c r="G1841" t="s">
        <v>33</v>
      </c>
      <c r="H1841" s="1">
        <v>45592</v>
      </c>
      <c r="I1841" s="1">
        <v>45603</v>
      </c>
      <c r="J1841" t="s">
        <v>37</v>
      </c>
      <c r="K1841" t="b">
        <f>Table1[[#This Row],[CurrentStock]]&lt;Table1[[#This Row],[ReorderLevel]]</f>
        <v>0</v>
      </c>
      <c r="L1841" s="9">
        <f>Table1[[#This Row],[CurrentStock]]*Table1[[#This Row],[UnitPrice]]</f>
        <v>83417.240000000005</v>
      </c>
      <c r="M1841" t="str">
        <f>IF(Table1[[#This Row],[ReorderLevel]]-Table1[[#This Row],[CurrentStock]]&gt;0,Table1[[#This Row],[ReorderLevel]]-Table1[[#This Row],[CurrentStock]],"")</f>
        <v/>
      </c>
      <c r="N1841" t="str">
        <f>IF(Table1[[#This Row],[CurrentStock]]&gt;Table1[[#This Row],[ReorderLevel]]*3,"Over Stock","Okay")</f>
        <v>Over Stock</v>
      </c>
      <c r="O1841" t="str">
        <f>IF(Table1[[#This Row],[CurrentStock]]&lt;Table1[[#This Row],[ReorderLevel]],"Reorder","Okay")</f>
        <v>Okay</v>
      </c>
    </row>
    <row r="1842" spans="1:15" x14ac:dyDescent="0.3">
      <c r="A1842">
        <v>70200</v>
      </c>
      <c r="B1842" t="s">
        <v>18</v>
      </c>
      <c r="C1842" t="s">
        <v>28</v>
      </c>
      <c r="D1842">
        <v>476</v>
      </c>
      <c r="E1842">
        <v>30</v>
      </c>
      <c r="F1842">
        <v>469.75</v>
      </c>
      <c r="G1842" t="s">
        <v>33</v>
      </c>
      <c r="H1842" s="1">
        <v>45403</v>
      </c>
      <c r="I1842" s="1">
        <v>45436</v>
      </c>
      <c r="J1842" t="s">
        <v>39</v>
      </c>
      <c r="K1842" t="b">
        <f>Table1[[#This Row],[CurrentStock]]&lt;Table1[[#This Row],[ReorderLevel]]</f>
        <v>0</v>
      </c>
      <c r="L1842" s="9">
        <f>Table1[[#This Row],[CurrentStock]]*Table1[[#This Row],[UnitPrice]]</f>
        <v>223601</v>
      </c>
      <c r="M1842" t="str">
        <f>IF(Table1[[#This Row],[ReorderLevel]]-Table1[[#This Row],[CurrentStock]]&gt;0,Table1[[#This Row],[ReorderLevel]]-Table1[[#This Row],[CurrentStock]],"")</f>
        <v/>
      </c>
      <c r="N1842" t="str">
        <f>IF(Table1[[#This Row],[CurrentStock]]&gt;Table1[[#This Row],[ReorderLevel]]*3,"Over Stock","Okay")</f>
        <v>Over Stock</v>
      </c>
      <c r="O1842" t="str">
        <f>IF(Table1[[#This Row],[CurrentStock]]&lt;Table1[[#This Row],[ReorderLevel]],"Reorder","Okay")</f>
        <v>Okay</v>
      </c>
    </row>
    <row r="1843" spans="1:15" x14ac:dyDescent="0.3">
      <c r="A1843">
        <v>70587</v>
      </c>
      <c r="B1843" t="s">
        <v>23</v>
      </c>
      <c r="C1843" t="s">
        <v>30</v>
      </c>
      <c r="D1843">
        <v>458</v>
      </c>
      <c r="E1843">
        <v>20</v>
      </c>
      <c r="F1843">
        <v>26.95</v>
      </c>
      <c r="G1843" t="s">
        <v>33</v>
      </c>
      <c r="H1843" s="1">
        <v>45588</v>
      </c>
      <c r="I1843" s="1">
        <v>45601</v>
      </c>
      <c r="J1843" t="s">
        <v>38</v>
      </c>
      <c r="K1843" t="b">
        <f>Table1[[#This Row],[CurrentStock]]&lt;Table1[[#This Row],[ReorderLevel]]</f>
        <v>0</v>
      </c>
      <c r="L1843" s="9">
        <f>Table1[[#This Row],[CurrentStock]]*Table1[[#This Row],[UnitPrice]]</f>
        <v>12343.1</v>
      </c>
      <c r="M1843" t="str">
        <f>IF(Table1[[#This Row],[ReorderLevel]]-Table1[[#This Row],[CurrentStock]]&gt;0,Table1[[#This Row],[ReorderLevel]]-Table1[[#This Row],[CurrentStock]],"")</f>
        <v/>
      </c>
      <c r="N1843" t="str">
        <f>IF(Table1[[#This Row],[CurrentStock]]&gt;Table1[[#This Row],[ReorderLevel]]*3,"Over Stock","Okay")</f>
        <v>Over Stock</v>
      </c>
      <c r="O1843" t="str">
        <f>IF(Table1[[#This Row],[CurrentStock]]&lt;Table1[[#This Row],[ReorderLevel]],"Reorder","Okay")</f>
        <v>Okay</v>
      </c>
    </row>
    <row r="1844" spans="1:15" x14ac:dyDescent="0.3">
      <c r="A1844">
        <v>31661</v>
      </c>
      <c r="B1844" t="s">
        <v>16</v>
      </c>
      <c r="C1844" t="s">
        <v>30</v>
      </c>
      <c r="D1844">
        <v>353</v>
      </c>
      <c r="E1844">
        <v>20</v>
      </c>
      <c r="F1844">
        <v>218.2</v>
      </c>
      <c r="G1844" t="s">
        <v>33</v>
      </c>
      <c r="H1844" s="1">
        <v>45629</v>
      </c>
      <c r="I1844" s="1">
        <v>45647</v>
      </c>
      <c r="J1844" t="s">
        <v>37</v>
      </c>
      <c r="K1844" t="b">
        <f>Table1[[#This Row],[CurrentStock]]&lt;Table1[[#This Row],[ReorderLevel]]</f>
        <v>0</v>
      </c>
      <c r="L1844" s="9">
        <f>Table1[[#This Row],[CurrentStock]]*Table1[[#This Row],[UnitPrice]]</f>
        <v>77024.599999999991</v>
      </c>
      <c r="M1844" t="str">
        <f>IF(Table1[[#This Row],[ReorderLevel]]-Table1[[#This Row],[CurrentStock]]&gt;0,Table1[[#This Row],[ReorderLevel]]-Table1[[#This Row],[CurrentStock]],"")</f>
        <v/>
      </c>
      <c r="N1844" t="str">
        <f>IF(Table1[[#This Row],[CurrentStock]]&gt;Table1[[#This Row],[ReorderLevel]]*3,"Over Stock","Okay")</f>
        <v>Over Stock</v>
      </c>
      <c r="O1844" t="str">
        <f>IF(Table1[[#This Row],[CurrentStock]]&lt;Table1[[#This Row],[ReorderLevel]],"Reorder","Okay")</f>
        <v>Okay</v>
      </c>
    </row>
    <row r="1845" spans="1:15" x14ac:dyDescent="0.3">
      <c r="A1845">
        <v>34198</v>
      </c>
      <c r="B1845" t="s">
        <v>13</v>
      </c>
      <c r="C1845" t="s">
        <v>29</v>
      </c>
      <c r="D1845">
        <v>308</v>
      </c>
      <c r="E1845">
        <v>50</v>
      </c>
      <c r="F1845">
        <v>55.69</v>
      </c>
      <c r="G1845" t="s">
        <v>33</v>
      </c>
      <c r="H1845" s="1">
        <v>45562</v>
      </c>
      <c r="I1845" s="1">
        <v>45586</v>
      </c>
      <c r="J1845" t="s">
        <v>38</v>
      </c>
      <c r="K1845" t="b">
        <f>Table1[[#This Row],[CurrentStock]]&lt;Table1[[#This Row],[ReorderLevel]]</f>
        <v>0</v>
      </c>
      <c r="L1845" s="9">
        <f>Table1[[#This Row],[CurrentStock]]*Table1[[#This Row],[UnitPrice]]</f>
        <v>17152.52</v>
      </c>
      <c r="M1845" t="str">
        <f>IF(Table1[[#This Row],[ReorderLevel]]-Table1[[#This Row],[CurrentStock]]&gt;0,Table1[[#This Row],[ReorderLevel]]-Table1[[#This Row],[CurrentStock]],"")</f>
        <v/>
      </c>
      <c r="N1845" t="str">
        <f>IF(Table1[[#This Row],[CurrentStock]]&gt;Table1[[#This Row],[ReorderLevel]]*3,"Over Stock","Okay")</f>
        <v>Over Stock</v>
      </c>
      <c r="O1845" t="str">
        <f>IF(Table1[[#This Row],[CurrentStock]]&lt;Table1[[#This Row],[ReorderLevel]],"Reorder","Okay")</f>
        <v>Okay</v>
      </c>
    </row>
    <row r="1846" spans="1:15" x14ac:dyDescent="0.3">
      <c r="A1846">
        <v>47443</v>
      </c>
      <c r="B1846" t="s">
        <v>25</v>
      </c>
      <c r="C1846" t="s">
        <v>31</v>
      </c>
      <c r="D1846">
        <v>473</v>
      </c>
      <c r="E1846">
        <v>80</v>
      </c>
      <c r="F1846">
        <v>206.01</v>
      </c>
      <c r="G1846" t="s">
        <v>36</v>
      </c>
      <c r="H1846" s="1">
        <v>45597</v>
      </c>
      <c r="I1846" s="1">
        <v>45603</v>
      </c>
      <c r="J1846" t="s">
        <v>37</v>
      </c>
      <c r="K1846" t="b">
        <f>Table1[[#This Row],[CurrentStock]]&lt;Table1[[#This Row],[ReorderLevel]]</f>
        <v>0</v>
      </c>
      <c r="L1846" s="9">
        <f>Table1[[#This Row],[CurrentStock]]*Table1[[#This Row],[UnitPrice]]</f>
        <v>97442.73</v>
      </c>
      <c r="M1846" t="str">
        <f>IF(Table1[[#This Row],[ReorderLevel]]-Table1[[#This Row],[CurrentStock]]&gt;0,Table1[[#This Row],[ReorderLevel]]-Table1[[#This Row],[CurrentStock]],"")</f>
        <v/>
      </c>
      <c r="N1846" t="str">
        <f>IF(Table1[[#This Row],[CurrentStock]]&gt;Table1[[#This Row],[ReorderLevel]]*3,"Over Stock","Okay")</f>
        <v>Over Stock</v>
      </c>
      <c r="O1846" t="str">
        <f>IF(Table1[[#This Row],[CurrentStock]]&lt;Table1[[#This Row],[ReorderLevel]],"Reorder","Okay")</f>
        <v>Okay</v>
      </c>
    </row>
    <row r="1847" spans="1:15" x14ac:dyDescent="0.3">
      <c r="A1847">
        <v>57280</v>
      </c>
      <c r="B1847" t="s">
        <v>24</v>
      </c>
      <c r="C1847" t="s">
        <v>31</v>
      </c>
      <c r="D1847">
        <v>374</v>
      </c>
      <c r="E1847">
        <v>80</v>
      </c>
      <c r="F1847">
        <v>270.92</v>
      </c>
      <c r="G1847" t="s">
        <v>33</v>
      </c>
      <c r="H1847" s="1">
        <v>45293</v>
      </c>
      <c r="I1847" s="1">
        <v>45315</v>
      </c>
      <c r="J1847" t="s">
        <v>38</v>
      </c>
      <c r="K1847" t="b">
        <f>Table1[[#This Row],[CurrentStock]]&lt;Table1[[#This Row],[ReorderLevel]]</f>
        <v>0</v>
      </c>
      <c r="L1847" s="9">
        <f>Table1[[#This Row],[CurrentStock]]*Table1[[#This Row],[UnitPrice]]</f>
        <v>101324.08</v>
      </c>
      <c r="M1847" t="str">
        <f>IF(Table1[[#This Row],[ReorderLevel]]-Table1[[#This Row],[CurrentStock]]&gt;0,Table1[[#This Row],[ReorderLevel]]-Table1[[#This Row],[CurrentStock]],"")</f>
        <v/>
      </c>
      <c r="N1847" t="str">
        <f>IF(Table1[[#This Row],[CurrentStock]]&gt;Table1[[#This Row],[ReorderLevel]]*3,"Over Stock","Okay")</f>
        <v>Over Stock</v>
      </c>
      <c r="O1847" t="str">
        <f>IF(Table1[[#This Row],[CurrentStock]]&lt;Table1[[#This Row],[ReorderLevel]],"Reorder","Okay")</f>
        <v>Okay</v>
      </c>
    </row>
    <row r="1848" spans="1:15" x14ac:dyDescent="0.3">
      <c r="A1848">
        <v>53025</v>
      </c>
      <c r="B1848" t="s">
        <v>18</v>
      </c>
      <c r="C1848" t="s">
        <v>28</v>
      </c>
      <c r="D1848">
        <v>278</v>
      </c>
      <c r="E1848">
        <v>30</v>
      </c>
      <c r="F1848">
        <v>407.49</v>
      </c>
      <c r="G1848" t="s">
        <v>33</v>
      </c>
      <c r="H1848" s="1">
        <v>45596</v>
      </c>
      <c r="I1848" s="1">
        <v>45634</v>
      </c>
      <c r="J1848" t="s">
        <v>39</v>
      </c>
      <c r="K1848" t="b">
        <f>Table1[[#This Row],[CurrentStock]]&lt;Table1[[#This Row],[ReorderLevel]]</f>
        <v>0</v>
      </c>
      <c r="L1848" s="9">
        <f>Table1[[#This Row],[CurrentStock]]*Table1[[#This Row],[UnitPrice]]</f>
        <v>113282.22</v>
      </c>
      <c r="M1848" t="str">
        <f>IF(Table1[[#This Row],[ReorderLevel]]-Table1[[#This Row],[CurrentStock]]&gt;0,Table1[[#This Row],[ReorderLevel]]-Table1[[#This Row],[CurrentStock]],"")</f>
        <v/>
      </c>
      <c r="N1848" t="str">
        <f>IF(Table1[[#This Row],[CurrentStock]]&gt;Table1[[#This Row],[ReorderLevel]]*3,"Over Stock","Okay")</f>
        <v>Over Stock</v>
      </c>
      <c r="O1848" t="str">
        <f>IF(Table1[[#This Row],[CurrentStock]]&lt;Table1[[#This Row],[ReorderLevel]],"Reorder","Okay")</f>
        <v>Okay</v>
      </c>
    </row>
    <row r="1849" spans="1:15" x14ac:dyDescent="0.3">
      <c r="A1849">
        <v>69169</v>
      </c>
      <c r="B1849" t="s">
        <v>20</v>
      </c>
      <c r="C1849" t="s">
        <v>29</v>
      </c>
      <c r="D1849">
        <v>442</v>
      </c>
      <c r="E1849">
        <v>80</v>
      </c>
      <c r="F1849">
        <v>305.64</v>
      </c>
      <c r="G1849" t="s">
        <v>35</v>
      </c>
      <c r="H1849" s="1">
        <v>45611</v>
      </c>
      <c r="I1849" s="1">
        <v>45617</v>
      </c>
      <c r="J1849" t="s">
        <v>37</v>
      </c>
      <c r="K1849" t="b">
        <f>Table1[[#This Row],[CurrentStock]]&lt;Table1[[#This Row],[ReorderLevel]]</f>
        <v>0</v>
      </c>
      <c r="L1849" s="9">
        <f>Table1[[#This Row],[CurrentStock]]*Table1[[#This Row],[UnitPrice]]</f>
        <v>135092.88</v>
      </c>
      <c r="M1849" t="str">
        <f>IF(Table1[[#This Row],[ReorderLevel]]-Table1[[#This Row],[CurrentStock]]&gt;0,Table1[[#This Row],[ReorderLevel]]-Table1[[#This Row],[CurrentStock]],"")</f>
        <v/>
      </c>
      <c r="N1849" t="str">
        <f>IF(Table1[[#This Row],[CurrentStock]]&gt;Table1[[#This Row],[ReorderLevel]]*3,"Over Stock","Okay")</f>
        <v>Over Stock</v>
      </c>
      <c r="O1849" t="str">
        <f>IF(Table1[[#This Row],[CurrentStock]]&lt;Table1[[#This Row],[ReorderLevel]],"Reorder","Okay")</f>
        <v>Okay</v>
      </c>
    </row>
    <row r="1850" spans="1:15" x14ac:dyDescent="0.3">
      <c r="A1850">
        <v>15131</v>
      </c>
      <c r="B1850" t="s">
        <v>22</v>
      </c>
      <c r="C1850" t="s">
        <v>27</v>
      </c>
      <c r="D1850">
        <v>392</v>
      </c>
      <c r="E1850">
        <v>30</v>
      </c>
      <c r="F1850">
        <v>386.35</v>
      </c>
      <c r="G1850" t="s">
        <v>34</v>
      </c>
      <c r="H1850" s="1">
        <v>45523</v>
      </c>
      <c r="I1850" s="1">
        <v>45537</v>
      </c>
      <c r="J1850" t="s">
        <v>38</v>
      </c>
      <c r="K1850" t="b">
        <f>Table1[[#This Row],[CurrentStock]]&lt;Table1[[#This Row],[ReorderLevel]]</f>
        <v>0</v>
      </c>
      <c r="L1850" s="9">
        <f>Table1[[#This Row],[CurrentStock]]*Table1[[#This Row],[UnitPrice]]</f>
        <v>151449.20000000001</v>
      </c>
      <c r="M1850" t="str">
        <f>IF(Table1[[#This Row],[ReorderLevel]]-Table1[[#This Row],[CurrentStock]]&gt;0,Table1[[#This Row],[ReorderLevel]]-Table1[[#This Row],[CurrentStock]],"")</f>
        <v/>
      </c>
      <c r="N1850" t="str">
        <f>IF(Table1[[#This Row],[CurrentStock]]&gt;Table1[[#This Row],[ReorderLevel]]*3,"Over Stock","Okay")</f>
        <v>Over Stock</v>
      </c>
      <c r="O1850" t="str">
        <f>IF(Table1[[#This Row],[CurrentStock]]&lt;Table1[[#This Row],[ReorderLevel]],"Reorder","Okay")</f>
        <v>Okay</v>
      </c>
    </row>
    <row r="1851" spans="1:15" x14ac:dyDescent="0.3">
      <c r="A1851">
        <v>10891</v>
      </c>
      <c r="B1851" t="s">
        <v>12</v>
      </c>
      <c r="C1851" t="s">
        <v>28</v>
      </c>
      <c r="D1851">
        <v>491</v>
      </c>
      <c r="E1851">
        <v>20</v>
      </c>
      <c r="F1851">
        <v>348.56</v>
      </c>
      <c r="G1851" t="s">
        <v>36</v>
      </c>
      <c r="H1851" s="1">
        <v>45628</v>
      </c>
      <c r="I1851" s="1">
        <v>45665</v>
      </c>
      <c r="J1851" t="s">
        <v>39</v>
      </c>
      <c r="K1851" t="b">
        <f>Table1[[#This Row],[CurrentStock]]&lt;Table1[[#This Row],[ReorderLevel]]</f>
        <v>0</v>
      </c>
      <c r="L1851" s="9">
        <f>Table1[[#This Row],[CurrentStock]]*Table1[[#This Row],[UnitPrice]]</f>
        <v>171142.96</v>
      </c>
      <c r="M1851" t="str">
        <f>IF(Table1[[#This Row],[ReorderLevel]]-Table1[[#This Row],[CurrentStock]]&gt;0,Table1[[#This Row],[ReorderLevel]]-Table1[[#This Row],[CurrentStock]],"")</f>
        <v/>
      </c>
      <c r="N1851" t="str">
        <f>IF(Table1[[#This Row],[CurrentStock]]&gt;Table1[[#This Row],[ReorderLevel]]*3,"Over Stock","Okay")</f>
        <v>Over Stock</v>
      </c>
      <c r="O1851" t="str">
        <f>IF(Table1[[#This Row],[CurrentStock]]&lt;Table1[[#This Row],[ReorderLevel]],"Reorder","Okay")</f>
        <v>Okay</v>
      </c>
    </row>
    <row r="1852" spans="1:15" x14ac:dyDescent="0.3">
      <c r="A1852">
        <v>32778</v>
      </c>
      <c r="B1852" t="s">
        <v>10</v>
      </c>
      <c r="C1852" t="s">
        <v>27</v>
      </c>
      <c r="D1852">
        <v>96</v>
      </c>
      <c r="E1852">
        <v>20</v>
      </c>
      <c r="F1852">
        <v>106.76</v>
      </c>
      <c r="G1852" t="s">
        <v>32</v>
      </c>
      <c r="H1852" s="1">
        <v>45584</v>
      </c>
      <c r="I1852" s="1">
        <v>45590</v>
      </c>
      <c r="J1852" t="s">
        <v>37</v>
      </c>
      <c r="K1852" t="b">
        <f>Table1[[#This Row],[CurrentStock]]&lt;Table1[[#This Row],[ReorderLevel]]</f>
        <v>0</v>
      </c>
      <c r="L1852" s="9">
        <f>Table1[[#This Row],[CurrentStock]]*Table1[[#This Row],[UnitPrice]]</f>
        <v>10248.960000000001</v>
      </c>
      <c r="M1852" t="str">
        <f>IF(Table1[[#This Row],[ReorderLevel]]-Table1[[#This Row],[CurrentStock]]&gt;0,Table1[[#This Row],[ReorderLevel]]-Table1[[#This Row],[CurrentStock]],"")</f>
        <v/>
      </c>
      <c r="N1852" t="str">
        <f>IF(Table1[[#This Row],[CurrentStock]]&gt;Table1[[#This Row],[ReorderLevel]]*3,"Over Stock","Okay")</f>
        <v>Over Stock</v>
      </c>
      <c r="O1852" t="str">
        <f>IF(Table1[[#This Row],[CurrentStock]]&lt;Table1[[#This Row],[ReorderLevel]],"Reorder","Okay")</f>
        <v>Okay</v>
      </c>
    </row>
    <row r="1853" spans="1:15" x14ac:dyDescent="0.3">
      <c r="A1853">
        <v>29521</v>
      </c>
      <c r="B1853" t="s">
        <v>24</v>
      </c>
      <c r="C1853" t="s">
        <v>31</v>
      </c>
      <c r="D1853">
        <v>434</v>
      </c>
      <c r="E1853">
        <v>80</v>
      </c>
      <c r="F1853">
        <v>467.07</v>
      </c>
      <c r="G1853" t="s">
        <v>32</v>
      </c>
      <c r="H1853" s="1">
        <v>45495</v>
      </c>
      <c r="I1853" s="1">
        <v>45504</v>
      </c>
      <c r="J1853" t="s">
        <v>38</v>
      </c>
      <c r="K1853" t="b">
        <f>Table1[[#This Row],[CurrentStock]]&lt;Table1[[#This Row],[ReorderLevel]]</f>
        <v>0</v>
      </c>
      <c r="L1853" s="9">
        <f>Table1[[#This Row],[CurrentStock]]*Table1[[#This Row],[UnitPrice]]</f>
        <v>202708.38</v>
      </c>
      <c r="M1853" t="str">
        <f>IF(Table1[[#This Row],[ReorderLevel]]-Table1[[#This Row],[CurrentStock]]&gt;0,Table1[[#This Row],[ReorderLevel]]-Table1[[#This Row],[CurrentStock]],"")</f>
        <v/>
      </c>
      <c r="N1853" t="str">
        <f>IF(Table1[[#This Row],[CurrentStock]]&gt;Table1[[#This Row],[ReorderLevel]]*3,"Over Stock","Okay")</f>
        <v>Over Stock</v>
      </c>
      <c r="O1853" t="str">
        <f>IF(Table1[[#This Row],[CurrentStock]]&lt;Table1[[#This Row],[ReorderLevel]],"Reorder","Okay")</f>
        <v>Okay</v>
      </c>
    </row>
    <row r="1854" spans="1:15" x14ac:dyDescent="0.3">
      <c r="A1854">
        <v>50376</v>
      </c>
      <c r="B1854" t="s">
        <v>15</v>
      </c>
      <c r="C1854" t="s">
        <v>29</v>
      </c>
      <c r="D1854">
        <v>372</v>
      </c>
      <c r="E1854">
        <v>30</v>
      </c>
      <c r="F1854">
        <v>176.52</v>
      </c>
      <c r="G1854" t="s">
        <v>33</v>
      </c>
      <c r="H1854" s="1">
        <v>45509</v>
      </c>
      <c r="I1854" s="1">
        <v>45528</v>
      </c>
      <c r="J1854" t="s">
        <v>39</v>
      </c>
      <c r="K1854" t="b">
        <f>Table1[[#This Row],[CurrentStock]]&lt;Table1[[#This Row],[ReorderLevel]]</f>
        <v>0</v>
      </c>
      <c r="L1854" s="9">
        <f>Table1[[#This Row],[CurrentStock]]*Table1[[#This Row],[UnitPrice]]</f>
        <v>65665.440000000002</v>
      </c>
      <c r="M1854" t="str">
        <f>IF(Table1[[#This Row],[ReorderLevel]]-Table1[[#This Row],[CurrentStock]]&gt;0,Table1[[#This Row],[ReorderLevel]]-Table1[[#This Row],[CurrentStock]],"")</f>
        <v/>
      </c>
      <c r="N1854" t="str">
        <f>IF(Table1[[#This Row],[CurrentStock]]&gt;Table1[[#This Row],[ReorderLevel]]*3,"Over Stock","Okay")</f>
        <v>Over Stock</v>
      </c>
      <c r="O1854" t="str">
        <f>IF(Table1[[#This Row],[CurrentStock]]&lt;Table1[[#This Row],[ReorderLevel]],"Reorder","Okay")</f>
        <v>Okay</v>
      </c>
    </row>
    <row r="1855" spans="1:15" x14ac:dyDescent="0.3">
      <c r="A1855">
        <v>46775</v>
      </c>
      <c r="B1855" t="s">
        <v>19</v>
      </c>
      <c r="C1855" t="s">
        <v>28</v>
      </c>
      <c r="D1855">
        <v>76</v>
      </c>
      <c r="E1855">
        <v>80</v>
      </c>
      <c r="F1855">
        <v>213.43</v>
      </c>
      <c r="G1855" t="s">
        <v>33</v>
      </c>
      <c r="H1855" s="1">
        <v>45401</v>
      </c>
      <c r="I1855" s="1">
        <v>45438</v>
      </c>
      <c r="J1855" t="s">
        <v>39</v>
      </c>
      <c r="K1855" t="b">
        <f>Table1[[#This Row],[CurrentStock]]&lt;Table1[[#This Row],[ReorderLevel]]</f>
        <v>1</v>
      </c>
      <c r="L1855" s="9">
        <f>Table1[[#This Row],[CurrentStock]]*Table1[[#This Row],[UnitPrice]]</f>
        <v>16220.68</v>
      </c>
      <c r="M1855">
        <f>IF(Table1[[#This Row],[ReorderLevel]]-Table1[[#This Row],[CurrentStock]]&gt;0,Table1[[#This Row],[ReorderLevel]]-Table1[[#This Row],[CurrentStock]],"")</f>
        <v>4</v>
      </c>
      <c r="N1855" t="str">
        <f>IF(Table1[[#This Row],[CurrentStock]]&gt;Table1[[#This Row],[ReorderLevel]]*3,"Over Stock","Okay")</f>
        <v>Okay</v>
      </c>
      <c r="O1855" t="str">
        <f>IF(Table1[[#This Row],[CurrentStock]]&lt;Table1[[#This Row],[ReorderLevel]],"Reorder","Okay")</f>
        <v>Reorder</v>
      </c>
    </row>
    <row r="1856" spans="1:15" x14ac:dyDescent="0.3">
      <c r="A1856">
        <v>17101</v>
      </c>
      <c r="B1856" t="s">
        <v>18</v>
      </c>
      <c r="C1856" t="s">
        <v>28</v>
      </c>
      <c r="D1856">
        <v>34</v>
      </c>
      <c r="E1856">
        <v>30</v>
      </c>
      <c r="F1856">
        <v>375.13</v>
      </c>
      <c r="G1856" t="s">
        <v>36</v>
      </c>
      <c r="H1856" s="1">
        <v>45574</v>
      </c>
      <c r="I1856" s="1">
        <v>45584</v>
      </c>
      <c r="J1856" t="s">
        <v>39</v>
      </c>
      <c r="K1856" t="b">
        <f>Table1[[#This Row],[CurrentStock]]&lt;Table1[[#This Row],[ReorderLevel]]</f>
        <v>0</v>
      </c>
      <c r="L1856" s="9">
        <f>Table1[[#This Row],[CurrentStock]]*Table1[[#This Row],[UnitPrice]]</f>
        <v>12754.42</v>
      </c>
      <c r="M1856" t="str">
        <f>IF(Table1[[#This Row],[ReorderLevel]]-Table1[[#This Row],[CurrentStock]]&gt;0,Table1[[#This Row],[ReorderLevel]]-Table1[[#This Row],[CurrentStock]],"")</f>
        <v/>
      </c>
      <c r="N1856" t="str">
        <f>IF(Table1[[#This Row],[CurrentStock]]&gt;Table1[[#This Row],[ReorderLevel]]*3,"Over Stock","Okay")</f>
        <v>Okay</v>
      </c>
      <c r="O1856" t="str">
        <f>IF(Table1[[#This Row],[CurrentStock]]&lt;Table1[[#This Row],[ReorderLevel]],"Reorder","Okay")</f>
        <v>Okay</v>
      </c>
    </row>
    <row r="1857" spans="1:15" x14ac:dyDescent="0.3">
      <c r="A1857">
        <v>29276</v>
      </c>
      <c r="B1857" t="s">
        <v>21</v>
      </c>
      <c r="C1857" t="s">
        <v>31</v>
      </c>
      <c r="D1857">
        <v>436</v>
      </c>
      <c r="E1857">
        <v>50</v>
      </c>
      <c r="F1857">
        <v>393.33</v>
      </c>
      <c r="G1857" t="s">
        <v>33</v>
      </c>
      <c r="H1857" s="1">
        <v>45319</v>
      </c>
      <c r="I1857" s="1">
        <v>45355</v>
      </c>
      <c r="J1857" t="s">
        <v>38</v>
      </c>
      <c r="K1857" t="b">
        <f>Table1[[#This Row],[CurrentStock]]&lt;Table1[[#This Row],[ReorderLevel]]</f>
        <v>0</v>
      </c>
      <c r="L1857" s="9">
        <f>Table1[[#This Row],[CurrentStock]]*Table1[[#This Row],[UnitPrice]]</f>
        <v>171491.88</v>
      </c>
      <c r="M1857" t="str">
        <f>IF(Table1[[#This Row],[ReorderLevel]]-Table1[[#This Row],[CurrentStock]]&gt;0,Table1[[#This Row],[ReorderLevel]]-Table1[[#This Row],[CurrentStock]],"")</f>
        <v/>
      </c>
      <c r="N1857" t="str">
        <f>IF(Table1[[#This Row],[CurrentStock]]&gt;Table1[[#This Row],[ReorderLevel]]*3,"Over Stock","Okay")</f>
        <v>Over Stock</v>
      </c>
      <c r="O1857" t="str">
        <f>IF(Table1[[#This Row],[CurrentStock]]&lt;Table1[[#This Row],[ReorderLevel]],"Reorder","Okay")</f>
        <v>Okay</v>
      </c>
    </row>
    <row r="1858" spans="1:15" x14ac:dyDescent="0.3">
      <c r="A1858">
        <v>20862</v>
      </c>
      <c r="B1858" t="s">
        <v>20</v>
      </c>
      <c r="C1858" t="s">
        <v>29</v>
      </c>
      <c r="D1858">
        <v>423</v>
      </c>
      <c r="E1858">
        <v>40</v>
      </c>
      <c r="F1858">
        <v>18.61</v>
      </c>
      <c r="G1858" t="s">
        <v>35</v>
      </c>
      <c r="H1858" s="1">
        <v>45646</v>
      </c>
      <c r="I1858" s="1">
        <v>45664</v>
      </c>
      <c r="J1858" t="s">
        <v>39</v>
      </c>
      <c r="K1858" t="b">
        <f>Table1[[#This Row],[CurrentStock]]&lt;Table1[[#This Row],[ReorderLevel]]</f>
        <v>0</v>
      </c>
      <c r="L1858" s="9">
        <f>Table1[[#This Row],[CurrentStock]]*Table1[[#This Row],[UnitPrice]]</f>
        <v>7872.03</v>
      </c>
      <c r="M1858" t="str">
        <f>IF(Table1[[#This Row],[ReorderLevel]]-Table1[[#This Row],[CurrentStock]]&gt;0,Table1[[#This Row],[ReorderLevel]]-Table1[[#This Row],[CurrentStock]],"")</f>
        <v/>
      </c>
      <c r="N1858" t="str">
        <f>IF(Table1[[#This Row],[CurrentStock]]&gt;Table1[[#This Row],[ReorderLevel]]*3,"Over Stock","Okay")</f>
        <v>Over Stock</v>
      </c>
      <c r="O1858" t="str">
        <f>IF(Table1[[#This Row],[CurrentStock]]&lt;Table1[[#This Row],[ReorderLevel]],"Reorder","Okay")</f>
        <v>Okay</v>
      </c>
    </row>
    <row r="1859" spans="1:15" x14ac:dyDescent="0.3">
      <c r="A1859">
        <v>32942</v>
      </c>
      <c r="B1859" t="s">
        <v>24</v>
      </c>
      <c r="C1859" t="s">
        <v>31</v>
      </c>
      <c r="D1859">
        <v>161</v>
      </c>
      <c r="E1859">
        <v>50</v>
      </c>
      <c r="F1859">
        <v>265.93</v>
      </c>
      <c r="G1859" t="s">
        <v>34</v>
      </c>
      <c r="H1859" s="1">
        <v>45622</v>
      </c>
      <c r="I1859" s="1">
        <v>45639</v>
      </c>
      <c r="J1859" t="s">
        <v>37</v>
      </c>
      <c r="K1859" t="b">
        <f>Table1[[#This Row],[CurrentStock]]&lt;Table1[[#This Row],[ReorderLevel]]</f>
        <v>0</v>
      </c>
      <c r="L1859" s="9">
        <f>Table1[[#This Row],[CurrentStock]]*Table1[[#This Row],[UnitPrice]]</f>
        <v>42814.73</v>
      </c>
      <c r="M1859" t="str">
        <f>IF(Table1[[#This Row],[ReorderLevel]]-Table1[[#This Row],[CurrentStock]]&gt;0,Table1[[#This Row],[ReorderLevel]]-Table1[[#This Row],[CurrentStock]],"")</f>
        <v/>
      </c>
      <c r="N1859" t="str">
        <f>IF(Table1[[#This Row],[CurrentStock]]&gt;Table1[[#This Row],[ReorderLevel]]*3,"Over Stock","Okay")</f>
        <v>Over Stock</v>
      </c>
      <c r="O1859" t="str">
        <f>IF(Table1[[#This Row],[CurrentStock]]&lt;Table1[[#This Row],[ReorderLevel]],"Reorder","Okay")</f>
        <v>Okay</v>
      </c>
    </row>
    <row r="1860" spans="1:15" x14ac:dyDescent="0.3">
      <c r="A1860">
        <v>68434</v>
      </c>
      <c r="B1860" t="s">
        <v>24</v>
      </c>
      <c r="C1860" t="s">
        <v>31</v>
      </c>
      <c r="D1860">
        <v>116</v>
      </c>
      <c r="E1860">
        <v>20</v>
      </c>
      <c r="F1860">
        <v>438.77</v>
      </c>
      <c r="G1860" t="s">
        <v>32</v>
      </c>
      <c r="H1860" s="1">
        <v>45373</v>
      </c>
      <c r="I1860" s="1">
        <v>45383</v>
      </c>
      <c r="J1860" t="s">
        <v>39</v>
      </c>
      <c r="K1860" t="b">
        <f>Table1[[#This Row],[CurrentStock]]&lt;Table1[[#This Row],[ReorderLevel]]</f>
        <v>0</v>
      </c>
      <c r="L1860" s="9">
        <f>Table1[[#This Row],[CurrentStock]]*Table1[[#This Row],[UnitPrice]]</f>
        <v>50897.32</v>
      </c>
      <c r="M1860" t="str">
        <f>IF(Table1[[#This Row],[ReorderLevel]]-Table1[[#This Row],[CurrentStock]]&gt;0,Table1[[#This Row],[ReorderLevel]]-Table1[[#This Row],[CurrentStock]],"")</f>
        <v/>
      </c>
      <c r="N1860" t="str">
        <f>IF(Table1[[#This Row],[CurrentStock]]&gt;Table1[[#This Row],[ReorderLevel]]*3,"Over Stock","Okay")</f>
        <v>Over Stock</v>
      </c>
      <c r="O1860" t="str">
        <f>IF(Table1[[#This Row],[CurrentStock]]&lt;Table1[[#This Row],[ReorderLevel]],"Reorder","Okay")</f>
        <v>Okay</v>
      </c>
    </row>
    <row r="1861" spans="1:15" x14ac:dyDescent="0.3">
      <c r="A1861">
        <v>50693</v>
      </c>
      <c r="B1861" t="s">
        <v>20</v>
      </c>
      <c r="C1861" t="s">
        <v>29</v>
      </c>
      <c r="D1861">
        <v>171</v>
      </c>
      <c r="E1861">
        <v>100</v>
      </c>
      <c r="F1861">
        <v>267.94</v>
      </c>
      <c r="G1861" t="s">
        <v>32</v>
      </c>
      <c r="H1861" s="1">
        <v>45593</v>
      </c>
      <c r="I1861" s="1">
        <v>45616</v>
      </c>
      <c r="J1861" t="s">
        <v>37</v>
      </c>
      <c r="K1861" t="b">
        <f>Table1[[#This Row],[CurrentStock]]&lt;Table1[[#This Row],[ReorderLevel]]</f>
        <v>0</v>
      </c>
      <c r="L1861" s="9">
        <f>Table1[[#This Row],[CurrentStock]]*Table1[[#This Row],[UnitPrice]]</f>
        <v>45817.74</v>
      </c>
      <c r="M1861" t="str">
        <f>IF(Table1[[#This Row],[ReorderLevel]]-Table1[[#This Row],[CurrentStock]]&gt;0,Table1[[#This Row],[ReorderLevel]]-Table1[[#This Row],[CurrentStock]],"")</f>
        <v/>
      </c>
      <c r="N1861" t="str">
        <f>IF(Table1[[#This Row],[CurrentStock]]&gt;Table1[[#This Row],[ReorderLevel]]*3,"Over Stock","Okay")</f>
        <v>Okay</v>
      </c>
      <c r="O1861" t="str">
        <f>IF(Table1[[#This Row],[CurrentStock]]&lt;Table1[[#This Row],[ReorderLevel]],"Reorder","Okay")</f>
        <v>Okay</v>
      </c>
    </row>
    <row r="1862" spans="1:15" x14ac:dyDescent="0.3">
      <c r="A1862">
        <v>21440</v>
      </c>
      <c r="B1862" t="s">
        <v>23</v>
      </c>
      <c r="C1862" t="s">
        <v>30</v>
      </c>
      <c r="D1862">
        <v>62</v>
      </c>
      <c r="E1862">
        <v>20</v>
      </c>
      <c r="F1862">
        <v>225.49</v>
      </c>
      <c r="G1862" t="s">
        <v>34</v>
      </c>
      <c r="H1862" s="1">
        <v>45551</v>
      </c>
      <c r="I1862" s="1">
        <v>45580</v>
      </c>
      <c r="J1862" t="s">
        <v>39</v>
      </c>
      <c r="K1862" t="b">
        <f>Table1[[#This Row],[CurrentStock]]&lt;Table1[[#This Row],[ReorderLevel]]</f>
        <v>0</v>
      </c>
      <c r="L1862" s="9">
        <f>Table1[[#This Row],[CurrentStock]]*Table1[[#This Row],[UnitPrice]]</f>
        <v>13980.380000000001</v>
      </c>
      <c r="M1862" t="str">
        <f>IF(Table1[[#This Row],[ReorderLevel]]-Table1[[#This Row],[CurrentStock]]&gt;0,Table1[[#This Row],[ReorderLevel]]-Table1[[#This Row],[CurrentStock]],"")</f>
        <v/>
      </c>
      <c r="N1862" t="str">
        <f>IF(Table1[[#This Row],[CurrentStock]]&gt;Table1[[#This Row],[ReorderLevel]]*3,"Over Stock","Okay")</f>
        <v>Over Stock</v>
      </c>
      <c r="O1862" t="str">
        <f>IF(Table1[[#This Row],[CurrentStock]]&lt;Table1[[#This Row],[ReorderLevel]],"Reorder","Okay")</f>
        <v>Okay</v>
      </c>
    </row>
    <row r="1863" spans="1:15" x14ac:dyDescent="0.3">
      <c r="A1863">
        <v>81839</v>
      </c>
      <c r="B1863" t="s">
        <v>24</v>
      </c>
      <c r="C1863" t="s">
        <v>31</v>
      </c>
      <c r="D1863">
        <v>398</v>
      </c>
      <c r="E1863">
        <v>40</v>
      </c>
      <c r="F1863">
        <v>116.86</v>
      </c>
      <c r="G1863" t="s">
        <v>33</v>
      </c>
      <c r="H1863" s="1">
        <v>45538</v>
      </c>
      <c r="I1863" s="1">
        <v>45546</v>
      </c>
      <c r="J1863" t="s">
        <v>39</v>
      </c>
      <c r="K1863" t="b">
        <f>Table1[[#This Row],[CurrentStock]]&lt;Table1[[#This Row],[ReorderLevel]]</f>
        <v>0</v>
      </c>
      <c r="L1863" s="9">
        <f>Table1[[#This Row],[CurrentStock]]*Table1[[#This Row],[UnitPrice]]</f>
        <v>46510.28</v>
      </c>
      <c r="M1863" t="str">
        <f>IF(Table1[[#This Row],[ReorderLevel]]-Table1[[#This Row],[CurrentStock]]&gt;0,Table1[[#This Row],[ReorderLevel]]-Table1[[#This Row],[CurrentStock]],"")</f>
        <v/>
      </c>
      <c r="N1863" t="str">
        <f>IF(Table1[[#This Row],[CurrentStock]]&gt;Table1[[#This Row],[ReorderLevel]]*3,"Over Stock","Okay")</f>
        <v>Over Stock</v>
      </c>
      <c r="O1863" t="str">
        <f>IF(Table1[[#This Row],[CurrentStock]]&lt;Table1[[#This Row],[ReorderLevel]],"Reorder","Okay")</f>
        <v>Okay</v>
      </c>
    </row>
    <row r="1864" spans="1:15" x14ac:dyDescent="0.3">
      <c r="A1864">
        <v>78908</v>
      </c>
      <c r="B1864" t="s">
        <v>23</v>
      </c>
      <c r="C1864" t="s">
        <v>30</v>
      </c>
      <c r="D1864">
        <v>417</v>
      </c>
      <c r="E1864">
        <v>100</v>
      </c>
      <c r="F1864">
        <v>399.19</v>
      </c>
      <c r="G1864" t="s">
        <v>34</v>
      </c>
      <c r="H1864" s="1">
        <v>45409</v>
      </c>
      <c r="I1864" s="1">
        <v>45431</v>
      </c>
      <c r="J1864" t="s">
        <v>37</v>
      </c>
      <c r="K1864" t="b">
        <f>Table1[[#This Row],[CurrentStock]]&lt;Table1[[#This Row],[ReorderLevel]]</f>
        <v>0</v>
      </c>
      <c r="L1864" s="9">
        <f>Table1[[#This Row],[CurrentStock]]*Table1[[#This Row],[UnitPrice]]</f>
        <v>166462.23000000001</v>
      </c>
      <c r="M1864" t="str">
        <f>IF(Table1[[#This Row],[ReorderLevel]]-Table1[[#This Row],[CurrentStock]]&gt;0,Table1[[#This Row],[ReorderLevel]]-Table1[[#This Row],[CurrentStock]],"")</f>
        <v/>
      </c>
      <c r="N1864" t="str">
        <f>IF(Table1[[#This Row],[CurrentStock]]&gt;Table1[[#This Row],[ReorderLevel]]*3,"Over Stock","Okay")</f>
        <v>Over Stock</v>
      </c>
      <c r="O1864" t="str">
        <f>IF(Table1[[#This Row],[CurrentStock]]&lt;Table1[[#This Row],[ReorderLevel]],"Reorder","Okay")</f>
        <v>Okay</v>
      </c>
    </row>
    <row r="1865" spans="1:15" x14ac:dyDescent="0.3">
      <c r="A1865">
        <v>80683</v>
      </c>
      <c r="B1865" t="s">
        <v>19</v>
      </c>
      <c r="C1865" t="s">
        <v>28</v>
      </c>
      <c r="D1865">
        <v>410</v>
      </c>
      <c r="E1865">
        <v>30</v>
      </c>
      <c r="F1865">
        <v>469.37</v>
      </c>
      <c r="G1865" t="s">
        <v>34</v>
      </c>
      <c r="H1865" s="1">
        <v>45588</v>
      </c>
      <c r="I1865" s="1">
        <v>45618</v>
      </c>
      <c r="J1865" t="s">
        <v>38</v>
      </c>
      <c r="K1865" t="b">
        <f>Table1[[#This Row],[CurrentStock]]&lt;Table1[[#This Row],[ReorderLevel]]</f>
        <v>0</v>
      </c>
      <c r="L1865" s="9">
        <f>Table1[[#This Row],[CurrentStock]]*Table1[[#This Row],[UnitPrice]]</f>
        <v>192441.7</v>
      </c>
      <c r="M1865" t="str">
        <f>IF(Table1[[#This Row],[ReorderLevel]]-Table1[[#This Row],[CurrentStock]]&gt;0,Table1[[#This Row],[ReorderLevel]]-Table1[[#This Row],[CurrentStock]],"")</f>
        <v/>
      </c>
      <c r="N1865" t="str">
        <f>IF(Table1[[#This Row],[CurrentStock]]&gt;Table1[[#This Row],[ReorderLevel]]*3,"Over Stock","Okay")</f>
        <v>Over Stock</v>
      </c>
      <c r="O1865" t="str">
        <f>IF(Table1[[#This Row],[CurrentStock]]&lt;Table1[[#This Row],[ReorderLevel]],"Reorder","Okay")</f>
        <v>Okay</v>
      </c>
    </row>
    <row r="1866" spans="1:15" x14ac:dyDescent="0.3">
      <c r="A1866">
        <v>45391</v>
      </c>
      <c r="B1866" t="s">
        <v>15</v>
      </c>
      <c r="C1866" t="s">
        <v>29</v>
      </c>
      <c r="D1866">
        <v>101</v>
      </c>
      <c r="E1866">
        <v>30</v>
      </c>
      <c r="F1866">
        <v>337.11</v>
      </c>
      <c r="G1866" t="s">
        <v>34</v>
      </c>
      <c r="H1866" s="1">
        <v>45391</v>
      </c>
      <c r="I1866" s="1">
        <v>45414</v>
      </c>
      <c r="J1866" t="s">
        <v>38</v>
      </c>
      <c r="K1866" t="b">
        <f>Table1[[#This Row],[CurrentStock]]&lt;Table1[[#This Row],[ReorderLevel]]</f>
        <v>0</v>
      </c>
      <c r="L1866" s="9">
        <f>Table1[[#This Row],[CurrentStock]]*Table1[[#This Row],[UnitPrice]]</f>
        <v>34048.11</v>
      </c>
      <c r="M1866" t="str">
        <f>IF(Table1[[#This Row],[ReorderLevel]]-Table1[[#This Row],[CurrentStock]]&gt;0,Table1[[#This Row],[ReorderLevel]]-Table1[[#This Row],[CurrentStock]],"")</f>
        <v/>
      </c>
      <c r="N1866" t="str">
        <f>IF(Table1[[#This Row],[CurrentStock]]&gt;Table1[[#This Row],[ReorderLevel]]*3,"Over Stock","Okay")</f>
        <v>Over Stock</v>
      </c>
      <c r="O1866" t="str">
        <f>IF(Table1[[#This Row],[CurrentStock]]&lt;Table1[[#This Row],[ReorderLevel]],"Reorder","Okay")</f>
        <v>Okay</v>
      </c>
    </row>
    <row r="1867" spans="1:15" x14ac:dyDescent="0.3">
      <c r="A1867">
        <v>95380</v>
      </c>
      <c r="B1867" t="s">
        <v>14</v>
      </c>
      <c r="C1867" t="s">
        <v>27</v>
      </c>
      <c r="D1867">
        <v>140</v>
      </c>
      <c r="E1867">
        <v>20</v>
      </c>
      <c r="F1867">
        <v>205.11</v>
      </c>
      <c r="G1867" t="s">
        <v>35</v>
      </c>
      <c r="H1867" s="1">
        <v>45383</v>
      </c>
      <c r="I1867" s="1">
        <v>45417</v>
      </c>
      <c r="J1867" t="s">
        <v>39</v>
      </c>
      <c r="K1867" t="b">
        <f>Table1[[#This Row],[CurrentStock]]&lt;Table1[[#This Row],[ReorderLevel]]</f>
        <v>0</v>
      </c>
      <c r="L1867" s="9">
        <f>Table1[[#This Row],[CurrentStock]]*Table1[[#This Row],[UnitPrice]]</f>
        <v>28715.4</v>
      </c>
      <c r="M1867" t="str">
        <f>IF(Table1[[#This Row],[ReorderLevel]]-Table1[[#This Row],[CurrentStock]]&gt;0,Table1[[#This Row],[ReorderLevel]]-Table1[[#This Row],[CurrentStock]],"")</f>
        <v/>
      </c>
      <c r="N1867" t="str">
        <f>IF(Table1[[#This Row],[CurrentStock]]&gt;Table1[[#This Row],[ReorderLevel]]*3,"Over Stock","Okay")</f>
        <v>Over Stock</v>
      </c>
      <c r="O1867" t="str">
        <f>IF(Table1[[#This Row],[CurrentStock]]&lt;Table1[[#This Row],[ReorderLevel]],"Reorder","Okay")</f>
        <v>Okay</v>
      </c>
    </row>
    <row r="1868" spans="1:15" x14ac:dyDescent="0.3">
      <c r="A1868">
        <v>52801</v>
      </c>
      <c r="B1868" t="s">
        <v>13</v>
      </c>
      <c r="C1868" t="s">
        <v>29</v>
      </c>
      <c r="D1868">
        <v>276</v>
      </c>
      <c r="E1868">
        <v>100</v>
      </c>
      <c r="F1868">
        <v>135.04</v>
      </c>
      <c r="G1868" t="s">
        <v>33</v>
      </c>
      <c r="H1868" s="1">
        <v>45412</v>
      </c>
      <c r="I1868" s="1">
        <v>45422</v>
      </c>
      <c r="J1868" t="s">
        <v>38</v>
      </c>
      <c r="K1868" t="b">
        <f>Table1[[#This Row],[CurrentStock]]&lt;Table1[[#This Row],[ReorderLevel]]</f>
        <v>0</v>
      </c>
      <c r="L1868" s="9">
        <f>Table1[[#This Row],[CurrentStock]]*Table1[[#This Row],[UnitPrice]]</f>
        <v>37271.040000000001</v>
      </c>
      <c r="M1868" t="str">
        <f>IF(Table1[[#This Row],[ReorderLevel]]-Table1[[#This Row],[CurrentStock]]&gt;0,Table1[[#This Row],[ReorderLevel]]-Table1[[#This Row],[CurrentStock]],"")</f>
        <v/>
      </c>
      <c r="N1868" t="str">
        <f>IF(Table1[[#This Row],[CurrentStock]]&gt;Table1[[#This Row],[ReorderLevel]]*3,"Over Stock","Okay")</f>
        <v>Okay</v>
      </c>
      <c r="O1868" t="str">
        <f>IF(Table1[[#This Row],[CurrentStock]]&lt;Table1[[#This Row],[ReorderLevel]],"Reorder","Okay")</f>
        <v>Okay</v>
      </c>
    </row>
    <row r="1869" spans="1:15" x14ac:dyDescent="0.3">
      <c r="A1869">
        <v>77602</v>
      </c>
      <c r="B1869" t="s">
        <v>18</v>
      </c>
      <c r="C1869" t="s">
        <v>28</v>
      </c>
      <c r="D1869">
        <v>285</v>
      </c>
      <c r="E1869">
        <v>30</v>
      </c>
      <c r="F1869">
        <v>340.88</v>
      </c>
      <c r="G1869" t="s">
        <v>32</v>
      </c>
      <c r="H1869" s="1">
        <v>45339</v>
      </c>
      <c r="I1869" s="1">
        <v>45366</v>
      </c>
      <c r="J1869" t="s">
        <v>39</v>
      </c>
      <c r="K1869" t="b">
        <f>Table1[[#This Row],[CurrentStock]]&lt;Table1[[#This Row],[ReorderLevel]]</f>
        <v>0</v>
      </c>
      <c r="L1869" s="9">
        <f>Table1[[#This Row],[CurrentStock]]*Table1[[#This Row],[UnitPrice]]</f>
        <v>97150.8</v>
      </c>
      <c r="M1869" t="str">
        <f>IF(Table1[[#This Row],[ReorderLevel]]-Table1[[#This Row],[CurrentStock]]&gt;0,Table1[[#This Row],[ReorderLevel]]-Table1[[#This Row],[CurrentStock]],"")</f>
        <v/>
      </c>
      <c r="N1869" t="str">
        <f>IF(Table1[[#This Row],[CurrentStock]]&gt;Table1[[#This Row],[ReorderLevel]]*3,"Over Stock","Okay")</f>
        <v>Over Stock</v>
      </c>
      <c r="O1869" t="str">
        <f>IF(Table1[[#This Row],[CurrentStock]]&lt;Table1[[#This Row],[ReorderLevel]],"Reorder","Okay")</f>
        <v>Okay</v>
      </c>
    </row>
    <row r="1870" spans="1:15" x14ac:dyDescent="0.3">
      <c r="A1870">
        <v>56390</v>
      </c>
      <c r="B1870" t="s">
        <v>26</v>
      </c>
      <c r="C1870" t="s">
        <v>30</v>
      </c>
      <c r="D1870">
        <v>91</v>
      </c>
      <c r="E1870">
        <v>30</v>
      </c>
      <c r="F1870">
        <v>365.54</v>
      </c>
      <c r="G1870" t="s">
        <v>36</v>
      </c>
      <c r="H1870" s="1">
        <v>45441</v>
      </c>
      <c r="I1870" s="1">
        <v>45472</v>
      </c>
      <c r="J1870" t="s">
        <v>37</v>
      </c>
      <c r="K1870" t="b">
        <f>Table1[[#This Row],[CurrentStock]]&lt;Table1[[#This Row],[ReorderLevel]]</f>
        <v>0</v>
      </c>
      <c r="L1870" s="9">
        <f>Table1[[#This Row],[CurrentStock]]*Table1[[#This Row],[UnitPrice]]</f>
        <v>33264.14</v>
      </c>
      <c r="M1870" t="str">
        <f>IF(Table1[[#This Row],[ReorderLevel]]-Table1[[#This Row],[CurrentStock]]&gt;0,Table1[[#This Row],[ReorderLevel]]-Table1[[#This Row],[CurrentStock]],"")</f>
        <v/>
      </c>
      <c r="N1870" t="str">
        <f>IF(Table1[[#This Row],[CurrentStock]]&gt;Table1[[#This Row],[ReorderLevel]]*3,"Over Stock","Okay")</f>
        <v>Over Stock</v>
      </c>
      <c r="O1870" t="str">
        <f>IF(Table1[[#This Row],[CurrentStock]]&lt;Table1[[#This Row],[ReorderLevel]],"Reorder","Okay")</f>
        <v>Okay</v>
      </c>
    </row>
    <row r="1871" spans="1:15" x14ac:dyDescent="0.3">
      <c r="A1871">
        <v>82043</v>
      </c>
      <c r="B1871" t="s">
        <v>15</v>
      </c>
      <c r="C1871" t="s">
        <v>29</v>
      </c>
      <c r="D1871">
        <v>467</v>
      </c>
      <c r="E1871">
        <v>20</v>
      </c>
      <c r="F1871">
        <v>181.43</v>
      </c>
      <c r="G1871" t="s">
        <v>32</v>
      </c>
      <c r="H1871" s="1">
        <v>45633</v>
      </c>
      <c r="I1871" s="1">
        <v>45663</v>
      </c>
      <c r="J1871" t="s">
        <v>38</v>
      </c>
      <c r="K1871" t="b">
        <f>Table1[[#This Row],[CurrentStock]]&lt;Table1[[#This Row],[ReorderLevel]]</f>
        <v>0</v>
      </c>
      <c r="L1871" s="9">
        <f>Table1[[#This Row],[CurrentStock]]*Table1[[#This Row],[UnitPrice]]</f>
        <v>84727.81</v>
      </c>
      <c r="M1871" t="str">
        <f>IF(Table1[[#This Row],[ReorderLevel]]-Table1[[#This Row],[CurrentStock]]&gt;0,Table1[[#This Row],[ReorderLevel]]-Table1[[#This Row],[CurrentStock]],"")</f>
        <v/>
      </c>
      <c r="N1871" t="str">
        <f>IF(Table1[[#This Row],[CurrentStock]]&gt;Table1[[#This Row],[ReorderLevel]]*3,"Over Stock","Okay")</f>
        <v>Over Stock</v>
      </c>
      <c r="O1871" t="str">
        <f>IF(Table1[[#This Row],[CurrentStock]]&lt;Table1[[#This Row],[ReorderLevel]],"Reorder","Okay")</f>
        <v>Okay</v>
      </c>
    </row>
    <row r="1872" spans="1:15" x14ac:dyDescent="0.3">
      <c r="A1872">
        <v>27970</v>
      </c>
      <c r="B1872" t="s">
        <v>12</v>
      </c>
      <c r="C1872" t="s">
        <v>28</v>
      </c>
      <c r="D1872">
        <v>262</v>
      </c>
      <c r="E1872">
        <v>50</v>
      </c>
      <c r="F1872">
        <v>470.21</v>
      </c>
      <c r="G1872" t="s">
        <v>32</v>
      </c>
      <c r="H1872" s="1">
        <v>45527</v>
      </c>
      <c r="I1872" s="1">
        <v>45547</v>
      </c>
      <c r="J1872" t="s">
        <v>38</v>
      </c>
      <c r="K1872" t="b">
        <f>Table1[[#This Row],[CurrentStock]]&lt;Table1[[#This Row],[ReorderLevel]]</f>
        <v>0</v>
      </c>
      <c r="L1872" s="9">
        <f>Table1[[#This Row],[CurrentStock]]*Table1[[#This Row],[UnitPrice]]</f>
        <v>123195.01999999999</v>
      </c>
      <c r="M1872" t="str">
        <f>IF(Table1[[#This Row],[ReorderLevel]]-Table1[[#This Row],[CurrentStock]]&gt;0,Table1[[#This Row],[ReorderLevel]]-Table1[[#This Row],[CurrentStock]],"")</f>
        <v/>
      </c>
      <c r="N1872" t="str">
        <f>IF(Table1[[#This Row],[CurrentStock]]&gt;Table1[[#This Row],[ReorderLevel]]*3,"Over Stock","Okay")</f>
        <v>Over Stock</v>
      </c>
      <c r="O1872" t="str">
        <f>IF(Table1[[#This Row],[CurrentStock]]&lt;Table1[[#This Row],[ReorderLevel]],"Reorder","Okay")</f>
        <v>Okay</v>
      </c>
    </row>
    <row r="1873" spans="1:15" x14ac:dyDescent="0.3">
      <c r="A1873">
        <v>93804</v>
      </c>
      <c r="B1873" t="s">
        <v>22</v>
      </c>
      <c r="C1873" t="s">
        <v>27</v>
      </c>
      <c r="D1873">
        <v>331</v>
      </c>
      <c r="E1873">
        <v>40</v>
      </c>
      <c r="F1873">
        <v>54.33</v>
      </c>
      <c r="G1873" t="s">
        <v>33</v>
      </c>
      <c r="H1873" s="1">
        <v>45421</v>
      </c>
      <c r="I1873" s="1">
        <v>45449</v>
      </c>
      <c r="J1873" t="s">
        <v>39</v>
      </c>
      <c r="K1873" t="b">
        <f>Table1[[#This Row],[CurrentStock]]&lt;Table1[[#This Row],[ReorderLevel]]</f>
        <v>0</v>
      </c>
      <c r="L1873" s="9">
        <f>Table1[[#This Row],[CurrentStock]]*Table1[[#This Row],[UnitPrice]]</f>
        <v>17983.23</v>
      </c>
      <c r="M1873" t="str">
        <f>IF(Table1[[#This Row],[ReorderLevel]]-Table1[[#This Row],[CurrentStock]]&gt;0,Table1[[#This Row],[ReorderLevel]]-Table1[[#This Row],[CurrentStock]],"")</f>
        <v/>
      </c>
      <c r="N1873" t="str">
        <f>IF(Table1[[#This Row],[CurrentStock]]&gt;Table1[[#This Row],[ReorderLevel]]*3,"Over Stock","Okay")</f>
        <v>Over Stock</v>
      </c>
      <c r="O1873" t="str">
        <f>IF(Table1[[#This Row],[CurrentStock]]&lt;Table1[[#This Row],[ReorderLevel]],"Reorder","Okay")</f>
        <v>Okay</v>
      </c>
    </row>
    <row r="1874" spans="1:15" x14ac:dyDescent="0.3">
      <c r="A1874">
        <v>53030</v>
      </c>
      <c r="B1874" t="s">
        <v>21</v>
      </c>
      <c r="C1874" t="s">
        <v>31</v>
      </c>
      <c r="D1874">
        <v>320</v>
      </c>
      <c r="E1874">
        <v>50</v>
      </c>
      <c r="F1874">
        <v>472.37</v>
      </c>
      <c r="G1874" t="s">
        <v>34</v>
      </c>
      <c r="H1874" s="1">
        <v>45460</v>
      </c>
      <c r="I1874" s="1">
        <v>45475</v>
      </c>
      <c r="J1874" t="s">
        <v>38</v>
      </c>
      <c r="K1874" t="b">
        <f>Table1[[#This Row],[CurrentStock]]&lt;Table1[[#This Row],[ReorderLevel]]</f>
        <v>0</v>
      </c>
      <c r="L1874" s="9">
        <f>Table1[[#This Row],[CurrentStock]]*Table1[[#This Row],[UnitPrice]]</f>
        <v>151158.39999999999</v>
      </c>
      <c r="M1874" t="str">
        <f>IF(Table1[[#This Row],[ReorderLevel]]-Table1[[#This Row],[CurrentStock]]&gt;0,Table1[[#This Row],[ReorderLevel]]-Table1[[#This Row],[CurrentStock]],"")</f>
        <v/>
      </c>
      <c r="N1874" t="str">
        <f>IF(Table1[[#This Row],[CurrentStock]]&gt;Table1[[#This Row],[ReorderLevel]]*3,"Over Stock","Okay")</f>
        <v>Over Stock</v>
      </c>
      <c r="O1874" t="str">
        <f>IF(Table1[[#This Row],[CurrentStock]]&lt;Table1[[#This Row],[ReorderLevel]],"Reorder","Okay")</f>
        <v>Okay</v>
      </c>
    </row>
    <row r="1875" spans="1:15" x14ac:dyDescent="0.3">
      <c r="A1875">
        <v>80474</v>
      </c>
      <c r="B1875" t="s">
        <v>14</v>
      </c>
      <c r="C1875" t="s">
        <v>27</v>
      </c>
      <c r="D1875">
        <v>478</v>
      </c>
      <c r="E1875">
        <v>150</v>
      </c>
      <c r="F1875">
        <v>82.31</v>
      </c>
      <c r="G1875" t="s">
        <v>32</v>
      </c>
      <c r="H1875" s="1">
        <v>45409</v>
      </c>
      <c r="I1875" s="1">
        <v>45419</v>
      </c>
      <c r="J1875" t="s">
        <v>37</v>
      </c>
      <c r="K1875" t="b">
        <f>Table1[[#This Row],[CurrentStock]]&lt;Table1[[#This Row],[ReorderLevel]]</f>
        <v>0</v>
      </c>
      <c r="L1875" s="9">
        <f>Table1[[#This Row],[CurrentStock]]*Table1[[#This Row],[UnitPrice]]</f>
        <v>39344.18</v>
      </c>
      <c r="M1875" t="str">
        <f>IF(Table1[[#This Row],[ReorderLevel]]-Table1[[#This Row],[CurrentStock]]&gt;0,Table1[[#This Row],[ReorderLevel]]-Table1[[#This Row],[CurrentStock]],"")</f>
        <v/>
      </c>
      <c r="N1875" t="str">
        <f>IF(Table1[[#This Row],[CurrentStock]]&gt;Table1[[#This Row],[ReorderLevel]]*3,"Over Stock","Okay")</f>
        <v>Over Stock</v>
      </c>
      <c r="O1875" t="str">
        <f>IF(Table1[[#This Row],[CurrentStock]]&lt;Table1[[#This Row],[ReorderLevel]],"Reorder","Okay")</f>
        <v>Okay</v>
      </c>
    </row>
    <row r="1876" spans="1:15" x14ac:dyDescent="0.3">
      <c r="A1876">
        <v>34146</v>
      </c>
      <c r="B1876" t="s">
        <v>15</v>
      </c>
      <c r="C1876" t="s">
        <v>29</v>
      </c>
      <c r="D1876">
        <v>50</v>
      </c>
      <c r="E1876">
        <v>80</v>
      </c>
      <c r="F1876">
        <v>97.42</v>
      </c>
      <c r="G1876" t="s">
        <v>35</v>
      </c>
      <c r="H1876" s="1">
        <v>45540</v>
      </c>
      <c r="I1876" s="1">
        <v>45561</v>
      </c>
      <c r="J1876" t="s">
        <v>38</v>
      </c>
      <c r="K1876" t="b">
        <f>Table1[[#This Row],[CurrentStock]]&lt;Table1[[#This Row],[ReorderLevel]]</f>
        <v>1</v>
      </c>
      <c r="L1876" s="9">
        <f>Table1[[#This Row],[CurrentStock]]*Table1[[#This Row],[UnitPrice]]</f>
        <v>4871</v>
      </c>
      <c r="M1876">
        <f>IF(Table1[[#This Row],[ReorderLevel]]-Table1[[#This Row],[CurrentStock]]&gt;0,Table1[[#This Row],[ReorderLevel]]-Table1[[#This Row],[CurrentStock]],"")</f>
        <v>30</v>
      </c>
      <c r="N1876" t="str">
        <f>IF(Table1[[#This Row],[CurrentStock]]&gt;Table1[[#This Row],[ReorderLevel]]*3,"Over Stock","Okay")</f>
        <v>Okay</v>
      </c>
      <c r="O1876" t="str">
        <f>IF(Table1[[#This Row],[CurrentStock]]&lt;Table1[[#This Row],[ReorderLevel]],"Reorder","Okay")</f>
        <v>Reorder</v>
      </c>
    </row>
    <row r="1877" spans="1:15" x14ac:dyDescent="0.3">
      <c r="A1877">
        <v>48071</v>
      </c>
      <c r="B1877" t="s">
        <v>16</v>
      </c>
      <c r="C1877" t="s">
        <v>30</v>
      </c>
      <c r="D1877">
        <v>276</v>
      </c>
      <c r="E1877">
        <v>40</v>
      </c>
      <c r="F1877">
        <v>127.19</v>
      </c>
      <c r="G1877" t="s">
        <v>36</v>
      </c>
      <c r="H1877" s="1">
        <v>45582</v>
      </c>
      <c r="I1877" s="1">
        <v>45602</v>
      </c>
      <c r="J1877" t="s">
        <v>38</v>
      </c>
      <c r="K1877" t="b">
        <f>Table1[[#This Row],[CurrentStock]]&lt;Table1[[#This Row],[ReorderLevel]]</f>
        <v>0</v>
      </c>
      <c r="L1877" s="9">
        <f>Table1[[#This Row],[CurrentStock]]*Table1[[#This Row],[UnitPrice]]</f>
        <v>35104.44</v>
      </c>
      <c r="M1877" t="str">
        <f>IF(Table1[[#This Row],[ReorderLevel]]-Table1[[#This Row],[CurrentStock]]&gt;0,Table1[[#This Row],[ReorderLevel]]-Table1[[#This Row],[CurrentStock]],"")</f>
        <v/>
      </c>
      <c r="N1877" t="str">
        <f>IF(Table1[[#This Row],[CurrentStock]]&gt;Table1[[#This Row],[ReorderLevel]]*3,"Over Stock","Okay")</f>
        <v>Over Stock</v>
      </c>
      <c r="O1877" t="str">
        <f>IF(Table1[[#This Row],[CurrentStock]]&lt;Table1[[#This Row],[ReorderLevel]],"Reorder","Okay")</f>
        <v>Okay</v>
      </c>
    </row>
    <row r="1878" spans="1:15" x14ac:dyDescent="0.3">
      <c r="A1878">
        <v>76535</v>
      </c>
      <c r="B1878" t="s">
        <v>15</v>
      </c>
      <c r="C1878" t="s">
        <v>29</v>
      </c>
      <c r="D1878">
        <v>468</v>
      </c>
      <c r="E1878">
        <v>50</v>
      </c>
      <c r="F1878">
        <v>247.19</v>
      </c>
      <c r="G1878" t="s">
        <v>35</v>
      </c>
      <c r="H1878" s="1">
        <v>45580</v>
      </c>
      <c r="I1878" s="1">
        <v>45604</v>
      </c>
      <c r="J1878" t="s">
        <v>37</v>
      </c>
      <c r="K1878" t="b">
        <f>Table1[[#This Row],[CurrentStock]]&lt;Table1[[#This Row],[ReorderLevel]]</f>
        <v>0</v>
      </c>
      <c r="L1878" s="9">
        <f>Table1[[#This Row],[CurrentStock]]*Table1[[#This Row],[UnitPrice]]</f>
        <v>115684.92</v>
      </c>
      <c r="M1878" t="str">
        <f>IF(Table1[[#This Row],[ReorderLevel]]-Table1[[#This Row],[CurrentStock]]&gt;0,Table1[[#This Row],[ReorderLevel]]-Table1[[#This Row],[CurrentStock]],"")</f>
        <v/>
      </c>
      <c r="N1878" t="str">
        <f>IF(Table1[[#This Row],[CurrentStock]]&gt;Table1[[#This Row],[ReorderLevel]]*3,"Over Stock","Okay")</f>
        <v>Over Stock</v>
      </c>
      <c r="O1878" t="str">
        <f>IF(Table1[[#This Row],[CurrentStock]]&lt;Table1[[#This Row],[ReorderLevel]],"Reorder","Okay")</f>
        <v>Okay</v>
      </c>
    </row>
    <row r="1879" spans="1:15" x14ac:dyDescent="0.3">
      <c r="A1879">
        <v>72278</v>
      </c>
      <c r="B1879" t="s">
        <v>11</v>
      </c>
      <c r="C1879" t="s">
        <v>27</v>
      </c>
      <c r="D1879">
        <v>437</v>
      </c>
      <c r="E1879">
        <v>150</v>
      </c>
      <c r="F1879">
        <v>244.06</v>
      </c>
      <c r="G1879" t="s">
        <v>33</v>
      </c>
      <c r="H1879" s="1">
        <v>45414</v>
      </c>
      <c r="I1879" s="1">
        <v>45440</v>
      </c>
      <c r="J1879" t="s">
        <v>38</v>
      </c>
      <c r="K1879" t="b">
        <f>Table1[[#This Row],[CurrentStock]]&lt;Table1[[#This Row],[ReorderLevel]]</f>
        <v>0</v>
      </c>
      <c r="L1879" s="9">
        <f>Table1[[#This Row],[CurrentStock]]*Table1[[#This Row],[UnitPrice]]</f>
        <v>106654.22</v>
      </c>
      <c r="M1879" t="str">
        <f>IF(Table1[[#This Row],[ReorderLevel]]-Table1[[#This Row],[CurrentStock]]&gt;0,Table1[[#This Row],[ReorderLevel]]-Table1[[#This Row],[CurrentStock]],"")</f>
        <v/>
      </c>
      <c r="N1879" t="str">
        <f>IF(Table1[[#This Row],[CurrentStock]]&gt;Table1[[#This Row],[ReorderLevel]]*3,"Over Stock","Okay")</f>
        <v>Okay</v>
      </c>
      <c r="O1879" t="str">
        <f>IF(Table1[[#This Row],[CurrentStock]]&lt;Table1[[#This Row],[ReorderLevel]],"Reorder","Okay")</f>
        <v>Okay</v>
      </c>
    </row>
    <row r="1880" spans="1:15" x14ac:dyDescent="0.3">
      <c r="A1880">
        <v>55564</v>
      </c>
      <c r="B1880" t="s">
        <v>19</v>
      </c>
      <c r="C1880" t="s">
        <v>28</v>
      </c>
      <c r="D1880">
        <v>181</v>
      </c>
      <c r="E1880">
        <v>80</v>
      </c>
      <c r="F1880">
        <v>468.36</v>
      </c>
      <c r="G1880" t="s">
        <v>33</v>
      </c>
      <c r="H1880" s="1">
        <v>45487</v>
      </c>
      <c r="I1880" s="1">
        <v>45511</v>
      </c>
      <c r="J1880" t="s">
        <v>38</v>
      </c>
      <c r="K1880" t="b">
        <f>Table1[[#This Row],[CurrentStock]]&lt;Table1[[#This Row],[ReorderLevel]]</f>
        <v>0</v>
      </c>
      <c r="L1880" s="9">
        <f>Table1[[#This Row],[CurrentStock]]*Table1[[#This Row],[UnitPrice]]</f>
        <v>84773.16</v>
      </c>
      <c r="M1880" t="str">
        <f>IF(Table1[[#This Row],[ReorderLevel]]-Table1[[#This Row],[CurrentStock]]&gt;0,Table1[[#This Row],[ReorderLevel]]-Table1[[#This Row],[CurrentStock]],"")</f>
        <v/>
      </c>
      <c r="N1880" t="str">
        <f>IF(Table1[[#This Row],[CurrentStock]]&gt;Table1[[#This Row],[ReorderLevel]]*3,"Over Stock","Okay")</f>
        <v>Okay</v>
      </c>
      <c r="O1880" t="str">
        <f>IF(Table1[[#This Row],[CurrentStock]]&lt;Table1[[#This Row],[ReorderLevel]],"Reorder","Okay")</f>
        <v>Okay</v>
      </c>
    </row>
    <row r="1881" spans="1:15" x14ac:dyDescent="0.3">
      <c r="A1881">
        <v>82495</v>
      </c>
      <c r="B1881" t="s">
        <v>24</v>
      </c>
      <c r="C1881" t="s">
        <v>31</v>
      </c>
      <c r="D1881">
        <v>132</v>
      </c>
      <c r="E1881">
        <v>40</v>
      </c>
      <c r="F1881">
        <v>258.8</v>
      </c>
      <c r="G1881" t="s">
        <v>32</v>
      </c>
      <c r="H1881" s="1">
        <v>45626</v>
      </c>
      <c r="I1881" s="1">
        <v>45636</v>
      </c>
      <c r="J1881" t="s">
        <v>39</v>
      </c>
      <c r="K1881" t="b">
        <f>Table1[[#This Row],[CurrentStock]]&lt;Table1[[#This Row],[ReorderLevel]]</f>
        <v>0</v>
      </c>
      <c r="L1881" s="9">
        <f>Table1[[#This Row],[CurrentStock]]*Table1[[#This Row],[UnitPrice]]</f>
        <v>34161.599999999999</v>
      </c>
      <c r="M1881" t="str">
        <f>IF(Table1[[#This Row],[ReorderLevel]]-Table1[[#This Row],[CurrentStock]]&gt;0,Table1[[#This Row],[ReorderLevel]]-Table1[[#This Row],[CurrentStock]],"")</f>
        <v/>
      </c>
      <c r="N1881" t="str">
        <f>IF(Table1[[#This Row],[CurrentStock]]&gt;Table1[[#This Row],[ReorderLevel]]*3,"Over Stock","Okay")</f>
        <v>Over Stock</v>
      </c>
      <c r="O1881" t="str">
        <f>IF(Table1[[#This Row],[CurrentStock]]&lt;Table1[[#This Row],[ReorderLevel]],"Reorder","Okay")</f>
        <v>Okay</v>
      </c>
    </row>
    <row r="1882" spans="1:15" x14ac:dyDescent="0.3">
      <c r="A1882">
        <v>25437</v>
      </c>
      <c r="B1882" t="s">
        <v>11</v>
      </c>
      <c r="C1882" t="s">
        <v>27</v>
      </c>
      <c r="D1882">
        <v>445</v>
      </c>
      <c r="E1882">
        <v>30</v>
      </c>
      <c r="F1882">
        <v>172.09</v>
      </c>
      <c r="G1882" t="s">
        <v>34</v>
      </c>
      <c r="H1882" s="1">
        <v>45310</v>
      </c>
      <c r="I1882" s="1">
        <v>45348</v>
      </c>
      <c r="J1882" t="s">
        <v>37</v>
      </c>
      <c r="K1882" t="b">
        <f>Table1[[#This Row],[CurrentStock]]&lt;Table1[[#This Row],[ReorderLevel]]</f>
        <v>0</v>
      </c>
      <c r="L1882" s="9">
        <f>Table1[[#This Row],[CurrentStock]]*Table1[[#This Row],[UnitPrice]]</f>
        <v>76580.05</v>
      </c>
      <c r="M1882" t="str">
        <f>IF(Table1[[#This Row],[ReorderLevel]]-Table1[[#This Row],[CurrentStock]]&gt;0,Table1[[#This Row],[ReorderLevel]]-Table1[[#This Row],[CurrentStock]],"")</f>
        <v/>
      </c>
      <c r="N1882" t="str">
        <f>IF(Table1[[#This Row],[CurrentStock]]&gt;Table1[[#This Row],[ReorderLevel]]*3,"Over Stock","Okay")</f>
        <v>Over Stock</v>
      </c>
      <c r="O1882" t="str">
        <f>IF(Table1[[#This Row],[CurrentStock]]&lt;Table1[[#This Row],[ReorderLevel]],"Reorder","Okay")</f>
        <v>Okay</v>
      </c>
    </row>
    <row r="1883" spans="1:15" x14ac:dyDescent="0.3">
      <c r="A1883">
        <v>31305</v>
      </c>
      <c r="B1883" t="s">
        <v>24</v>
      </c>
      <c r="C1883" t="s">
        <v>31</v>
      </c>
      <c r="D1883">
        <v>364</v>
      </c>
      <c r="E1883">
        <v>20</v>
      </c>
      <c r="F1883">
        <v>275.63</v>
      </c>
      <c r="G1883" t="s">
        <v>32</v>
      </c>
      <c r="H1883" s="1">
        <v>45320</v>
      </c>
      <c r="I1883" s="1">
        <v>45353</v>
      </c>
      <c r="J1883" t="s">
        <v>38</v>
      </c>
      <c r="K1883" t="b">
        <f>Table1[[#This Row],[CurrentStock]]&lt;Table1[[#This Row],[ReorderLevel]]</f>
        <v>0</v>
      </c>
      <c r="L1883" s="9">
        <f>Table1[[#This Row],[CurrentStock]]*Table1[[#This Row],[UnitPrice]]</f>
        <v>100329.31999999999</v>
      </c>
      <c r="M1883" t="str">
        <f>IF(Table1[[#This Row],[ReorderLevel]]-Table1[[#This Row],[CurrentStock]]&gt;0,Table1[[#This Row],[ReorderLevel]]-Table1[[#This Row],[CurrentStock]],"")</f>
        <v/>
      </c>
      <c r="N1883" t="str">
        <f>IF(Table1[[#This Row],[CurrentStock]]&gt;Table1[[#This Row],[ReorderLevel]]*3,"Over Stock","Okay")</f>
        <v>Over Stock</v>
      </c>
      <c r="O1883" t="str">
        <f>IF(Table1[[#This Row],[CurrentStock]]&lt;Table1[[#This Row],[ReorderLevel]],"Reorder","Okay")</f>
        <v>Okay</v>
      </c>
    </row>
    <row r="1884" spans="1:15" x14ac:dyDescent="0.3">
      <c r="A1884">
        <v>50122</v>
      </c>
      <c r="B1884" t="s">
        <v>13</v>
      </c>
      <c r="C1884" t="s">
        <v>29</v>
      </c>
      <c r="D1884">
        <v>304</v>
      </c>
      <c r="E1884">
        <v>100</v>
      </c>
      <c r="F1884">
        <v>306.41000000000003</v>
      </c>
      <c r="G1884" t="s">
        <v>34</v>
      </c>
      <c r="H1884" s="1">
        <v>45497</v>
      </c>
      <c r="I1884" s="1">
        <v>45511</v>
      </c>
      <c r="J1884" t="s">
        <v>39</v>
      </c>
      <c r="K1884" t="b">
        <f>Table1[[#This Row],[CurrentStock]]&lt;Table1[[#This Row],[ReorderLevel]]</f>
        <v>0</v>
      </c>
      <c r="L1884" s="9">
        <f>Table1[[#This Row],[CurrentStock]]*Table1[[#This Row],[UnitPrice]]</f>
        <v>93148.640000000014</v>
      </c>
      <c r="M1884" t="str">
        <f>IF(Table1[[#This Row],[ReorderLevel]]-Table1[[#This Row],[CurrentStock]]&gt;0,Table1[[#This Row],[ReorderLevel]]-Table1[[#This Row],[CurrentStock]],"")</f>
        <v/>
      </c>
      <c r="N1884" t="str">
        <f>IF(Table1[[#This Row],[CurrentStock]]&gt;Table1[[#This Row],[ReorderLevel]]*3,"Over Stock","Okay")</f>
        <v>Over Stock</v>
      </c>
      <c r="O1884" t="str">
        <f>IF(Table1[[#This Row],[CurrentStock]]&lt;Table1[[#This Row],[ReorderLevel]],"Reorder","Okay")</f>
        <v>Okay</v>
      </c>
    </row>
    <row r="1885" spans="1:15" x14ac:dyDescent="0.3">
      <c r="A1885">
        <v>23510</v>
      </c>
      <c r="B1885" t="s">
        <v>25</v>
      </c>
      <c r="C1885" t="s">
        <v>31</v>
      </c>
      <c r="D1885">
        <v>328</v>
      </c>
      <c r="E1885">
        <v>80</v>
      </c>
      <c r="F1885">
        <v>373.6</v>
      </c>
      <c r="G1885" t="s">
        <v>35</v>
      </c>
      <c r="H1885" s="1">
        <v>45344</v>
      </c>
      <c r="I1885" s="1">
        <v>45362</v>
      </c>
      <c r="J1885" t="s">
        <v>38</v>
      </c>
      <c r="K1885" t="b">
        <f>Table1[[#This Row],[CurrentStock]]&lt;Table1[[#This Row],[ReorderLevel]]</f>
        <v>0</v>
      </c>
      <c r="L1885" s="9">
        <f>Table1[[#This Row],[CurrentStock]]*Table1[[#This Row],[UnitPrice]]</f>
        <v>122540.8</v>
      </c>
      <c r="M1885" t="str">
        <f>IF(Table1[[#This Row],[ReorderLevel]]-Table1[[#This Row],[CurrentStock]]&gt;0,Table1[[#This Row],[ReorderLevel]]-Table1[[#This Row],[CurrentStock]],"")</f>
        <v/>
      </c>
      <c r="N1885" t="str">
        <f>IF(Table1[[#This Row],[CurrentStock]]&gt;Table1[[#This Row],[ReorderLevel]]*3,"Over Stock","Okay")</f>
        <v>Over Stock</v>
      </c>
      <c r="O1885" t="str">
        <f>IF(Table1[[#This Row],[CurrentStock]]&lt;Table1[[#This Row],[ReorderLevel]],"Reorder","Okay")</f>
        <v>Okay</v>
      </c>
    </row>
    <row r="1886" spans="1:15" x14ac:dyDescent="0.3">
      <c r="A1886">
        <v>68860</v>
      </c>
      <c r="B1886" t="s">
        <v>12</v>
      </c>
      <c r="C1886" t="s">
        <v>28</v>
      </c>
      <c r="D1886">
        <v>171</v>
      </c>
      <c r="E1886">
        <v>100</v>
      </c>
      <c r="F1886">
        <v>281.47000000000003</v>
      </c>
      <c r="G1886" t="s">
        <v>35</v>
      </c>
      <c r="H1886" s="1">
        <v>45477</v>
      </c>
      <c r="I1886" s="1">
        <v>45509</v>
      </c>
      <c r="J1886" t="s">
        <v>38</v>
      </c>
      <c r="K1886" t="b">
        <f>Table1[[#This Row],[CurrentStock]]&lt;Table1[[#This Row],[ReorderLevel]]</f>
        <v>0</v>
      </c>
      <c r="L1886" s="9">
        <f>Table1[[#This Row],[CurrentStock]]*Table1[[#This Row],[UnitPrice]]</f>
        <v>48131.37</v>
      </c>
      <c r="M1886" t="str">
        <f>IF(Table1[[#This Row],[ReorderLevel]]-Table1[[#This Row],[CurrentStock]]&gt;0,Table1[[#This Row],[ReorderLevel]]-Table1[[#This Row],[CurrentStock]],"")</f>
        <v/>
      </c>
      <c r="N1886" t="str">
        <f>IF(Table1[[#This Row],[CurrentStock]]&gt;Table1[[#This Row],[ReorderLevel]]*3,"Over Stock","Okay")</f>
        <v>Okay</v>
      </c>
      <c r="O1886" t="str">
        <f>IF(Table1[[#This Row],[CurrentStock]]&lt;Table1[[#This Row],[ReorderLevel]],"Reorder","Okay")</f>
        <v>Okay</v>
      </c>
    </row>
    <row r="1887" spans="1:15" x14ac:dyDescent="0.3">
      <c r="A1887">
        <v>51604</v>
      </c>
      <c r="B1887" t="s">
        <v>21</v>
      </c>
      <c r="C1887" t="s">
        <v>31</v>
      </c>
      <c r="D1887">
        <v>330</v>
      </c>
      <c r="E1887">
        <v>20</v>
      </c>
      <c r="F1887">
        <v>425.51</v>
      </c>
      <c r="G1887" t="s">
        <v>33</v>
      </c>
      <c r="H1887" s="1">
        <v>45438</v>
      </c>
      <c r="I1887" s="1">
        <v>45460</v>
      </c>
      <c r="J1887" t="s">
        <v>38</v>
      </c>
      <c r="K1887" t="b">
        <f>Table1[[#This Row],[CurrentStock]]&lt;Table1[[#This Row],[ReorderLevel]]</f>
        <v>0</v>
      </c>
      <c r="L1887" s="9">
        <f>Table1[[#This Row],[CurrentStock]]*Table1[[#This Row],[UnitPrice]]</f>
        <v>140418.29999999999</v>
      </c>
      <c r="M1887" t="str">
        <f>IF(Table1[[#This Row],[ReorderLevel]]-Table1[[#This Row],[CurrentStock]]&gt;0,Table1[[#This Row],[ReorderLevel]]-Table1[[#This Row],[CurrentStock]],"")</f>
        <v/>
      </c>
      <c r="N1887" t="str">
        <f>IF(Table1[[#This Row],[CurrentStock]]&gt;Table1[[#This Row],[ReorderLevel]]*3,"Over Stock","Okay")</f>
        <v>Over Stock</v>
      </c>
      <c r="O1887" t="str">
        <f>IF(Table1[[#This Row],[CurrentStock]]&lt;Table1[[#This Row],[ReorderLevel]],"Reorder","Okay")</f>
        <v>Okay</v>
      </c>
    </row>
    <row r="1888" spans="1:15" x14ac:dyDescent="0.3">
      <c r="A1888">
        <v>56235</v>
      </c>
      <c r="B1888" t="s">
        <v>24</v>
      </c>
      <c r="C1888" t="s">
        <v>31</v>
      </c>
      <c r="D1888">
        <v>111</v>
      </c>
      <c r="E1888">
        <v>150</v>
      </c>
      <c r="F1888">
        <v>245.85</v>
      </c>
      <c r="G1888" t="s">
        <v>35</v>
      </c>
      <c r="H1888" s="1">
        <v>45348</v>
      </c>
      <c r="I1888" s="1">
        <v>45353</v>
      </c>
      <c r="J1888" t="s">
        <v>39</v>
      </c>
      <c r="K1888" t="b">
        <f>Table1[[#This Row],[CurrentStock]]&lt;Table1[[#This Row],[ReorderLevel]]</f>
        <v>1</v>
      </c>
      <c r="L1888" s="9">
        <f>Table1[[#This Row],[CurrentStock]]*Table1[[#This Row],[UnitPrice]]</f>
        <v>27289.35</v>
      </c>
      <c r="M1888">
        <f>IF(Table1[[#This Row],[ReorderLevel]]-Table1[[#This Row],[CurrentStock]]&gt;0,Table1[[#This Row],[ReorderLevel]]-Table1[[#This Row],[CurrentStock]],"")</f>
        <v>39</v>
      </c>
      <c r="N1888" t="str">
        <f>IF(Table1[[#This Row],[CurrentStock]]&gt;Table1[[#This Row],[ReorderLevel]]*3,"Over Stock","Okay")</f>
        <v>Okay</v>
      </c>
      <c r="O1888" t="str">
        <f>IF(Table1[[#This Row],[CurrentStock]]&lt;Table1[[#This Row],[ReorderLevel]],"Reorder","Okay")</f>
        <v>Reorder</v>
      </c>
    </row>
    <row r="1889" spans="1:15" x14ac:dyDescent="0.3">
      <c r="A1889">
        <v>11316</v>
      </c>
      <c r="B1889" t="s">
        <v>21</v>
      </c>
      <c r="C1889" t="s">
        <v>31</v>
      </c>
      <c r="D1889">
        <v>186</v>
      </c>
      <c r="E1889">
        <v>150</v>
      </c>
      <c r="F1889">
        <v>473.7</v>
      </c>
      <c r="G1889" t="s">
        <v>34</v>
      </c>
      <c r="H1889" s="1">
        <v>45468</v>
      </c>
      <c r="I1889" s="1">
        <v>45477</v>
      </c>
      <c r="J1889" t="s">
        <v>38</v>
      </c>
      <c r="K1889" t="b">
        <f>Table1[[#This Row],[CurrentStock]]&lt;Table1[[#This Row],[ReorderLevel]]</f>
        <v>0</v>
      </c>
      <c r="L1889" s="9">
        <f>Table1[[#This Row],[CurrentStock]]*Table1[[#This Row],[UnitPrice]]</f>
        <v>88108.2</v>
      </c>
      <c r="M1889" t="str">
        <f>IF(Table1[[#This Row],[ReorderLevel]]-Table1[[#This Row],[CurrentStock]]&gt;0,Table1[[#This Row],[ReorderLevel]]-Table1[[#This Row],[CurrentStock]],"")</f>
        <v/>
      </c>
      <c r="N1889" t="str">
        <f>IF(Table1[[#This Row],[CurrentStock]]&gt;Table1[[#This Row],[ReorderLevel]]*3,"Over Stock","Okay")</f>
        <v>Okay</v>
      </c>
      <c r="O1889" t="str">
        <f>IF(Table1[[#This Row],[CurrentStock]]&lt;Table1[[#This Row],[ReorderLevel]],"Reorder","Okay")</f>
        <v>Okay</v>
      </c>
    </row>
    <row r="1890" spans="1:15" x14ac:dyDescent="0.3">
      <c r="A1890">
        <v>41957</v>
      </c>
      <c r="B1890" t="s">
        <v>17</v>
      </c>
      <c r="C1890" t="s">
        <v>30</v>
      </c>
      <c r="D1890">
        <v>224</v>
      </c>
      <c r="E1890">
        <v>40</v>
      </c>
      <c r="F1890">
        <v>252.21</v>
      </c>
      <c r="G1890" t="s">
        <v>35</v>
      </c>
      <c r="H1890" s="1">
        <v>45442</v>
      </c>
      <c r="I1890" s="1">
        <v>45448</v>
      </c>
      <c r="J1890" t="s">
        <v>38</v>
      </c>
      <c r="K1890" t="b">
        <f>Table1[[#This Row],[CurrentStock]]&lt;Table1[[#This Row],[ReorderLevel]]</f>
        <v>0</v>
      </c>
      <c r="L1890" s="9">
        <f>Table1[[#This Row],[CurrentStock]]*Table1[[#This Row],[UnitPrice]]</f>
        <v>56495.040000000001</v>
      </c>
      <c r="M1890" t="str">
        <f>IF(Table1[[#This Row],[ReorderLevel]]-Table1[[#This Row],[CurrentStock]]&gt;0,Table1[[#This Row],[ReorderLevel]]-Table1[[#This Row],[CurrentStock]],"")</f>
        <v/>
      </c>
      <c r="N1890" t="str">
        <f>IF(Table1[[#This Row],[CurrentStock]]&gt;Table1[[#This Row],[ReorderLevel]]*3,"Over Stock","Okay")</f>
        <v>Over Stock</v>
      </c>
      <c r="O1890" t="str">
        <f>IF(Table1[[#This Row],[CurrentStock]]&lt;Table1[[#This Row],[ReorderLevel]],"Reorder","Okay")</f>
        <v>Okay</v>
      </c>
    </row>
    <row r="1891" spans="1:15" x14ac:dyDescent="0.3">
      <c r="A1891">
        <v>12106</v>
      </c>
      <c r="B1891" t="s">
        <v>15</v>
      </c>
      <c r="C1891" t="s">
        <v>29</v>
      </c>
      <c r="D1891">
        <v>302</v>
      </c>
      <c r="E1891">
        <v>50</v>
      </c>
      <c r="F1891">
        <v>158.97</v>
      </c>
      <c r="G1891" t="s">
        <v>32</v>
      </c>
      <c r="H1891" s="1">
        <v>45300</v>
      </c>
      <c r="I1891" s="1">
        <v>45305</v>
      </c>
      <c r="J1891" t="s">
        <v>38</v>
      </c>
      <c r="K1891" t="b">
        <f>Table1[[#This Row],[CurrentStock]]&lt;Table1[[#This Row],[ReorderLevel]]</f>
        <v>0</v>
      </c>
      <c r="L1891" s="9">
        <f>Table1[[#This Row],[CurrentStock]]*Table1[[#This Row],[UnitPrice]]</f>
        <v>48008.94</v>
      </c>
      <c r="M1891" t="str">
        <f>IF(Table1[[#This Row],[ReorderLevel]]-Table1[[#This Row],[CurrentStock]]&gt;0,Table1[[#This Row],[ReorderLevel]]-Table1[[#This Row],[CurrentStock]],"")</f>
        <v/>
      </c>
      <c r="N1891" t="str">
        <f>IF(Table1[[#This Row],[CurrentStock]]&gt;Table1[[#This Row],[ReorderLevel]]*3,"Over Stock","Okay")</f>
        <v>Over Stock</v>
      </c>
      <c r="O1891" t="str">
        <f>IF(Table1[[#This Row],[CurrentStock]]&lt;Table1[[#This Row],[ReorderLevel]],"Reorder","Okay")</f>
        <v>Okay</v>
      </c>
    </row>
    <row r="1892" spans="1:15" x14ac:dyDescent="0.3">
      <c r="A1892">
        <v>92164</v>
      </c>
      <c r="B1892" t="s">
        <v>14</v>
      </c>
      <c r="C1892" t="s">
        <v>27</v>
      </c>
      <c r="D1892">
        <v>346</v>
      </c>
      <c r="E1892">
        <v>30</v>
      </c>
      <c r="F1892">
        <v>55.59</v>
      </c>
      <c r="G1892" t="s">
        <v>36</v>
      </c>
      <c r="H1892" s="1">
        <v>45468</v>
      </c>
      <c r="I1892" s="1">
        <v>45504</v>
      </c>
      <c r="J1892" t="s">
        <v>39</v>
      </c>
      <c r="K1892" t="b">
        <f>Table1[[#This Row],[CurrentStock]]&lt;Table1[[#This Row],[ReorderLevel]]</f>
        <v>0</v>
      </c>
      <c r="L1892" s="9">
        <f>Table1[[#This Row],[CurrentStock]]*Table1[[#This Row],[UnitPrice]]</f>
        <v>19234.14</v>
      </c>
      <c r="M1892" t="str">
        <f>IF(Table1[[#This Row],[ReorderLevel]]-Table1[[#This Row],[CurrentStock]]&gt;0,Table1[[#This Row],[ReorderLevel]]-Table1[[#This Row],[CurrentStock]],"")</f>
        <v/>
      </c>
      <c r="N1892" t="str">
        <f>IF(Table1[[#This Row],[CurrentStock]]&gt;Table1[[#This Row],[ReorderLevel]]*3,"Over Stock","Okay")</f>
        <v>Over Stock</v>
      </c>
      <c r="O1892" t="str">
        <f>IF(Table1[[#This Row],[CurrentStock]]&lt;Table1[[#This Row],[ReorderLevel]],"Reorder","Okay")</f>
        <v>Okay</v>
      </c>
    </row>
    <row r="1893" spans="1:15" x14ac:dyDescent="0.3">
      <c r="A1893">
        <v>89789</v>
      </c>
      <c r="B1893" t="s">
        <v>11</v>
      </c>
      <c r="C1893" t="s">
        <v>27</v>
      </c>
      <c r="D1893">
        <v>212</v>
      </c>
      <c r="E1893">
        <v>100</v>
      </c>
      <c r="F1893">
        <v>211.25</v>
      </c>
      <c r="G1893" t="s">
        <v>35</v>
      </c>
      <c r="H1893" s="1">
        <v>45456</v>
      </c>
      <c r="I1893" s="1">
        <v>45476</v>
      </c>
      <c r="J1893" t="s">
        <v>37</v>
      </c>
      <c r="K1893" t="b">
        <f>Table1[[#This Row],[CurrentStock]]&lt;Table1[[#This Row],[ReorderLevel]]</f>
        <v>0</v>
      </c>
      <c r="L1893" s="9">
        <f>Table1[[#This Row],[CurrentStock]]*Table1[[#This Row],[UnitPrice]]</f>
        <v>44785</v>
      </c>
      <c r="M1893" t="str">
        <f>IF(Table1[[#This Row],[ReorderLevel]]-Table1[[#This Row],[CurrentStock]]&gt;0,Table1[[#This Row],[ReorderLevel]]-Table1[[#This Row],[CurrentStock]],"")</f>
        <v/>
      </c>
      <c r="N1893" t="str">
        <f>IF(Table1[[#This Row],[CurrentStock]]&gt;Table1[[#This Row],[ReorderLevel]]*3,"Over Stock","Okay")</f>
        <v>Okay</v>
      </c>
      <c r="O1893" t="str">
        <f>IF(Table1[[#This Row],[CurrentStock]]&lt;Table1[[#This Row],[ReorderLevel]],"Reorder","Okay")</f>
        <v>Okay</v>
      </c>
    </row>
    <row r="1894" spans="1:15" x14ac:dyDescent="0.3">
      <c r="A1894">
        <v>63450</v>
      </c>
      <c r="B1894" t="s">
        <v>23</v>
      </c>
      <c r="C1894" t="s">
        <v>30</v>
      </c>
      <c r="D1894">
        <v>178</v>
      </c>
      <c r="E1894">
        <v>100</v>
      </c>
      <c r="F1894">
        <v>395.59</v>
      </c>
      <c r="G1894" t="s">
        <v>33</v>
      </c>
      <c r="H1894" s="1">
        <v>45461</v>
      </c>
      <c r="I1894" s="1">
        <v>45469</v>
      </c>
      <c r="J1894" t="s">
        <v>38</v>
      </c>
      <c r="K1894" t="b">
        <f>Table1[[#This Row],[CurrentStock]]&lt;Table1[[#This Row],[ReorderLevel]]</f>
        <v>0</v>
      </c>
      <c r="L1894" s="9">
        <f>Table1[[#This Row],[CurrentStock]]*Table1[[#This Row],[UnitPrice]]</f>
        <v>70415.01999999999</v>
      </c>
      <c r="M1894" t="str">
        <f>IF(Table1[[#This Row],[ReorderLevel]]-Table1[[#This Row],[CurrentStock]]&gt;0,Table1[[#This Row],[ReorderLevel]]-Table1[[#This Row],[CurrentStock]],"")</f>
        <v/>
      </c>
      <c r="N1894" t="str">
        <f>IF(Table1[[#This Row],[CurrentStock]]&gt;Table1[[#This Row],[ReorderLevel]]*3,"Over Stock","Okay")</f>
        <v>Okay</v>
      </c>
      <c r="O1894" t="str">
        <f>IF(Table1[[#This Row],[CurrentStock]]&lt;Table1[[#This Row],[ReorderLevel]],"Reorder","Okay")</f>
        <v>Okay</v>
      </c>
    </row>
    <row r="1895" spans="1:15" x14ac:dyDescent="0.3">
      <c r="A1895">
        <v>30742</v>
      </c>
      <c r="B1895" t="s">
        <v>25</v>
      </c>
      <c r="C1895" t="s">
        <v>31</v>
      </c>
      <c r="D1895">
        <v>316</v>
      </c>
      <c r="E1895">
        <v>150</v>
      </c>
      <c r="F1895">
        <v>330.13</v>
      </c>
      <c r="G1895" t="s">
        <v>33</v>
      </c>
      <c r="H1895" s="1">
        <v>45490</v>
      </c>
      <c r="I1895" s="1">
        <v>45526</v>
      </c>
      <c r="J1895" t="s">
        <v>39</v>
      </c>
      <c r="K1895" t="b">
        <f>Table1[[#This Row],[CurrentStock]]&lt;Table1[[#This Row],[ReorderLevel]]</f>
        <v>0</v>
      </c>
      <c r="L1895" s="9">
        <f>Table1[[#This Row],[CurrentStock]]*Table1[[#This Row],[UnitPrice]]</f>
        <v>104321.08</v>
      </c>
      <c r="M1895" t="str">
        <f>IF(Table1[[#This Row],[ReorderLevel]]-Table1[[#This Row],[CurrentStock]]&gt;0,Table1[[#This Row],[ReorderLevel]]-Table1[[#This Row],[CurrentStock]],"")</f>
        <v/>
      </c>
      <c r="N1895" t="str">
        <f>IF(Table1[[#This Row],[CurrentStock]]&gt;Table1[[#This Row],[ReorderLevel]]*3,"Over Stock","Okay")</f>
        <v>Okay</v>
      </c>
      <c r="O1895" t="str">
        <f>IF(Table1[[#This Row],[CurrentStock]]&lt;Table1[[#This Row],[ReorderLevel]],"Reorder","Okay")</f>
        <v>Okay</v>
      </c>
    </row>
    <row r="1896" spans="1:15" x14ac:dyDescent="0.3">
      <c r="A1896">
        <v>51057</v>
      </c>
      <c r="B1896" t="s">
        <v>11</v>
      </c>
      <c r="C1896" t="s">
        <v>27</v>
      </c>
      <c r="D1896">
        <v>191</v>
      </c>
      <c r="E1896">
        <v>80</v>
      </c>
      <c r="F1896">
        <v>366.39</v>
      </c>
      <c r="G1896" t="s">
        <v>33</v>
      </c>
      <c r="H1896" s="1">
        <v>45643</v>
      </c>
      <c r="I1896" s="1">
        <v>45665</v>
      </c>
      <c r="J1896" t="s">
        <v>38</v>
      </c>
      <c r="K1896" t="b">
        <f>Table1[[#This Row],[CurrentStock]]&lt;Table1[[#This Row],[ReorderLevel]]</f>
        <v>0</v>
      </c>
      <c r="L1896" s="9">
        <f>Table1[[#This Row],[CurrentStock]]*Table1[[#This Row],[UnitPrice]]</f>
        <v>69980.489999999991</v>
      </c>
      <c r="M1896" t="str">
        <f>IF(Table1[[#This Row],[ReorderLevel]]-Table1[[#This Row],[CurrentStock]]&gt;0,Table1[[#This Row],[ReorderLevel]]-Table1[[#This Row],[CurrentStock]],"")</f>
        <v/>
      </c>
      <c r="N1896" t="str">
        <f>IF(Table1[[#This Row],[CurrentStock]]&gt;Table1[[#This Row],[ReorderLevel]]*3,"Over Stock","Okay")</f>
        <v>Okay</v>
      </c>
      <c r="O1896" t="str">
        <f>IF(Table1[[#This Row],[CurrentStock]]&lt;Table1[[#This Row],[ReorderLevel]],"Reorder","Okay")</f>
        <v>Okay</v>
      </c>
    </row>
    <row r="1897" spans="1:15" x14ac:dyDescent="0.3">
      <c r="A1897">
        <v>55874</v>
      </c>
      <c r="B1897" t="s">
        <v>19</v>
      </c>
      <c r="C1897" t="s">
        <v>28</v>
      </c>
      <c r="D1897">
        <v>241</v>
      </c>
      <c r="E1897">
        <v>30</v>
      </c>
      <c r="F1897">
        <v>289.5</v>
      </c>
      <c r="G1897" t="s">
        <v>33</v>
      </c>
      <c r="H1897" s="1">
        <v>45545</v>
      </c>
      <c r="I1897" s="1">
        <v>45550</v>
      </c>
      <c r="J1897" t="s">
        <v>38</v>
      </c>
      <c r="K1897" t="b">
        <f>Table1[[#This Row],[CurrentStock]]&lt;Table1[[#This Row],[ReorderLevel]]</f>
        <v>0</v>
      </c>
      <c r="L1897" s="9">
        <f>Table1[[#This Row],[CurrentStock]]*Table1[[#This Row],[UnitPrice]]</f>
        <v>69769.5</v>
      </c>
      <c r="M1897" t="str">
        <f>IF(Table1[[#This Row],[ReorderLevel]]-Table1[[#This Row],[CurrentStock]]&gt;0,Table1[[#This Row],[ReorderLevel]]-Table1[[#This Row],[CurrentStock]],"")</f>
        <v/>
      </c>
      <c r="N1897" t="str">
        <f>IF(Table1[[#This Row],[CurrentStock]]&gt;Table1[[#This Row],[ReorderLevel]]*3,"Over Stock","Okay")</f>
        <v>Over Stock</v>
      </c>
      <c r="O1897" t="str">
        <f>IF(Table1[[#This Row],[CurrentStock]]&lt;Table1[[#This Row],[ReorderLevel]],"Reorder","Okay")</f>
        <v>Okay</v>
      </c>
    </row>
    <row r="1898" spans="1:15" x14ac:dyDescent="0.3">
      <c r="A1898">
        <v>26119</v>
      </c>
      <c r="B1898" t="s">
        <v>26</v>
      </c>
      <c r="C1898" t="s">
        <v>30</v>
      </c>
      <c r="D1898">
        <v>86</v>
      </c>
      <c r="E1898">
        <v>80</v>
      </c>
      <c r="F1898">
        <v>32.64</v>
      </c>
      <c r="G1898" t="s">
        <v>33</v>
      </c>
      <c r="H1898" s="1">
        <v>45436</v>
      </c>
      <c r="I1898" s="1">
        <v>45465</v>
      </c>
      <c r="J1898" t="s">
        <v>39</v>
      </c>
      <c r="K1898" t="b">
        <f>Table1[[#This Row],[CurrentStock]]&lt;Table1[[#This Row],[ReorderLevel]]</f>
        <v>0</v>
      </c>
      <c r="L1898" s="9">
        <f>Table1[[#This Row],[CurrentStock]]*Table1[[#This Row],[UnitPrice]]</f>
        <v>2807.04</v>
      </c>
      <c r="M1898" t="str">
        <f>IF(Table1[[#This Row],[ReorderLevel]]-Table1[[#This Row],[CurrentStock]]&gt;0,Table1[[#This Row],[ReorderLevel]]-Table1[[#This Row],[CurrentStock]],"")</f>
        <v/>
      </c>
      <c r="N1898" t="str">
        <f>IF(Table1[[#This Row],[CurrentStock]]&gt;Table1[[#This Row],[ReorderLevel]]*3,"Over Stock","Okay")</f>
        <v>Okay</v>
      </c>
      <c r="O1898" t="str">
        <f>IF(Table1[[#This Row],[CurrentStock]]&lt;Table1[[#This Row],[ReorderLevel]],"Reorder","Okay")</f>
        <v>Okay</v>
      </c>
    </row>
    <row r="1899" spans="1:15" x14ac:dyDescent="0.3">
      <c r="A1899">
        <v>90880</v>
      </c>
      <c r="B1899" t="s">
        <v>17</v>
      </c>
      <c r="C1899" t="s">
        <v>30</v>
      </c>
      <c r="D1899">
        <v>295</v>
      </c>
      <c r="E1899">
        <v>100</v>
      </c>
      <c r="F1899">
        <v>380.59</v>
      </c>
      <c r="G1899" t="s">
        <v>34</v>
      </c>
      <c r="H1899" s="1">
        <v>45426</v>
      </c>
      <c r="I1899" s="1">
        <v>45443</v>
      </c>
      <c r="J1899" t="s">
        <v>39</v>
      </c>
      <c r="K1899" t="b">
        <f>Table1[[#This Row],[CurrentStock]]&lt;Table1[[#This Row],[ReorderLevel]]</f>
        <v>0</v>
      </c>
      <c r="L1899" s="9">
        <f>Table1[[#This Row],[CurrentStock]]*Table1[[#This Row],[UnitPrice]]</f>
        <v>112274.04999999999</v>
      </c>
      <c r="M1899" t="str">
        <f>IF(Table1[[#This Row],[ReorderLevel]]-Table1[[#This Row],[CurrentStock]]&gt;0,Table1[[#This Row],[ReorderLevel]]-Table1[[#This Row],[CurrentStock]],"")</f>
        <v/>
      </c>
      <c r="N1899" t="str">
        <f>IF(Table1[[#This Row],[CurrentStock]]&gt;Table1[[#This Row],[ReorderLevel]]*3,"Over Stock","Okay")</f>
        <v>Okay</v>
      </c>
      <c r="O1899" t="str">
        <f>IF(Table1[[#This Row],[CurrentStock]]&lt;Table1[[#This Row],[ReorderLevel]],"Reorder","Okay")</f>
        <v>Okay</v>
      </c>
    </row>
    <row r="1900" spans="1:15" x14ac:dyDescent="0.3">
      <c r="A1900">
        <v>25376</v>
      </c>
      <c r="B1900" t="s">
        <v>25</v>
      </c>
      <c r="C1900" t="s">
        <v>31</v>
      </c>
      <c r="D1900">
        <v>139</v>
      </c>
      <c r="E1900">
        <v>20</v>
      </c>
      <c r="F1900">
        <v>440.27</v>
      </c>
      <c r="G1900" t="s">
        <v>34</v>
      </c>
      <c r="H1900" s="1">
        <v>45597</v>
      </c>
      <c r="I1900" s="1">
        <v>45614</v>
      </c>
      <c r="J1900" t="s">
        <v>38</v>
      </c>
      <c r="K1900" t="b">
        <f>Table1[[#This Row],[CurrentStock]]&lt;Table1[[#This Row],[ReorderLevel]]</f>
        <v>0</v>
      </c>
      <c r="L1900" s="9">
        <f>Table1[[#This Row],[CurrentStock]]*Table1[[#This Row],[UnitPrice]]</f>
        <v>61197.53</v>
      </c>
      <c r="M1900" t="str">
        <f>IF(Table1[[#This Row],[ReorderLevel]]-Table1[[#This Row],[CurrentStock]]&gt;0,Table1[[#This Row],[ReorderLevel]]-Table1[[#This Row],[CurrentStock]],"")</f>
        <v/>
      </c>
      <c r="N1900" t="str">
        <f>IF(Table1[[#This Row],[CurrentStock]]&gt;Table1[[#This Row],[ReorderLevel]]*3,"Over Stock","Okay")</f>
        <v>Over Stock</v>
      </c>
      <c r="O1900" t="str">
        <f>IF(Table1[[#This Row],[CurrentStock]]&lt;Table1[[#This Row],[ReorderLevel]],"Reorder","Okay")</f>
        <v>Okay</v>
      </c>
    </row>
    <row r="1901" spans="1:15" x14ac:dyDescent="0.3">
      <c r="A1901">
        <v>69821</v>
      </c>
      <c r="B1901" t="s">
        <v>12</v>
      </c>
      <c r="C1901" t="s">
        <v>28</v>
      </c>
      <c r="D1901">
        <v>290</v>
      </c>
      <c r="E1901">
        <v>40</v>
      </c>
      <c r="F1901">
        <v>111.76</v>
      </c>
      <c r="G1901" t="s">
        <v>35</v>
      </c>
      <c r="H1901" s="1">
        <v>45473</v>
      </c>
      <c r="I1901" s="1">
        <v>45495</v>
      </c>
      <c r="J1901" t="s">
        <v>37</v>
      </c>
      <c r="K1901" t="b">
        <f>Table1[[#This Row],[CurrentStock]]&lt;Table1[[#This Row],[ReorderLevel]]</f>
        <v>0</v>
      </c>
      <c r="L1901" s="9">
        <f>Table1[[#This Row],[CurrentStock]]*Table1[[#This Row],[UnitPrice]]</f>
        <v>32410.400000000001</v>
      </c>
      <c r="M1901" t="str">
        <f>IF(Table1[[#This Row],[ReorderLevel]]-Table1[[#This Row],[CurrentStock]]&gt;0,Table1[[#This Row],[ReorderLevel]]-Table1[[#This Row],[CurrentStock]],"")</f>
        <v/>
      </c>
      <c r="N1901" t="str">
        <f>IF(Table1[[#This Row],[CurrentStock]]&gt;Table1[[#This Row],[ReorderLevel]]*3,"Over Stock","Okay")</f>
        <v>Over Stock</v>
      </c>
      <c r="O1901" t="str">
        <f>IF(Table1[[#This Row],[CurrentStock]]&lt;Table1[[#This Row],[ReorderLevel]],"Reorder","Okay")</f>
        <v>Okay</v>
      </c>
    </row>
    <row r="1902" spans="1:15" x14ac:dyDescent="0.3">
      <c r="A1902">
        <v>14318</v>
      </c>
      <c r="B1902" t="s">
        <v>18</v>
      </c>
      <c r="C1902" t="s">
        <v>28</v>
      </c>
      <c r="D1902">
        <v>410</v>
      </c>
      <c r="E1902">
        <v>20</v>
      </c>
      <c r="F1902">
        <v>379.52</v>
      </c>
      <c r="G1902" t="s">
        <v>34</v>
      </c>
      <c r="H1902" s="1">
        <v>45532</v>
      </c>
      <c r="I1902" s="1">
        <v>45546</v>
      </c>
      <c r="J1902" t="s">
        <v>37</v>
      </c>
      <c r="K1902" t="b">
        <f>Table1[[#This Row],[CurrentStock]]&lt;Table1[[#This Row],[ReorderLevel]]</f>
        <v>0</v>
      </c>
      <c r="L1902" s="9">
        <f>Table1[[#This Row],[CurrentStock]]*Table1[[#This Row],[UnitPrice]]</f>
        <v>155603.19999999998</v>
      </c>
      <c r="M1902" t="str">
        <f>IF(Table1[[#This Row],[ReorderLevel]]-Table1[[#This Row],[CurrentStock]]&gt;0,Table1[[#This Row],[ReorderLevel]]-Table1[[#This Row],[CurrentStock]],"")</f>
        <v/>
      </c>
      <c r="N1902" t="str">
        <f>IF(Table1[[#This Row],[CurrentStock]]&gt;Table1[[#This Row],[ReorderLevel]]*3,"Over Stock","Okay")</f>
        <v>Over Stock</v>
      </c>
      <c r="O1902" t="str">
        <f>IF(Table1[[#This Row],[CurrentStock]]&lt;Table1[[#This Row],[ReorderLevel]],"Reorder","Okay")</f>
        <v>Okay</v>
      </c>
    </row>
    <row r="1903" spans="1:15" x14ac:dyDescent="0.3">
      <c r="A1903">
        <v>38273</v>
      </c>
      <c r="B1903" t="s">
        <v>10</v>
      </c>
      <c r="C1903" t="s">
        <v>27</v>
      </c>
      <c r="D1903">
        <v>321</v>
      </c>
      <c r="E1903">
        <v>150</v>
      </c>
      <c r="F1903">
        <v>438.86</v>
      </c>
      <c r="G1903" t="s">
        <v>33</v>
      </c>
      <c r="H1903" s="1">
        <v>45560</v>
      </c>
      <c r="I1903" s="1">
        <v>45578</v>
      </c>
      <c r="J1903" t="s">
        <v>39</v>
      </c>
      <c r="K1903" t="b">
        <f>Table1[[#This Row],[CurrentStock]]&lt;Table1[[#This Row],[ReorderLevel]]</f>
        <v>0</v>
      </c>
      <c r="L1903" s="9">
        <f>Table1[[#This Row],[CurrentStock]]*Table1[[#This Row],[UnitPrice]]</f>
        <v>140874.06</v>
      </c>
      <c r="M1903" t="str">
        <f>IF(Table1[[#This Row],[ReorderLevel]]-Table1[[#This Row],[CurrentStock]]&gt;0,Table1[[#This Row],[ReorderLevel]]-Table1[[#This Row],[CurrentStock]],"")</f>
        <v/>
      </c>
      <c r="N1903" t="str">
        <f>IF(Table1[[#This Row],[CurrentStock]]&gt;Table1[[#This Row],[ReorderLevel]]*3,"Over Stock","Okay")</f>
        <v>Okay</v>
      </c>
      <c r="O1903" t="str">
        <f>IF(Table1[[#This Row],[CurrentStock]]&lt;Table1[[#This Row],[ReorderLevel]],"Reorder","Okay")</f>
        <v>Okay</v>
      </c>
    </row>
    <row r="1904" spans="1:15" x14ac:dyDescent="0.3">
      <c r="A1904">
        <v>39433</v>
      </c>
      <c r="B1904" t="s">
        <v>20</v>
      </c>
      <c r="C1904" t="s">
        <v>29</v>
      </c>
      <c r="D1904">
        <v>24</v>
      </c>
      <c r="E1904">
        <v>100</v>
      </c>
      <c r="F1904">
        <v>23.13</v>
      </c>
      <c r="G1904" t="s">
        <v>36</v>
      </c>
      <c r="H1904" s="1">
        <v>45559</v>
      </c>
      <c r="I1904" s="1">
        <v>45572</v>
      </c>
      <c r="J1904" t="s">
        <v>37</v>
      </c>
      <c r="K1904" t="b">
        <f>Table1[[#This Row],[CurrentStock]]&lt;Table1[[#This Row],[ReorderLevel]]</f>
        <v>1</v>
      </c>
      <c r="L1904" s="9">
        <f>Table1[[#This Row],[CurrentStock]]*Table1[[#This Row],[UnitPrice]]</f>
        <v>555.12</v>
      </c>
      <c r="M1904">
        <f>IF(Table1[[#This Row],[ReorderLevel]]-Table1[[#This Row],[CurrentStock]]&gt;0,Table1[[#This Row],[ReorderLevel]]-Table1[[#This Row],[CurrentStock]],"")</f>
        <v>76</v>
      </c>
      <c r="N1904" t="str">
        <f>IF(Table1[[#This Row],[CurrentStock]]&gt;Table1[[#This Row],[ReorderLevel]]*3,"Over Stock","Okay")</f>
        <v>Okay</v>
      </c>
      <c r="O1904" t="str">
        <f>IF(Table1[[#This Row],[CurrentStock]]&lt;Table1[[#This Row],[ReorderLevel]],"Reorder","Okay")</f>
        <v>Reorder</v>
      </c>
    </row>
    <row r="1905" spans="1:15" x14ac:dyDescent="0.3">
      <c r="A1905">
        <v>33439</v>
      </c>
      <c r="B1905" t="s">
        <v>15</v>
      </c>
      <c r="C1905" t="s">
        <v>29</v>
      </c>
      <c r="D1905">
        <v>41</v>
      </c>
      <c r="E1905">
        <v>50</v>
      </c>
      <c r="F1905">
        <v>403.85</v>
      </c>
      <c r="G1905" t="s">
        <v>32</v>
      </c>
      <c r="H1905" s="1">
        <v>45358</v>
      </c>
      <c r="I1905" s="1">
        <v>45364</v>
      </c>
      <c r="J1905" t="s">
        <v>39</v>
      </c>
      <c r="K1905" t="b">
        <f>Table1[[#This Row],[CurrentStock]]&lt;Table1[[#This Row],[ReorderLevel]]</f>
        <v>1</v>
      </c>
      <c r="L1905" s="9">
        <f>Table1[[#This Row],[CurrentStock]]*Table1[[#This Row],[UnitPrice]]</f>
        <v>16557.850000000002</v>
      </c>
      <c r="M1905">
        <f>IF(Table1[[#This Row],[ReorderLevel]]-Table1[[#This Row],[CurrentStock]]&gt;0,Table1[[#This Row],[ReorderLevel]]-Table1[[#This Row],[CurrentStock]],"")</f>
        <v>9</v>
      </c>
      <c r="N1905" t="str">
        <f>IF(Table1[[#This Row],[CurrentStock]]&gt;Table1[[#This Row],[ReorderLevel]]*3,"Over Stock","Okay")</f>
        <v>Okay</v>
      </c>
      <c r="O1905" t="str">
        <f>IF(Table1[[#This Row],[CurrentStock]]&lt;Table1[[#This Row],[ReorderLevel]],"Reorder","Okay")</f>
        <v>Reorder</v>
      </c>
    </row>
    <row r="1906" spans="1:15" x14ac:dyDescent="0.3">
      <c r="A1906">
        <v>51887</v>
      </c>
      <c r="B1906" t="s">
        <v>19</v>
      </c>
      <c r="C1906" t="s">
        <v>28</v>
      </c>
      <c r="D1906">
        <v>373</v>
      </c>
      <c r="E1906">
        <v>30</v>
      </c>
      <c r="F1906">
        <v>133.19999999999999</v>
      </c>
      <c r="G1906" t="s">
        <v>34</v>
      </c>
      <c r="H1906" s="1">
        <v>45429</v>
      </c>
      <c r="I1906" s="1">
        <v>45451</v>
      </c>
      <c r="J1906" t="s">
        <v>37</v>
      </c>
      <c r="K1906" t="b">
        <f>Table1[[#This Row],[CurrentStock]]&lt;Table1[[#This Row],[ReorderLevel]]</f>
        <v>0</v>
      </c>
      <c r="L1906" s="9">
        <f>Table1[[#This Row],[CurrentStock]]*Table1[[#This Row],[UnitPrice]]</f>
        <v>49683.6</v>
      </c>
      <c r="M1906" t="str">
        <f>IF(Table1[[#This Row],[ReorderLevel]]-Table1[[#This Row],[CurrentStock]]&gt;0,Table1[[#This Row],[ReorderLevel]]-Table1[[#This Row],[CurrentStock]],"")</f>
        <v/>
      </c>
      <c r="N1906" t="str">
        <f>IF(Table1[[#This Row],[CurrentStock]]&gt;Table1[[#This Row],[ReorderLevel]]*3,"Over Stock","Okay")</f>
        <v>Over Stock</v>
      </c>
      <c r="O1906" t="str">
        <f>IF(Table1[[#This Row],[CurrentStock]]&lt;Table1[[#This Row],[ReorderLevel]],"Reorder","Okay")</f>
        <v>Okay</v>
      </c>
    </row>
    <row r="1907" spans="1:15" x14ac:dyDescent="0.3">
      <c r="A1907">
        <v>66437</v>
      </c>
      <c r="B1907" t="s">
        <v>10</v>
      </c>
      <c r="C1907" t="s">
        <v>27</v>
      </c>
      <c r="D1907">
        <v>143</v>
      </c>
      <c r="E1907">
        <v>50</v>
      </c>
      <c r="F1907">
        <v>109.87</v>
      </c>
      <c r="G1907" t="s">
        <v>34</v>
      </c>
      <c r="H1907" s="1">
        <v>45478</v>
      </c>
      <c r="I1907" s="1">
        <v>45517</v>
      </c>
      <c r="J1907" t="s">
        <v>38</v>
      </c>
      <c r="K1907" t="b">
        <f>Table1[[#This Row],[CurrentStock]]&lt;Table1[[#This Row],[ReorderLevel]]</f>
        <v>0</v>
      </c>
      <c r="L1907" s="9">
        <f>Table1[[#This Row],[CurrentStock]]*Table1[[#This Row],[UnitPrice]]</f>
        <v>15711.41</v>
      </c>
      <c r="M1907" t="str">
        <f>IF(Table1[[#This Row],[ReorderLevel]]-Table1[[#This Row],[CurrentStock]]&gt;0,Table1[[#This Row],[ReorderLevel]]-Table1[[#This Row],[CurrentStock]],"")</f>
        <v/>
      </c>
      <c r="N1907" t="str">
        <f>IF(Table1[[#This Row],[CurrentStock]]&gt;Table1[[#This Row],[ReorderLevel]]*3,"Over Stock","Okay")</f>
        <v>Okay</v>
      </c>
      <c r="O1907" t="str">
        <f>IF(Table1[[#This Row],[CurrentStock]]&lt;Table1[[#This Row],[ReorderLevel]],"Reorder","Okay")</f>
        <v>Okay</v>
      </c>
    </row>
    <row r="1908" spans="1:15" x14ac:dyDescent="0.3">
      <c r="A1908">
        <v>74557</v>
      </c>
      <c r="B1908" t="s">
        <v>14</v>
      </c>
      <c r="C1908" t="s">
        <v>27</v>
      </c>
      <c r="D1908">
        <v>30</v>
      </c>
      <c r="E1908">
        <v>20</v>
      </c>
      <c r="F1908">
        <v>260.89</v>
      </c>
      <c r="G1908" t="s">
        <v>35</v>
      </c>
      <c r="H1908" s="1">
        <v>45460</v>
      </c>
      <c r="I1908" s="1">
        <v>45481</v>
      </c>
      <c r="J1908" t="s">
        <v>37</v>
      </c>
      <c r="K1908" t="b">
        <f>Table1[[#This Row],[CurrentStock]]&lt;Table1[[#This Row],[ReorderLevel]]</f>
        <v>0</v>
      </c>
      <c r="L1908" s="9">
        <f>Table1[[#This Row],[CurrentStock]]*Table1[[#This Row],[UnitPrice]]</f>
        <v>7826.7</v>
      </c>
      <c r="M1908" t="str">
        <f>IF(Table1[[#This Row],[ReorderLevel]]-Table1[[#This Row],[CurrentStock]]&gt;0,Table1[[#This Row],[ReorderLevel]]-Table1[[#This Row],[CurrentStock]],"")</f>
        <v/>
      </c>
      <c r="N1908" t="str">
        <f>IF(Table1[[#This Row],[CurrentStock]]&gt;Table1[[#This Row],[ReorderLevel]]*3,"Over Stock","Okay")</f>
        <v>Okay</v>
      </c>
      <c r="O1908" t="str">
        <f>IF(Table1[[#This Row],[CurrentStock]]&lt;Table1[[#This Row],[ReorderLevel]],"Reorder","Okay")</f>
        <v>Okay</v>
      </c>
    </row>
    <row r="1909" spans="1:15" x14ac:dyDescent="0.3">
      <c r="A1909">
        <v>91122</v>
      </c>
      <c r="B1909" t="s">
        <v>25</v>
      </c>
      <c r="C1909" t="s">
        <v>31</v>
      </c>
      <c r="D1909">
        <v>367</v>
      </c>
      <c r="E1909">
        <v>40</v>
      </c>
      <c r="F1909">
        <v>416.61</v>
      </c>
      <c r="G1909" t="s">
        <v>35</v>
      </c>
      <c r="H1909" s="1">
        <v>45379</v>
      </c>
      <c r="I1909" s="1">
        <v>45386</v>
      </c>
      <c r="J1909" t="s">
        <v>39</v>
      </c>
      <c r="K1909" t="b">
        <f>Table1[[#This Row],[CurrentStock]]&lt;Table1[[#This Row],[ReorderLevel]]</f>
        <v>0</v>
      </c>
      <c r="L1909" s="9">
        <f>Table1[[#This Row],[CurrentStock]]*Table1[[#This Row],[UnitPrice]]</f>
        <v>152895.87</v>
      </c>
      <c r="M1909" t="str">
        <f>IF(Table1[[#This Row],[ReorderLevel]]-Table1[[#This Row],[CurrentStock]]&gt;0,Table1[[#This Row],[ReorderLevel]]-Table1[[#This Row],[CurrentStock]],"")</f>
        <v/>
      </c>
      <c r="N1909" t="str">
        <f>IF(Table1[[#This Row],[CurrentStock]]&gt;Table1[[#This Row],[ReorderLevel]]*3,"Over Stock","Okay")</f>
        <v>Over Stock</v>
      </c>
      <c r="O1909" t="str">
        <f>IF(Table1[[#This Row],[CurrentStock]]&lt;Table1[[#This Row],[ReorderLevel]],"Reorder","Okay")</f>
        <v>Okay</v>
      </c>
    </row>
    <row r="1910" spans="1:15" x14ac:dyDescent="0.3">
      <c r="A1910">
        <v>69556</v>
      </c>
      <c r="B1910" t="s">
        <v>13</v>
      </c>
      <c r="C1910" t="s">
        <v>29</v>
      </c>
      <c r="D1910">
        <v>383</v>
      </c>
      <c r="E1910">
        <v>80</v>
      </c>
      <c r="F1910">
        <v>351</v>
      </c>
      <c r="G1910" t="s">
        <v>32</v>
      </c>
      <c r="H1910" s="1">
        <v>45403</v>
      </c>
      <c r="I1910" s="1">
        <v>45414</v>
      </c>
      <c r="J1910" t="s">
        <v>39</v>
      </c>
      <c r="K1910" t="b">
        <f>Table1[[#This Row],[CurrentStock]]&lt;Table1[[#This Row],[ReorderLevel]]</f>
        <v>0</v>
      </c>
      <c r="L1910" s="9">
        <f>Table1[[#This Row],[CurrentStock]]*Table1[[#This Row],[UnitPrice]]</f>
        <v>134433</v>
      </c>
      <c r="M1910" t="str">
        <f>IF(Table1[[#This Row],[ReorderLevel]]-Table1[[#This Row],[CurrentStock]]&gt;0,Table1[[#This Row],[ReorderLevel]]-Table1[[#This Row],[CurrentStock]],"")</f>
        <v/>
      </c>
      <c r="N1910" t="str">
        <f>IF(Table1[[#This Row],[CurrentStock]]&gt;Table1[[#This Row],[ReorderLevel]]*3,"Over Stock","Okay")</f>
        <v>Over Stock</v>
      </c>
      <c r="O1910" t="str">
        <f>IF(Table1[[#This Row],[CurrentStock]]&lt;Table1[[#This Row],[ReorderLevel]],"Reorder","Okay")</f>
        <v>Okay</v>
      </c>
    </row>
    <row r="1911" spans="1:15" x14ac:dyDescent="0.3">
      <c r="A1911">
        <v>17139</v>
      </c>
      <c r="B1911" t="s">
        <v>18</v>
      </c>
      <c r="C1911" t="s">
        <v>28</v>
      </c>
      <c r="D1911">
        <v>310</v>
      </c>
      <c r="E1911">
        <v>40</v>
      </c>
      <c r="F1911">
        <v>84.35</v>
      </c>
      <c r="G1911" t="s">
        <v>32</v>
      </c>
      <c r="H1911" s="1">
        <v>45580</v>
      </c>
      <c r="I1911" s="1">
        <v>45619</v>
      </c>
      <c r="J1911" t="s">
        <v>38</v>
      </c>
      <c r="K1911" t="b">
        <f>Table1[[#This Row],[CurrentStock]]&lt;Table1[[#This Row],[ReorderLevel]]</f>
        <v>0</v>
      </c>
      <c r="L1911" s="9">
        <f>Table1[[#This Row],[CurrentStock]]*Table1[[#This Row],[UnitPrice]]</f>
        <v>26148.5</v>
      </c>
      <c r="M1911" t="str">
        <f>IF(Table1[[#This Row],[ReorderLevel]]-Table1[[#This Row],[CurrentStock]]&gt;0,Table1[[#This Row],[ReorderLevel]]-Table1[[#This Row],[CurrentStock]],"")</f>
        <v/>
      </c>
      <c r="N1911" t="str">
        <f>IF(Table1[[#This Row],[CurrentStock]]&gt;Table1[[#This Row],[ReorderLevel]]*3,"Over Stock","Okay")</f>
        <v>Over Stock</v>
      </c>
      <c r="O1911" t="str">
        <f>IF(Table1[[#This Row],[CurrentStock]]&lt;Table1[[#This Row],[ReorderLevel]],"Reorder","Okay")</f>
        <v>Okay</v>
      </c>
    </row>
    <row r="1912" spans="1:15" x14ac:dyDescent="0.3">
      <c r="A1912">
        <v>64020</v>
      </c>
      <c r="B1912" t="s">
        <v>20</v>
      </c>
      <c r="C1912" t="s">
        <v>29</v>
      </c>
      <c r="D1912">
        <v>190</v>
      </c>
      <c r="E1912">
        <v>80</v>
      </c>
      <c r="F1912">
        <v>156.37</v>
      </c>
      <c r="G1912" t="s">
        <v>33</v>
      </c>
      <c r="H1912" s="1">
        <v>45411</v>
      </c>
      <c r="I1912" s="1">
        <v>45428</v>
      </c>
      <c r="J1912" t="s">
        <v>39</v>
      </c>
      <c r="K1912" t="b">
        <f>Table1[[#This Row],[CurrentStock]]&lt;Table1[[#This Row],[ReorderLevel]]</f>
        <v>0</v>
      </c>
      <c r="L1912" s="9">
        <f>Table1[[#This Row],[CurrentStock]]*Table1[[#This Row],[UnitPrice]]</f>
        <v>29710.3</v>
      </c>
      <c r="M1912" t="str">
        <f>IF(Table1[[#This Row],[ReorderLevel]]-Table1[[#This Row],[CurrentStock]]&gt;0,Table1[[#This Row],[ReorderLevel]]-Table1[[#This Row],[CurrentStock]],"")</f>
        <v/>
      </c>
      <c r="N1912" t="str">
        <f>IF(Table1[[#This Row],[CurrentStock]]&gt;Table1[[#This Row],[ReorderLevel]]*3,"Over Stock","Okay")</f>
        <v>Okay</v>
      </c>
      <c r="O1912" t="str">
        <f>IF(Table1[[#This Row],[CurrentStock]]&lt;Table1[[#This Row],[ReorderLevel]],"Reorder","Okay")</f>
        <v>Okay</v>
      </c>
    </row>
    <row r="1913" spans="1:15" x14ac:dyDescent="0.3">
      <c r="A1913">
        <v>54789</v>
      </c>
      <c r="B1913" t="s">
        <v>13</v>
      </c>
      <c r="C1913" t="s">
        <v>29</v>
      </c>
      <c r="D1913">
        <v>204</v>
      </c>
      <c r="E1913">
        <v>100</v>
      </c>
      <c r="F1913">
        <v>286.74</v>
      </c>
      <c r="G1913" t="s">
        <v>32</v>
      </c>
      <c r="H1913" s="1">
        <v>45496</v>
      </c>
      <c r="I1913" s="1">
        <v>45501</v>
      </c>
      <c r="J1913" t="s">
        <v>37</v>
      </c>
      <c r="K1913" t="b">
        <f>Table1[[#This Row],[CurrentStock]]&lt;Table1[[#This Row],[ReorderLevel]]</f>
        <v>0</v>
      </c>
      <c r="L1913" s="9">
        <f>Table1[[#This Row],[CurrentStock]]*Table1[[#This Row],[UnitPrice]]</f>
        <v>58494.96</v>
      </c>
      <c r="M1913" t="str">
        <f>IF(Table1[[#This Row],[ReorderLevel]]-Table1[[#This Row],[CurrentStock]]&gt;0,Table1[[#This Row],[ReorderLevel]]-Table1[[#This Row],[CurrentStock]],"")</f>
        <v/>
      </c>
      <c r="N1913" t="str">
        <f>IF(Table1[[#This Row],[CurrentStock]]&gt;Table1[[#This Row],[ReorderLevel]]*3,"Over Stock","Okay")</f>
        <v>Okay</v>
      </c>
      <c r="O1913" t="str">
        <f>IF(Table1[[#This Row],[CurrentStock]]&lt;Table1[[#This Row],[ReorderLevel]],"Reorder","Okay")</f>
        <v>Okay</v>
      </c>
    </row>
    <row r="1914" spans="1:15" x14ac:dyDescent="0.3">
      <c r="A1914">
        <v>93938</v>
      </c>
      <c r="B1914" t="s">
        <v>17</v>
      </c>
      <c r="C1914" t="s">
        <v>30</v>
      </c>
      <c r="D1914">
        <v>0</v>
      </c>
      <c r="E1914">
        <v>40</v>
      </c>
      <c r="F1914">
        <v>176.26</v>
      </c>
      <c r="G1914" t="s">
        <v>34</v>
      </c>
      <c r="H1914" s="1">
        <v>45419</v>
      </c>
      <c r="I1914" s="1">
        <v>45445</v>
      </c>
      <c r="J1914" t="s">
        <v>38</v>
      </c>
      <c r="K1914" t="b">
        <f>Table1[[#This Row],[CurrentStock]]&lt;Table1[[#This Row],[ReorderLevel]]</f>
        <v>1</v>
      </c>
      <c r="L1914" s="9">
        <f>Table1[[#This Row],[CurrentStock]]*Table1[[#This Row],[UnitPrice]]</f>
        <v>0</v>
      </c>
      <c r="M1914">
        <f>IF(Table1[[#This Row],[ReorderLevel]]-Table1[[#This Row],[CurrentStock]]&gt;0,Table1[[#This Row],[ReorderLevel]]-Table1[[#This Row],[CurrentStock]],"")</f>
        <v>40</v>
      </c>
      <c r="N1914" t="str">
        <f>IF(Table1[[#This Row],[CurrentStock]]&gt;Table1[[#This Row],[ReorderLevel]]*3,"Over Stock","Okay")</f>
        <v>Okay</v>
      </c>
      <c r="O1914" t="str">
        <f>IF(Table1[[#This Row],[CurrentStock]]&lt;Table1[[#This Row],[ReorderLevel]],"Reorder","Okay")</f>
        <v>Reorder</v>
      </c>
    </row>
    <row r="1915" spans="1:15" x14ac:dyDescent="0.3">
      <c r="A1915">
        <v>80053</v>
      </c>
      <c r="B1915" t="s">
        <v>14</v>
      </c>
      <c r="C1915" t="s">
        <v>27</v>
      </c>
      <c r="D1915">
        <v>155</v>
      </c>
      <c r="E1915">
        <v>150</v>
      </c>
      <c r="F1915">
        <v>56.23</v>
      </c>
      <c r="G1915" t="s">
        <v>35</v>
      </c>
      <c r="H1915" s="1">
        <v>45296</v>
      </c>
      <c r="I1915" s="1">
        <v>45317</v>
      </c>
      <c r="J1915" t="s">
        <v>39</v>
      </c>
      <c r="K1915" t="b">
        <f>Table1[[#This Row],[CurrentStock]]&lt;Table1[[#This Row],[ReorderLevel]]</f>
        <v>0</v>
      </c>
      <c r="L1915" s="9">
        <f>Table1[[#This Row],[CurrentStock]]*Table1[[#This Row],[UnitPrice]]</f>
        <v>8715.65</v>
      </c>
      <c r="M1915" t="str">
        <f>IF(Table1[[#This Row],[ReorderLevel]]-Table1[[#This Row],[CurrentStock]]&gt;0,Table1[[#This Row],[ReorderLevel]]-Table1[[#This Row],[CurrentStock]],"")</f>
        <v/>
      </c>
      <c r="N1915" t="str">
        <f>IF(Table1[[#This Row],[CurrentStock]]&gt;Table1[[#This Row],[ReorderLevel]]*3,"Over Stock","Okay")</f>
        <v>Okay</v>
      </c>
      <c r="O1915" t="str">
        <f>IF(Table1[[#This Row],[CurrentStock]]&lt;Table1[[#This Row],[ReorderLevel]],"Reorder","Okay")</f>
        <v>Okay</v>
      </c>
    </row>
    <row r="1916" spans="1:15" x14ac:dyDescent="0.3">
      <c r="A1916">
        <v>87219</v>
      </c>
      <c r="B1916" t="s">
        <v>14</v>
      </c>
      <c r="C1916" t="s">
        <v>27</v>
      </c>
      <c r="D1916">
        <v>269</v>
      </c>
      <c r="E1916">
        <v>30</v>
      </c>
      <c r="F1916">
        <v>130.22</v>
      </c>
      <c r="G1916" t="s">
        <v>33</v>
      </c>
      <c r="H1916" s="1">
        <v>45638</v>
      </c>
      <c r="I1916" s="1">
        <v>45667</v>
      </c>
      <c r="J1916" t="s">
        <v>37</v>
      </c>
      <c r="K1916" t="b">
        <f>Table1[[#This Row],[CurrentStock]]&lt;Table1[[#This Row],[ReorderLevel]]</f>
        <v>0</v>
      </c>
      <c r="L1916" s="9">
        <f>Table1[[#This Row],[CurrentStock]]*Table1[[#This Row],[UnitPrice]]</f>
        <v>35029.18</v>
      </c>
      <c r="M1916" t="str">
        <f>IF(Table1[[#This Row],[ReorderLevel]]-Table1[[#This Row],[CurrentStock]]&gt;0,Table1[[#This Row],[ReorderLevel]]-Table1[[#This Row],[CurrentStock]],"")</f>
        <v/>
      </c>
      <c r="N1916" t="str">
        <f>IF(Table1[[#This Row],[CurrentStock]]&gt;Table1[[#This Row],[ReorderLevel]]*3,"Over Stock","Okay")</f>
        <v>Over Stock</v>
      </c>
      <c r="O1916" t="str">
        <f>IF(Table1[[#This Row],[CurrentStock]]&lt;Table1[[#This Row],[ReorderLevel]],"Reorder","Okay")</f>
        <v>Okay</v>
      </c>
    </row>
    <row r="1917" spans="1:15" x14ac:dyDescent="0.3">
      <c r="A1917">
        <v>91457</v>
      </c>
      <c r="B1917" t="s">
        <v>13</v>
      </c>
      <c r="C1917" t="s">
        <v>29</v>
      </c>
      <c r="D1917">
        <v>394</v>
      </c>
      <c r="E1917">
        <v>30</v>
      </c>
      <c r="F1917">
        <v>481.74</v>
      </c>
      <c r="G1917" t="s">
        <v>36</v>
      </c>
      <c r="H1917" s="1">
        <v>45338</v>
      </c>
      <c r="I1917" s="1">
        <v>45371</v>
      </c>
      <c r="J1917" t="s">
        <v>37</v>
      </c>
      <c r="K1917" t="b">
        <f>Table1[[#This Row],[CurrentStock]]&lt;Table1[[#This Row],[ReorderLevel]]</f>
        <v>0</v>
      </c>
      <c r="L1917" s="9">
        <f>Table1[[#This Row],[CurrentStock]]*Table1[[#This Row],[UnitPrice]]</f>
        <v>189805.56</v>
      </c>
      <c r="M1917" t="str">
        <f>IF(Table1[[#This Row],[ReorderLevel]]-Table1[[#This Row],[CurrentStock]]&gt;0,Table1[[#This Row],[ReorderLevel]]-Table1[[#This Row],[CurrentStock]],"")</f>
        <v/>
      </c>
      <c r="N1917" t="str">
        <f>IF(Table1[[#This Row],[CurrentStock]]&gt;Table1[[#This Row],[ReorderLevel]]*3,"Over Stock","Okay")</f>
        <v>Over Stock</v>
      </c>
      <c r="O1917" t="str">
        <f>IF(Table1[[#This Row],[CurrentStock]]&lt;Table1[[#This Row],[ReorderLevel]],"Reorder","Okay")</f>
        <v>Okay</v>
      </c>
    </row>
    <row r="1918" spans="1:15" x14ac:dyDescent="0.3">
      <c r="A1918">
        <v>98487</v>
      </c>
      <c r="B1918" t="s">
        <v>17</v>
      </c>
      <c r="C1918" t="s">
        <v>30</v>
      </c>
      <c r="D1918">
        <v>89</v>
      </c>
      <c r="E1918">
        <v>40</v>
      </c>
      <c r="F1918">
        <v>461.31</v>
      </c>
      <c r="G1918" t="s">
        <v>33</v>
      </c>
      <c r="H1918" s="1">
        <v>45547</v>
      </c>
      <c r="I1918" s="1">
        <v>45570</v>
      </c>
      <c r="J1918" t="s">
        <v>38</v>
      </c>
      <c r="K1918" t="b">
        <f>Table1[[#This Row],[CurrentStock]]&lt;Table1[[#This Row],[ReorderLevel]]</f>
        <v>0</v>
      </c>
      <c r="L1918" s="9">
        <f>Table1[[#This Row],[CurrentStock]]*Table1[[#This Row],[UnitPrice]]</f>
        <v>41056.590000000004</v>
      </c>
      <c r="M1918" t="str">
        <f>IF(Table1[[#This Row],[ReorderLevel]]-Table1[[#This Row],[CurrentStock]]&gt;0,Table1[[#This Row],[ReorderLevel]]-Table1[[#This Row],[CurrentStock]],"")</f>
        <v/>
      </c>
      <c r="N1918" t="str">
        <f>IF(Table1[[#This Row],[CurrentStock]]&gt;Table1[[#This Row],[ReorderLevel]]*3,"Over Stock","Okay")</f>
        <v>Okay</v>
      </c>
      <c r="O1918" t="str">
        <f>IF(Table1[[#This Row],[CurrentStock]]&lt;Table1[[#This Row],[ReorderLevel]],"Reorder","Okay")</f>
        <v>Okay</v>
      </c>
    </row>
    <row r="1919" spans="1:15" x14ac:dyDescent="0.3">
      <c r="A1919">
        <v>21240</v>
      </c>
      <c r="B1919" t="s">
        <v>12</v>
      </c>
      <c r="C1919" t="s">
        <v>28</v>
      </c>
      <c r="D1919">
        <v>90</v>
      </c>
      <c r="E1919">
        <v>100</v>
      </c>
      <c r="F1919">
        <v>103.06</v>
      </c>
      <c r="G1919" t="s">
        <v>36</v>
      </c>
      <c r="H1919" s="1">
        <v>45547</v>
      </c>
      <c r="I1919" s="1">
        <v>45586</v>
      </c>
      <c r="J1919" t="s">
        <v>39</v>
      </c>
      <c r="K1919" t="b">
        <f>Table1[[#This Row],[CurrentStock]]&lt;Table1[[#This Row],[ReorderLevel]]</f>
        <v>1</v>
      </c>
      <c r="L1919" s="9">
        <f>Table1[[#This Row],[CurrentStock]]*Table1[[#This Row],[UnitPrice]]</f>
        <v>9275.4</v>
      </c>
      <c r="M1919">
        <f>IF(Table1[[#This Row],[ReorderLevel]]-Table1[[#This Row],[CurrentStock]]&gt;0,Table1[[#This Row],[ReorderLevel]]-Table1[[#This Row],[CurrentStock]],"")</f>
        <v>10</v>
      </c>
      <c r="N1919" t="str">
        <f>IF(Table1[[#This Row],[CurrentStock]]&gt;Table1[[#This Row],[ReorderLevel]]*3,"Over Stock","Okay")</f>
        <v>Okay</v>
      </c>
      <c r="O1919" t="str">
        <f>IF(Table1[[#This Row],[CurrentStock]]&lt;Table1[[#This Row],[ReorderLevel]],"Reorder","Okay")</f>
        <v>Reorder</v>
      </c>
    </row>
    <row r="1920" spans="1:15" x14ac:dyDescent="0.3">
      <c r="A1920">
        <v>96677</v>
      </c>
      <c r="B1920" t="s">
        <v>10</v>
      </c>
      <c r="C1920" t="s">
        <v>27</v>
      </c>
      <c r="D1920">
        <v>125</v>
      </c>
      <c r="E1920">
        <v>80</v>
      </c>
      <c r="F1920">
        <v>463.04</v>
      </c>
      <c r="G1920" t="s">
        <v>32</v>
      </c>
      <c r="H1920" s="1">
        <v>45403</v>
      </c>
      <c r="I1920" s="1">
        <v>45438</v>
      </c>
      <c r="J1920" t="s">
        <v>39</v>
      </c>
      <c r="K1920" t="b">
        <f>Table1[[#This Row],[CurrentStock]]&lt;Table1[[#This Row],[ReorderLevel]]</f>
        <v>0</v>
      </c>
      <c r="L1920" s="9">
        <f>Table1[[#This Row],[CurrentStock]]*Table1[[#This Row],[UnitPrice]]</f>
        <v>57880</v>
      </c>
      <c r="M1920" t="str">
        <f>IF(Table1[[#This Row],[ReorderLevel]]-Table1[[#This Row],[CurrentStock]]&gt;0,Table1[[#This Row],[ReorderLevel]]-Table1[[#This Row],[CurrentStock]],"")</f>
        <v/>
      </c>
      <c r="N1920" t="str">
        <f>IF(Table1[[#This Row],[CurrentStock]]&gt;Table1[[#This Row],[ReorderLevel]]*3,"Over Stock","Okay")</f>
        <v>Okay</v>
      </c>
      <c r="O1920" t="str">
        <f>IF(Table1[[#This Row],[CurrentStock]]&lt;Table1[[#This Row],[ReorderLevel]],"Reorder","Okay")</f>
        <v>Okay</v>
      </c>
    </row>
    <row r="1921" spans="1:15" x14ac:dyDescent="0.3">
      <c r="A1921">
        <v>51252</v>
      </c>
      <c r="B1921" t="s">
        <v>19</v>
      </c>
      <c r="C1921" t="s">
        <v>28</v>
      </c>
      <c r="D1921">
        <v>369</v>
      </c>
      <c r="E1921">
        <v>80</v>
      </c>
      <c r="F1921">
        <v>281.18</v>
      </c>
      <c r="G1921" t="s">
        <v>34</v>
      </c>
      <c r="H1921" s="1">
        <v>45595</v>
      </c>
      <c r="I1921" s="1">
        <v>45630</v>
      </c>
      <c r="J1921" t="s">
        <v>38</v>
      </c>
      <c r="K1921" t="b">
        <f>Table1[[#This Row],[CurrentStock]]&lt;Table1[[#This Row],[ReorderLevel]]</f>
        <v>0</v>
      </c>
      <c r="L1921" s="9">
        <f>Table1[[#This Row],[CurrentStock]]*Table1[[#This Row],[UnitPrice]]</f>
        <v>103755.42</v>
      </c>
      <c r="M1921" t="str">
        <f>IF(Table1[[#This Row],[ReorderLevel]]-Table1[[#This Row],[CurrentStock]]&gt;0,Table1[[#This Row],[ReorderLevel]]-Table1[[#This Row],[CurrentStock]],"")</f>
        <v/>
      </c>
      <c r="N1921" t="str">
        <f>IF(Table1[[#This Row],[CurrentStock]]&gt;Table1[[#This Row],[ReorderLevel]]*3,"Over Stock","Okay")</f>
        <v>Over Stock</v>
      </c>
      <c r="O1921" t="str">
        <f>IF(Table1[[#This Row],[CurrentStock]]&lt;Table1[[#This Row],[ReorderLevel]],"Reorder","Okay")</f>
        <v>Okay</v>
      </c>
    </row>
    <row r="1922" spans="1:15" x14ac:dyDescent="0.3">
      <c r="A1922">
        <v>35407</v>
      </c>
      <c r="B1922" t="s">
        <v>25</v>
      </c>
      <c r="C1922" t="s">
        <v>31</v>
      </c>
      <c r="D1922">
        <v>271</v>
      </c>
      <c r="E1922">
        <v>20</v>
      </c>
      <c r="F1922">
        <v>39.75</v>
      </c>
      <c r="G1922" t="s">
        <v>35</v>
      </c>
      <c r="H1922" s="1">
        <v>45585</v>
      </c>
      <c r="I1922" s="1">
        <v>45623</v>
      </c>
      <c r="J1922" t="s">
        <v>37</v>
      </c>
      <c r="K1922" t="b">
        <f>Table1[[#This Row],[CurrentStock]]&lt;Table1[[#This Row],[ReorderLevel]]</f>
        <v>0</v>
      </c>
      <c r="L1922" s="9">
        <f>Table1[[#This Row],[CurrentStock]]*Table1[[#This Row],[UnitPrice]]</f>
        <v>10772.25</v>
      </c>
      <c r="M1922" t="str">
        <f>IF(Table1[[#This Row],[ReorderLevel]]-Table1[[#This Row],[CurrentStock]]&gt;0,Table1[[#This Row],[ReorderLevel]]-Table1[[#This Row],[CurrentStock]],"")</f>
        <v/>
      </c>
      <c r="N1922" t="str">
        <f>IF(Table1[[#This Row],[CurrentStock]]&gt;Table1[[#This Row],[ReorderLevel]]*3,"Over Stock","Okay")</f>
        <v>Over Stock</v>
      </c>
      <c r="O1922" t="str">
        <f>IF(Table1[[#This Row],[CurrentStock]]&lt;Table1[[#This Row],[ReorderLevel]],"Reorder","Okay")</f>
        <v>Okay</v>
      </c>
    </row>
    <row r="1923" spans="1:15" x14ac:dyDescent="0.3">
      <c r="A1923">
        <v>50733</v>
      </c>
      <c r="B1923" t="s">
        <v>24</v>
      </c>
      <c r="C1923" t="s">
        <v>31</v>
      </c>
      <c r="D1923">
        <v>58</v>
      </c>
      <c r="E1923">
        <v>80</v>
      </c>
      <c r="F1923">
        <v>143.02000000000001</v>
      </c>
      <c r="G1923" t="s">
        <v>36</v>
      </c>
      <c r="H1923" s="1">
        <v>45292</v>
      </c>
      <c r="I1923" s="1">
        <v>45309</v>
      </c>
      <c r="J1923" t="s">
        <v>39</v>
      </c>
      <c r="K1923" t="b">
        <f>Table1[[#This Row],[CurrentStock]]&lt;Table1[[#This Row],[ReorderLevel]]</f>
        <v>1</v>
      </c>
      <c r="L1923" s="9">
        <f>Table1[[#This Row],[CurrentStock]]*Table1[[#This Row],[UnitPrice]]</f>
        <v>8295.16</v>
      </c>
      <c r="M1923">
        <f>IF(Table1[[#This Row],[ReorderLevel]]-Table1[[#This Row],[CurrentStock]]&gt;0,Table1[[#This Row],[ReorderLevel]]-Table1[[#This Row],[CurrentStock]],"")</f>
        <v>22</v>
      </c>
      <c r="N1923" t="str">
        <f>IF(Table1[[#This Row],[CurrentStock]]&gt;Table1[[#This Row],[ReorderLevel]]*3,"Over Stock","Okay")</f>
        <v>Okay</v>
      </c>
      <c r="O1923" t="str">
        <f>IF(Table1[[#This Row],[CurrentStock]]&lt;Table1[[#This Row],[ReorderLevel]],"Reorder","Okay")</f>
        <v>Reorder</v>
      </c>
    </row>
    <row r="1924" spans="1:15" x14ac:dyDescent="0.3">
      <c r="A1924">
        <v>12866</v>
      </c>
      <c r="B1924" t="s">
        <v>17</v>
      </c>
      <c r="C1924" t="s">
        <v>30</v>
      </c>
      <c r="D1924">
        <v>70</v>
      </c>
      <c r="E1924">
        <v>30</v>
      </c>
      <c r="F1924">
        <v>268.54000000000002</v>
      </c>
      <c r="G1924" t="s">
        <v>32</v>
      </c>
      <c r="H1924" s="1">
        <v>45371</v>
      </c>
      <c r="I1924" s="1">
        <v>45406</v>
      </c>
      <c r="J1924" t="s">
        <v>37</v>
      </c>
      <c r="K1924" t="b">
        <f>Table1[[#This Row],[CurrentStock]]&lt;Table1[[#This Row],[ReorderLevel]]</f>
        <v>0</v>
      </c>
      <c r="L1924" s="9">
        <f>Table1[[#This Row],[CurrentStock]]*Table1[[#This Row],[UnitPrice]]</f>
        <v>18797.800000000003</v>
      </c>
      <c r="M1924" t="str">
        <f>IF(Table1[[#This Row],[ReorderLevel]]-Table1[[#This Row],[CurrentStock]]&gt;0,Table1[[#This Row],[ReorderLevel]]-Table1[[#This Row],[CurrentStock]],"")</f>
        <v/>
      </c>
      <c r="N1924" t="str">
        <f>IF(Table1[[#This Row],[CurrentStock]]&gt;Table1[[#This Row],[ReorderLevel]]*3,"Over Stock","Okay")</f>
        <v>Okay</v>
      </c>
      <c r="O1924" t="str">
        <f>IF(Table1[[#This Row],[CurrentStock]]&lt;Table1[[#This Row],[ReorderLevel]],"Reorder","Okay")</f>
        <v>Okay</v>
      </c>
    </row>
    <row r="1925" spans="1:15" x14ac:dyDescent="0.3">
      <c r="A1925">
        <v>63544</v>
      </c>
      <c r="B1925" t="s">
        <v>16</v>
      </c>
      <c r="C1925" t="s">
        <v>30</v>
      </c>
      <c r="D1925">
        <v>220</v>
      </c>
      <c r="E1925">
        <v>20</v>
      </c>
      <c r="F1925">
        <v>459</v>
      </c>
      <c r="G1925" t="s">
        <v>36</v>
      </c>
      <c r="H1925" s="1">
        <v>45566</v>
      </c>
      <c r="I1925" s="1">
        <v>45591</v>
      </c>
      <c r="J1925" t="s">
        <v>37</v>
      </c>
      <c r="K1925" t="b">
        <f>Table1[[#This Row],[CurrentStock]]&lt;Table1[[#This Row],[ReorderLevel]]</f>
        <v>0</v>
      </c>
      <c r="L1925" s="9">
        <f>Table1[[#This Row],[CurrentStock]]*Table1[[#This Row],[UnitPrice]]</f>
        <v>100980</v>
      </c>
      <c r="M1925" t="str">
        <f>IF(Table1[[#This Row],[ReorderLevel]]-Table1[[#This Row],[CurrentStock]]&gt;0,Table1[[#This Row],[ReorderLevel]]-Table1[[#This Row],[CurrentStock]],"")</f>
        <v/>
      </c>
      <c r="N1925" t="str">
        <f>IF(Table1[[#This Row],[CurrentStock]]&gt;Table1[[#This Row],[ReorderLevel]]*3,"Over Stock","Okay")</f>
        <v>Over Stock</v>
      </c>
      <c r="O1925" t="str">
        <f>IF(Table1[[#This Row],[CurrentStock]]&lt;Table1[[#This Row],[ReorderLevel]],"Reorder","Okay")</f>
        <v>Okay</v>
      </c>
    </row>
    <row r="1926" spans="1:15" x14ac:dyDescent="0.3">
      <c r="A1926">
        <v>52912</v>
      </c>
      <c r="B1926" t="s">
        <v>25</v>
      </c>
      <c r="C1926" t="s">
        <v>31</v>
      </c>
      <c r="D1926">
        <v>458</v>
      </c>
      <c r="E1926">
        <v>20</v>
      </c>
      <c r="F1926">
        <v>392.82</v>
      </c>
      <c r="G1926" t="s">
        <v>33</v>
      </c>
      <c r="H1926" s="1">
        <v>45381</v>
      </c>
      <c r="I1926" s="1">
        <v>45397</v>
      </c>
      <c r="J1926" t="s">
        <v>38</v>
      </c>
      <c r="K1926" t="b">
        <f>Table1[[#This Row],[CurrentStock]]&lt;Table1[[#This Row],[ReorderLevel]]</f>
        <v>0</v>
      </c>
      <c r="L1926" s="9">
        <f>Table1[[#This Row],[CurrentStock]]*Table1[[#This Row],[UnitPrice]]</f>
        <v>179911.56</v>
      </c>
      <c r="M1926" t="str">
        <f>IF(Table1[[#This Row],[ReorderLevel]]-Table1[[#This Row],[CurrentStock]]&gt;0,Table1[[#This Row],[ReorderLevel]]-Table1[[#This Row],[CurrentStock]],"")</f>
        <v/>
      </c>
      <c r="N1926" t="str">
        <f>IF(Table1[[#This Row],[CurrentStock]]&gt;Table1[[#This Row],[ReorderLevel]]*3,"Over Stock","Okay")</f>
        <v>Over Stock</v>
      </c>
      <c r="O1926" t="str">
        <f>IF(Table1[[#This Row],[CurrentStock]]&lt;Table1[[#This Row],[ReorderLevel]],"Reorder","Okay")</f>
        <v>Okay</v>
      </c>
    </row>
    <row r="1927" spans="1:15" x14ac:dyDescent="0.3">
      <c r="A1927">
        <v>47242</v>
      </c>
      <c r="B1927" t="s">
        <v>15</v>
      </c>
      <c r="C1927" t="s">
        <v>29</v>
      </c>
      <c r="D1927">
        <v>90</v>
      </c>
      <c r="E1927">
        <v>80</v>
      </c>
      <c r="F1927">
        <v>262.60000000000002</v>
      </c>
      <c r="G1927" t="s">
        <v>33</v>
      </c>
      <c r="H1927" s="1">
        <v>45511</v>
      </c>
      <c r="I1927" s="1">
        <v>45550</v>
      </c>
      <c r="J1927" t="s">
        <v>38</v>
      </c>
      <c r="K1927" t="b">
        <f>Table1[[#This Row],[CurrentStock]]&lt;Table1[[#This Row],[ReorderLevel]]</f>
        <v>0</v>
      </c>
      <c r="L1927" s="9">
        <f>Table1[[#This Row],[CurrentStock]]*Table1[[#This Row],[UnitPrice]]</f>
        <v>23634.000000000004</v>
      </c>
      <c r="M1927" t="str">
        <f>IF(Table1[[#This Row],[ReorderLevel]]-Table1[[#This Row],[CurrentStock]]&gt;0,Table1[[#This Row],[ReorderLevel]]-Table1[[#This Row],[CurrentStock]],"")</f>
        <v/>
      </c>
      <c r="N1927" t="str">
        <f>IF(Table1[[#This Row],[CurrentStock]]&gt;Table1[[#This Row],[ReorderLevel]]*3,"Over Stock","Okay")</f>
        <v>Okay</v>
      </c>
      <c r="O1927" t="str">
        <f>IF(Table1[[#This Row],[CurrentStock]]&lt;Table1[[#This Row],[ReorderLevel]],"Reorder","Okay")</f>
        <v>Okay</v>
      </c>
    </row>
    <row r="1928" spans="1:15" x14ac:dyDescent="0.3">
      <c r="A1928">
        <v>40268</v>
      </c>
      <c r="B1928" t="s">
        <v>14</v>
      </c>
      <c r="C1928" t="s">
        <v>27</v>
      </c>
      <c r="D1928">
        <v>232</v>
      </c>
      <c r="E1928">
        <v>40</v>
      </c>
      <c r="F1928">
        <v>101.66</v>
      </c>
      <c r="G1928" t="s">
        <v>32</v>
      </c>
      <c r="H1928" s="1">
        <v>45505</v>
      </c>
      <c r="I1928" s="1">
        <v>45542</v>
      </c>
      <c r="J1928" t="s">
        <v>39</v>
      </c>
      <c r="K1928" t="b">
        <f>Table1[[#This Row],[CurrentStock]]&lt;Table1[[#This Row],[ReorderLevel]]</f>
        <v>0</v>
      </c>
      <c r="L1928" s="9">
        <f>Table1[[#This Row],[CurrentStock]]*Table1[[#This Row],[UnitPrice]]</f>
        <v>23585.119999999999</v>
      </c>
      <c r="M1928" t="str">
        <f>IF(Table1[[#This Row],[ReorderLevel]]-Table1[[#This Row],[CurrentStock]]&gt;0,Table1[[#This Row],[ReorderLevel]]-Table1[[#This Row],[CurrentStock]],"")</f>
        <v/>
      </c>
      <c r="N1928" t="str">
        <f>IF(Table1[[#This Row],[CurrentStock]]&gt;Table1[[#This Row],[ReorderLevel]]*3,"Over Stock","Okay")</f>
        <v>Over Stock</v>
      </c>
      <c r="O1928" t="str">
        <f>IF(Table1[[#This Row],[CurrentStock]]&lt;Table1[[#This Row],[ReorderLevel]],"Reorder","Okay")</f>
        <v>Okay</v>
      </c>
    </row>
    <row r="1929" spans="1:15" x14ac:dyDescent="0.3">
      <c r="A1929">
        <v>36401</v>
      </c>
      <c r="B1929" t="s">
        <v>25</v>
      </c>
      <c r="C1929" t="s">
        <v>31</v>
      </c>
      <c r="D1929">
        <v>215</v>
      </c>
      <c r="E1929">
        <v>80</v>
      </c>
      <c r="F1929">
        <v>132.96</v>
      </c>
      <c r="G1929" t="s">
        <v>35</v>
      </c>
      <c r="H1929" s="1">
        <v>45643</v>
      </c>
      <c r="I1929" s="1">
        <v>45678</v>
      </c>
      <c r="J1929" t="s">
        <v>38</v>
      </c>
      <c r="K1929" t="b">
        <f>Table1[[#This Row],[CurrentStock]]&lt;Table1[[#This Row],[ReorderLevel]]</f>
        <v>0</v>
      </c>
      <c r="L1929" s="9">
        <f>Table1[[#This Row],[CurrentStock]]*Table1[[#This Row],[UnitPrice]]</f>
        <v>28586.400000000001</v>
      </c>
      <c r="M1929" t="str">
        <f>IF(Table1[[#This Row],[ReorderLevel]]-Table1[[#This Row],[CurrentStock]]&gt;0,Table1[[#This Row],[ReorderLevel]]-Table1[[#This Row],[CurrentStock]],"")</f>
        <v/>
      </c>
      <c r="N1929" t="str">
        <f>IF(Table1[[#This Row],[CurrentStock]]&gt;Table1[[#This Row],[ReorderLevel]]*3,"Over Stock","Okay")</f>
        <v>Okay</v>
      </c>
      <c r="O1929" t="str">
        <f>IF(Table1[[#This Row],[CurrentStock]]&lt;Table1[[#This Row],[ReorderLevel]],"Reorder","Okay")</f>
        <v>Okay</v>
      </c>
    </row>
    <row r="1930" spans="1:15" x14ac:dyDescent="0.3">
      <c r="A1930">
        <v>67268</v>
      </c>
      <c r="B1930" t="s">
        <v>13</v>
      </c>
      <c r="C1930" t="s">
        <v>29</v>
      </c>
      <c r="D1930">
        <v>46</v>
      </c>
      <c r="E1930">
        <v>100</v>
      </c>
      <c r="F1930">
        <v>331.57</v>
      </c>
      <c r="G1930" t="s">
        <v>34</v>
      </c>
      <c r="H1930" s="1">
        <v>45368</v>
      </c>
      <c r="I1930" s="1">
        <v>45375</v>
      </c>
      <c r="J1930" t="s">
        <v>39</v>
      </c>
      <c r="K1930" t="b">
        <f>Table1[[#This Row],[CurrentStock]]&lt;Table1[[#This Row],[ReorderLevel]]</f>
        <v>1</v>
      </c>
      <c r="L1930" s="9">
        <f>Table1[[#This Row],[CurrentStock]]*Table1[[#This Row],[UnitPrice]]</f>
        <v>15252.22</v>
      </c>
      <c r="M1930">
        <f>IF(Table1[[#This Row],[ReorderLevel]]-Table1[[#This Row],[CurrentStock]]&gt;0,Table1[[#This Row],[ReorderLevel]]-Table1[[#This Row],[CurrentStock]],"")</f>
        <v>54</v>
      </c>
      <c r="N1930" t="str">
        <f>IF(Table1[[#This Row],[CurrentStock]]&gt;Table1[[#This Row],[ReorderLevel]]*3,"Over Stock","Okay")</f>
        <v>Okay</v>
      </c>
      <c r="O1930" t="str">
        <f>IF(Table1[[#This Row],[CurrentStock]]&lt;Table1[[#This Row],[ReorderLevel]],"Reorder","Okay")</f>
        <v>Reorder</v>
      </c>
    </row>
    <row r="1931" spans="1:15" x14ac:dyDescent="0.3">
      <c r="A1931">
        <v>59028</v>
      </c>
      <c r="B1931" t="s">
        <v>13</v>
      </c>
      <c r="C1931" t="s">
        <v>29</v>
      </c>
      <c r="D1931">
        <v>99</v>
      </c>
      <c r="E1931">
        <v>80</v>
      </c>
      <c r="F1931">
        <v>431.7</v>
      </c>
      <c r="G1931" t="s">
        <v>33</v>
      </c>
      <c r="H1931" s="1">
        <v>45483</v>
      </c>
      <c r="I1931" s="1">
        <v>45491</v>
      </c>
      <c r="J1931" t="s">
        <v>39</v>
      </c>
      <c r="K1931" t="b">
        <f>Table1[[#This Row],[CurrentStock]]&lt;Table1[[#This Row],[ReorderLevel]]</f>
        <v>0</v>
      </c>
      <c r="L1931" s="9">
        <f>Table1[[#This Row],[CurrentStock]]*Table1[[#This Row],[UnitPrice]]</f>
        <v>42738.299999999996</v>
      </c>
      <c r="M1931" t="str">
        <f>IF(Table1[[#This Row],[ReorderLevel]]-Table1[[#This Row],[CurrentStock]]&gt;0,Table1[[#This Row],[ReorderLevel]]-Table1[[#This Row],[CurrentStock]],"")</f>
        <v/>
      </c>
      <c r="N1931" t="str">
        <f>IF(Table1[[#This Row],[CurrentStock]]&gt;Table1[[#This Row],[ReorderLevel]]*3,"Over Stock","Okay")</f>
        <v>Okay</v>
      </c>
      <c r="O1931" t="str">
        <f>IF(Table1[[#This Row],[CurrentStock]]&lt;Table1[[#This Row],[ReorderLevel]],"Reorder","Okay")</f>
        <v>Okay</v>
      </c>
    </row>
    <row r="1932" spans="1:15" x14ac:dyDescent="0.3">
      <c r="A1932">
        <v>61761</v>
      </c>
      <c r="B1932" t="s">
        <v>12</v>
      </c>
      <c r="C1932" t="s">
        <v>28</v>
      </c>
      <c r="D1932">
        <v>263</v>
      </c>
      <c r="E1932">
        <v>50</v>
      </c>
      <c r="F1932">
        <v>455.68</v>
      </c>
      <c r="G1932" t="s">
        <v>33</v>
      </c>
      <c r="H1932" s="1">
        <v>45541</v>
      </c>
      <c r="I1932" s="1">
        <v>45548</v>
      </c>
      <c r="J1932" t="s">
        <v>37</v>
      </c>
      <c r="K1932" t="b">
        <f>Table1[[#This Row],[CurrentStock]]&lt;Table1[[#This Row],[ReorderLevel]]</f>
        <v>0</v>
      </c>
      <c r="L1932" s="9">
        <f>Table1[[#This Row],[CurrentStock]]*Table1[[#This Row],[UnitPrice]]</f>
        <v>119843.84</v>
      </c>
      <c r="M1932" t="str">
        <f>IF(Table1[[#This Row],[ReorderLevel]]-Table1[[#This Row],[CurrentStock]]&gt;0,Table1[[#This Row],[ReorderLevel]]-Table1[[#This Row],[CurrentStock]],"")</f>
        <v/>
      </c>
      <c r="N1932" t="str">
        <f>IF(Table1[[#This Row],[CurrentStock]]&gt;Table1[[#This Row],[ReorderLevel]]*3,"Over Stock","Okay")</f>
        <v>Over Stock</v>
      </c>
      <c r="O1932" t="str">
        <f>IF(Table1[[#This Row],[CurrentStock]]&lt;Table1[[#This Row],[ReorderLevel]],"Reorder","Okay")</f>
        <v>Okay</v>
      </c>
    </row>
    <row r="1933" spans="1:15" x14ac:dyDescent="0.3">
      <c r="A1933">
        <v>84492</v>
      </c>
      <c r="B1933" t="s">
        <v>26</v>
      </c>
      <c r="C1933" t="s">
        <v>30</v>
      </c>
      <c r="D1933">
        <v>203</v>
      </c>
      <c r="E1933">
        <v>40</v>
      </c>
      <c r="F1933">
        <v>490.55</v>
      </c>
      <c r="G1933" t="s">
        <v>35</v>
      </c>
      <c r="H1933" s="1">
        <v>45402</v>
      </c>
      <c r="I1933" s="1">
        <v>45407</v>
      </c>
      <c r="J1933" t="s">
        <v>39</v>
      </c>
      <c r="K1933" t="b">
        <f>Table1[[#This Row],[CurrentStock]]&lt;Table1[[#This Row],[ReorderLevel]]</f>
        <v>0</v>
      </c>
      <c r="L1933" s="9">
        <f>Table1[[#This Row],[CurrentStock]]*Table1[[#This Row],[UnitPrice]]</f>
        <v>99581.650000000009</v>
      </c>
      <c r="M1933" t="str">
        <f>IF(Table1[[#This Row],[ReorderLevel]]-Table1[[#This Row],[CurrentStock]]&gt;0,Table1[[#This Row],[ReorderLevel]]-Table1[[#This Row],[CurrentStock]],"")</f>
        <v/>
      </c>
      <c r="N1933" t="str">
        <f>IF(Table1[[#This Row],[CurrentStock]]&gt;Table1[[#This Row],[ReorderLevel]]*3,"Over Stock","Okay")</f>
        <v>Over Stock</v>
      </c>
      <c r="O1933" t="str">
        <f>IF(Table1[[#This Row],[CurrentStock]]&lt;Table1[[#This Row],[ReorderLevel]],"Reorder","Okay")</f>
        <v>Okay</v>
      </c>
    </row>
    <row r="1934" spans="1:15" x14ac:dyDescent="0.3">
      <c r="A1934">
        <v>11821</v>
      </c>
      <c r="B1934" t="s">
        <v>19</v>
      </c>
      <c r="C1934" t="s">
        <v>28</v>
      </c>
      <c r="D1934">
        <v>333</v>
      </c>
      <c r="E1934">
        <v>40</v>
      </c>
      <c r="F1934">
        <v>14.56</v>
      </c>
      <c r="G1934" t="s">
        <v>33</v>
      </c>
      <c r="H1934" s="1">
        <v>45507</v>
      </c>
      <c r="I1934" s="1">
        <v>45537</v>
      </c>
      <c r="J1934" t="s">
        <v>39</v>
      </c>
      <c r="K1934" t="b">
        <f>Table1[[#This Row],[CurrentStock]]&lt;Table1[[#This Row],[ReorderLevel]]</f>
        <v>0</v>
      </c>
      <c r="L1934" s="9">
        <f>Table1[[#This Row],[CurrentStock]]*Table1[[#This Row],[UnitPrice]]</f>
        <v>4848.4800000000005</v>
      </c>
      <c r="M1934" t="str">
        <f>IF(Table1[[#This Row],[ReorderLevel]]-Table1[[#This Row],[CurrentStock]]&gt;0,Table1[[#This Row],[ReorderLevel]]-Table1[[#This Row],[CurrentStock]],"")</f>
        <v/>
      </c>
      <c r="N1934" t="str">
        <f>IF(Table1[[#This Row],[CurrentStock]]&gt;Table1[[#This Row],[ReorderLevel]]*3,"Over Stock","Okay")</f>
        <v>Over Stock</v>
      </c>
      <c r="O1934" t="str">
        <f>IF(Table1[[#This Row],[CurrentStock]]&lt;Table1[[#This Row],[ReorderLevel]],"Reorder","Okay")</f>
        <v>Okay</v>
      </c>
    </row>
    <row r="1935" spans="1:15" x14ac:dyDescent="0.3">
      <c r="A1935">
        <v>83133</v>
      </c>
      <c r="B1935" t="s">
        <v>26</v>
      </c>
      <c r="C1935" t="s">
        <v>30</v>
      </c>
      <c r="D1935">
        <v>188</v>
      </c>
      <c r="E1935">
        <v>40</v>
      </c>
      <c r="F1935">
        <v>112.3</v>
      </c>
      <c r="G1935" t="s">
        <v>35</v>
      </c>
      <c r="H1935" s="1">
        <v>45352</v>
      </c>
      <c r="I1935" s="1">
        <v>45379</v>
      </c>
      <c r="J1935" t="s">
        <v>39</v>
      </c>
      <c r="K1935" t="b">
        <f>Table1[[#This Row],[CurrentStock]]&lt;Table1[[#This Row],[ReorderLevel]]</f>
        <v>0</v>
      </c>
      <c r="L1935" s="9">
        <f>Table1[[#This Row],[CurrentStock]]*Table1[[#This Row],[UnitPrice]]</f>
        <v>21112.399999999998</v>
      </c>
      <c r="M1935" t="str">
        <f>IF(Table1[[#This Row],[ReorderLevel]]-Table1[[#This Row],[CurrentStock]]&gt;0,Table1[[#This Row],[ReorderLevel]]-Table1[[#This Row],[CurrentStock]],"")</f>
        <v/>
      </c>
      <c r="N1935" t="str">
        <f>IF(Table1[[#This Row],[CurrentStock]]&gt;Table1[[#This Row],[ReorderLevel]]*3,"Over Stock","Okay")</f>
        <v>Over Stock</v>
      </c>
      <c r="O1935" t="str">
        <f>IF(Table1[[#This Row],[CurrentStock]]&lt;Table1[[#This Row],[ReorderLevel]],"Reorder","Okay")</f>
        <v>Okay</v>
      </c>
    </row>
    <row r="1936" spans="1:15" x14ac:dyDescent="0.3">
      <c r="A1936">
        <v>28632</v>
      </c>
      <c r="B1936" t="s">
        <v>20</v>
      </c>
      <c r="C1936" t="s">
        <v>29</v>
      </c>
      <c r="D1936">
        <v>233</v>
      </c>
      <c r="E1936">
        <v>40</v>
      </c>
      <c r="F1936">
        <v>246.9</v>
      </c>
      <c r="G1936" t="s">
        <v>34</v>
      </c>
      <c r="H1936" s="1">
        <v>45630</v>
      </c>
      <c r="I1936" s="1">
        <v>45635</v>
      </c>
      <c r="J1936" t="s">
        <v>37</v>
      </c>
      <c r="K1936" t="b">
        <f>Table1[[#This Row],[CurrentStock]]&lt;Table1[[#This Row],[ReorderLevel]]</f>
        <v>0</v>
      </c>
      <c r="L1936" s="9">
        <f>Table1[[#This Row],[CurrentStock]]*Table1[[#This Row],[UnitPrice]]</f>
        <v>57527.700000000004</v>
      </c>
      <c r="M1936" t="str">
        <f>IF(Table1[[#This Row],[ReorderLevel]]-Table1[[#This Row],[CurrentStock]]&gt;0,Table1[[#This Row],[ReorderLevel]]-Table1[[#This Row],[CurrentStock]],"")</f>
        <v/>
      </c>
      <c r="N1936" t="str">
        <f>IF(Table1[[#This Row],[CurrentStock]]&gt;Table1[[#This Row],[ReorderLevel]]*3,"Over Stock","Okay")</f>
        <v>Over Stock</v>
      </c>
      <c r="O1936" t="str">
        <f>IF(Table1[[#This Row],[CurrentStock]]&lt;Table1[[#This Row],[ReorderLevel]],"Reorder","Okay")</f>
        <v>Okay</v>
      </c>
    </row>
    <row r="1937" spans="1:15" x14ac:dyDescent="0.3">
      <c r="A1937">
        <v>11461</v>
      </c>
      <c r="B1937" t="s">
        <v>15</v>
      </c>
      <c r="C1937" t="s">
        <v>29</v>
      </c>
      <c r="D1937">
        <v>105</v>
      </c>
      <c r="E1937">
        <v>30</v>
      </c>
      <c r="F1937">
        <v>71.760000000000005</v>
      </c>
      <c r="G1937" t="s">
        <v>32</v>
      </c>
      <c r="H1937" s="1">
        <v>45444</v>
      </c>
      <c r="I1937" s="1">
        <v>45477</v>
      </c>
      <c r="J1937" t="s">
        <v>37</v>
      </c>
      <c r="K1937" t="b">
        <f>Table1[[#This Row],[CurrentStock]]&lt;Table1[[#This Row],[ReorderLevel]]</f>
        <v>0</v>
      </c>
      <c r="L1937" s="9">
        <f>Table1[[#This Row],[CurrentStock]]*Table1[[#This Row],[UnitPrice]]</f>
        <v>7534.8</v>
      </c>
      <c r="M1937" t="str">
        <f>IF(Table1[[#This Row],[ReorderLevel]]-Table1[[#This Row],[CurrentStock]]&gt;0,Table1[[#This Row],[ReorderLevel]]-Table1[[#This Row],[CurrentStock]],"")</f>
        <v/>
      </c>
      <c r="N1937" t="str">
        <f>IF(Table1[[#This Row],[CurrentStock]]&gt;Table1[[#This Row],[ReorderLevel]]*3,"Over Stock","Okay")</f>
        <v>Over Stock</v>
      </c>
      <c r="O1937" t="str">
        <f>IF(Table1[[#This Row],[CurrentStock]]&lt;Table1[[#This Row],[ReorderLevel]],"Reorder","Okay")</f>
        <v>Okay</v>
      </c>
    </row>
    <row r="1938" spans="1:15" x14ac:dyDescent="0.3">
      <c r="A1938">
        <v>63668</v>
      </c>
      <c r="B1938" t="s">
        <v>13</v>
      </c>
      <c r="C1938" t="s">
        <v>29</v>
      </c>
      <c r="D1938">
        <v>3</v>
      </c>
      <c r="E1938">
        <v>80</v>
      </c>
      <c r="F1938">
        <v>59.66</v>
      </c>
      <c r="G1938" t="s">
        <v>35</v>
      </c>
      <c r="H1938" s="1">
        <v>45404</v>
      </c>
      <c r="I1938" s="1">
        <v>45431</v>
      </c>
      <c r="J1938" t="s">
        <v>37</v>
      </c>
      <c r="K1938" t="b">
        <f>Table1[[#This Row],[CurrentStock]]&lt;Table1[[#This Row],[ReorderLevel]]</f>
        <v>1</v>
      </c>
      <c r="L1938" s="9">
        <f>Table1[[#This Row],[CurrentStock]]*Table1[[#This Row],[UnitPrice]]</f>
        <v>178.98</v>
      </c>
      <c r="M1938">
        <f>IF(Table1[[#This Row],[ReorderLevel]]-Table1[[#This Row],[CurrentStock]]&gt;0,Table1[[#This Row],[ReorderLevel]]-Table1[[#This Row],[CurrentStock]],"")</f>
        <v>77</v>
      </c>
      <c r="N1938" t="str">
        <f>IF(Table1[[#This Row],[CurrentStock]]&gt;Table1[[#This Row],[ReorderLevel]]*3,"Over Stock","Okay")</f>
        <v>Okay</v>
      </c>
      <c r="O1938" t="str">
        <f>IF(Table1[[#This Row],[CurrentStock]]&lt;Table1[[#This Row],[ReorderLevel]],"Reorder","Okay")</f>
        <v>Reorder</v>
      </c>
    </row>
    <row r="1939" spans="1:15" x14ac:dyDescent="0.3">
      <c r="A1939">
        <v>42532</v>
      </c>
      <c r="B1939" t="s">
        <v>26</v>
      </c>
      <c r="C1939" t="s">
        <v>30</v>
      </c>
      <c r="D1939">
        <v>32</v>
      </c>
      <c r="E1939">
        <v>150</v>
      </c>
      <c r="F1939">
        <v>115.63</v>
      </c>
      <c r="G1939" t="s">
        <v>35</v>
      </c>
      <c r="H1939" s="1">
        <v>45424</v>
      </c>
      <c r="I1939" s="1">
        <v>45443</v>
      </c>
      <c r="J1939" t="s">
        <v>37</v>
      </c>
      <c r="K1939" t="b">
        <f>Table1[[#This Row],[CurrentStock]]&lt;Table1[[#This Row],[ReorderLevel]]</f>
        <v>1</v>
      </c>
      <c r="L1939" s="9">
        <f>Table1[[#This Row],[CurrentStock]]*Table1[[#This Row],[UnitPrice]]</f>
        <v>3700.16</v>
      </c>
      <c r="M1939">
        <f>IF(Table1[[#This Row],[ReorderLevel]]-Table1[[#This Row],[CurrentStock]]&gt;0,Table1[[#This Row],[ReorderLevel]]-Table1[[#This Row],[CurrentStock]],"")</f>
        <v>118</v>
      </c>
      <c r="N1939" t="str">
        <f>IF(Table1[[#This Row],[CurrentStock]]&gt;Table1[[#This Row],[ReorderLevel]]*3,"Over Stock","Okay")</f>
        <v>Okay</v>
      </c>
      <c r="O1939" t="str">
        <f>IF(Table1[[#This Row],[CurrentStock]]&lt;Table1[[#This Row],[ReorderLevel]],"Reorder","Okay")</f>
        <v>Reorder</v>
      </c>
    </row>
    <row r="1940" spans="1:15" x14ac:dyDescent="0.3">
      <c r="A1940">
        <v>12438</v>
      </c>
      <c r="B1940" t="s">
        <v>25</v>
      </c>
      <c r="C1940" t="s">
        <v>31</v>
      </c>
      <c r="D1940">
        <v>117</v>
      </c>
      <c r="E1940">
        <v>30</v>
      </c>
      <c r="F1940">
        <v>483.15</v>
      </c>
      <c r="G1940" t="s">
        <v>36</v>
      </c>
      <c r="H1940" s="1">
        <v>45416</v>
      </c>
      <c r="I1940" s="1">
        <v>45439</v>
      </c>
      <c r="J1940" t="s">
        <v>38</v>
      </c>
      <c r="K1940" t="b">
        <f>Table1[[#This Row],[CurrentStock]]&lt;Table1[[#This Row],[ReorderLevel]]</f>
        <v>0</v>
      </c>
      <c r="L1940" s="9">
        <f>Table1[[#This Row],[CurrentStock]]*Table1[[#This Row],[UnitPrice]]</f>
        <v>56528.549999999996</v>
      </c>
      <c r="M1940" t="str">
        <f>IF(Table1[[#This Row],[ReorderLevel]]-Table1[[#This Row],[CurrentStock]]&gt;0,Table1[[#This Row],[ReorderLevel]]-Table1[[#This Row],[CurrentStock]],"")</f>
        <v/>
      </c>
      <c r="N1940" t="str">
        <f>IF(Table1[[#This Row],[CurrentStock]]&gt;Table1[[#This Row],[ReorderLevel]]*3,"Over Stock","Okay")</f>
        <v>Over Stock</v>
      </c>
      <c r="O1940" t="str">
        <f>IF(Table1[[#This Row],[CurrentStock]]&lt;Table1[[#This Row],[ReorderLevel]],"Reorder","Okay")</f>
        <v>Okay</v>
      </c>
    </row>
    <row r="1941" spans="1:15" x14ac:dyDescent="0.3">
      <c r="A1941">
        <v>59831</v>
      </c>
      <c r="B1941" t="s">
        <v>25</v>
      </c>
      <c r="C1941" t="s">
        <v>31</v>
      </c>
      <c r="D1941">
        <v>360</v>
      </c>
      <c r="E1941">
        <v>150</v>
      </c>
      <c r="F1941">
        <v>400.36</v>
      </c>
      <c r="G1941" t="s">
        <v>36</v>
      </c>
      <c r="H1941" s="1">
        <v>45473</v>
      </c>
      <c r="I1941" s="1">
        <v>45509</v>
      </c>
      <c r="J1941" t="s">
        <v>38</v>
      </c>
      <c r="K1941" t="b">
        <f>Table1[[#This Row],[CurrentStock]]&lt;Table1[[#This Row],[ReorderLevel]]</f>
        <v>0</v>
      </c>
      <c r="L1941" s="9">
        <f>Table1[[#This Row],[CurrentStock]]*Table1[[#This Row],[UnitPrice]]</f>
        <v>144129.60000000001</v>
      </c>
      <c r="M1941" t="str">
        <f>IF(Table1[[#This Row],[ReorderLevel]]-Table1[[#This Row],[CurrentStock]]&gt;0,Table1[[#This Row],[ReorderLevel]]-Table1[[#This Row],[CurrentStock]],"")</f>
        <v/>
      </c>
      <c r="N1941" t="str">
        <f>IF(Table1[[#This Row],[CurrentStock]]&gt;Table1[[#This Row],[ReorderLevel]]*3,"Over Stock","Okay")</f>
        <v>Okay</v>
      </c>
      <c r="O1941" t="str">
        <f>IF(Table1[[#This Row],[CurrentStock]]&lt;Table1[[#This Row],[ReorderLevel]],"Reorder","Okay")</f>
        <v>Okay</v>
      </c>
    </row>
    <row r="1942" spans="1:15" x14ac:dyDescent="0.3">
      <c r="A1942">
        <v>36515</v>
      </c>
      <c r="B1942" t="s">
        <v>25</v>
      </c>
      <c r="C1942" t="s">
        <v>31</v>
      </c>
      <c r="D1942">
        <v>148</v>
      </c>
      <c r="E1942">
        <v>30</v>
      </c>
      <c r="F1942">
        <v>403.71</v>
      </c>
      <c r="G1942" t="s">
        <v>32</v>
      </c>
      <c r="H1942" s="1">
        <v>45428</v>
      </c>
      <c r="I1942" s="1">
        <v>45467</v>
      </c>
      <c r="J1942" t="s">
        <v>39</v>
      </c>
      <c r="K1942" t="b">
        <f>Table1[[#This Row],[CurrentStock]]&lt;Table1[[#This Row],[ReorderLevel]]</f>
        <v>0</v>
      </c>
      <c r="L1942" s="9">
        <f>Table1[[#This Row],[CurrentStock]]*Table1[[#This Row],[UnitPrice]]</f>
        <v>59749.079999999994</v>
      </c>
      <c r="M1942" t="str">
        <f>IF(Table1[[#This Row],[ReorderLevel]]-Table1[[#This Row],[CurrentStock]]&gt;0,Table1[[#This Row],[ReorderLevel]]-Table1[[#This Row],[CurrentStock]],"")</f>
        <v/>
      </c>
      <c r="N1942" t="str">
        <f>IF(Table1[[#This Row],[CurrentStock]]&gt;Table1[[#This Row],[ReorderLevel]]*3,"Over Stock","Okay")</f>
        <v>Over Stock</v>
      </c>
      <c r="O1942" t="str">
        <f>IF(Table1[[#This Row],[CurrentStock]]&lt;Table1[[#This Row],[ReorderLevel]],"Reorder","Okay")</f>
        <v>Okay</v>
      </c>
    </row>
    <row r="1943" spans="1:15" x14ac:dyDescent="0.3">
      <c r="A1943">
        <v>50955</v>
      </c>
      <c r="B1943" t="s">
        <v>14</v>
      </c>
      <c r="C1943" t="s">
        <v>27</v>
      </c>
      <c r="D1943">
        <v>487</v>
      </c>
      <c r="E1943">
        <v>20</v>
      </c>
      <c r="F1943">
        <v>401.31</v>
      </c>
      <c r="G1943" t="s">
        <v>36</v>
      </c>
      <c r="H1943" s="1">
        <v>45502</v>
      </c>
      <c r="I1943" s="1">
        <v>45536</v>
      </c>
      <c r="J1943" t="s">
        <v>37</v>
      </c>
      <c r="K1943" t="b">
        <f>Table1[[#This Row],[CurrentStock]]&lt;Table1[[#This Row],[ReorderLevel]]</f>
        <v>0</v>
      </c>
      <c r="L1943" s="9">
        <f>Table1[[#This Row],[CurrentStock]]*Table1[[#This Row],[UnitPrice]]</f>
        <v>195437.97</v>
      </c>
      <c r="M1943" t="str">
        <f>IF(Table1[[#This Row],[ReorderLevel]]-Table1[[#This Row],[CurrentStock]]&gt;0,Table1[[#This Row],[ReorderLevel]]-Table1[[#This Row],[CurrentStock]],"")</f>
        <v/>
      </c>
      <c r="N1943" t="str">
        <f>IF(Table1[[#This Row],[CurrentStock]]&gt;Table1[[#This Row],[ReorderLevel]]*3,"Over Stock","Okay")</f>
        <v>Over Stock</v>
      </c>
      <c r="O1943" t="str">
        <f>IF(Table1[[#This Row],[CurrentStock]]&lt;Table1[[#This Row],[ReorderLevel]],"Reorder","Okay")</f>
        <v>Okay</v>
      </c>
    </row>
    <row r="1944" spans="1:15" x14ac:dyDescent="0.3">
      <c r="A1944">
        <v>44256</v>
      </c>
      <c r="B1944" t="s">
        <v>10</v>
      </c>
      <c r="C1944" t="s">
        <v>27</v>
      </c>
      <c r="D1944">
        <v>400</v>
      </c>
      <c r="E1944">
        <v>100</v>
      </c>
      <c r="F1944">
        <v>272.89999999999998</v>
      </c>
      <c r="G1944" t="s">
        <v>33</v>
      </c>
      <c r="H1944" s="1">
        <v>45383</v>
      </c>
      <c r="I1944" s="1">
        <v>45411</v>
      </c>
      <c r="J1944" t="s">
        <v>38</v>
      </c>
      <c r="K1944" t="b">
        <f>Table1[[#This Row],[CurrentStock]]&lt;Table1[[#This Row],[ReorderLevel]]</f>
        <v>0</v>
      </c>
      <c r="L1944" s="9">
        <f>Table1[[#This Row],[CurrentStock]]*Table1[[#This Row],[UnitPrice]]</f>
        <v>109159.99999999999</v>
      </c>
      <c r="M1944" t="str">
        <f>IF(Table1[[#This Row],[ReorderLevel]]-Table1[[#This Row],[CurrentStock]]&gt;0,Table1[[#This Row],[ReorderLevel]]-Table1[[#This Row],[CurrentStock]],"")</f>
        <v/>
      </c>
      <c r="N1944" t="str">
        <f>IF(Table1[[#This Row],[CurrentStock]]&gt;Table1[[#This Row],[ReorderLevel]]*3,"Over Stock","Okay")</f>
        <v>Over Stock</v>
      </c>
      <c r="O1944" t="str">
        <f>IF(Table1[[#This Row],[CurrentStock]]&lt;Table1[[#This Row],[ReorderLevel]],"Reorder","Okay")</f>
        <v>Okay</v>
      </c>
    </row>
    <row r="1945" spans="1:15" x14ac:dyDescent="0.3">
      <c r="A1945">
        <v>48664</v>
      </c>
      <c r="B1945" t="s">
        <v>14</v>
      </c>
      <c r="C1945" t="s">
        <v>27</v>
      </c>
      <c r="D1945">
        <v>178</v>
      </c>
      <c r="E1945">
        <v>40</v>
      </c>
      <c r="F1945">
        <v>283.54000000000002</v>
      </c>
      <c r="G1945" t="s">
        <v>34</v>
      </c>
      <c r="H1945" s="1">
        <v>45611</v>
      </c>
      <c r="I1945" s="1">
        <v>45623</v>
      </c>
      <c r="J1945" t="s">
        <v>39</v>
      </c>
      <c r="K1945" t="b">
        <f>Table1[[#This Row],[CurrentStock]]&lt;Table1[[#This Row],[ReorderLevel]]</f>
        <v>0</v>
      </c>
      <c r="L1945" s="9">
        <f>Table1[[#This Row],[CurrentStock]]*Table1[[#This Row],[UnitPrice]]</f>
        <v>50470.12</v>
      </c>
      <c r="M1945" t="str">
        <f>IF(Table1[[#This Row],[ReorderLevel]]-Table1[[#This Row],[CurrentStock]]&gt;0,Table1[[#This Row],[ReorderLevel]]-Table1[[#This Row],[CurrentStock]],"")</f>
        <v/>
      </c>
      <c r="N1945" t="str">
        <f>IF(Table1[[#This Row],[CurrentStock]]&gt;Table1[[#This Row],[ReorderLevel]]*3,"Over Stock","Okay")</f>
        <v>Over Stock</v>
      </c>
      <c r="O1945" t="str">
        <f>IF(Table1[[#This Row],[CurrentStock]]&lt;Table1[[#This Row],[ReorderLevel]],"Reorder","Okay")</f>
        <v>Okay</v>
      </c>
    </row>
    <row r="1946" spans="1:15" x14ac:dyDescent="0.3">
      <c r="A1946">
        <v>71829</v>
      </c>
      <c r="B1946" t="s">
        <v>17</v>
      </c>
      <c r="C1946" t="s">
        <v>30</v>
      </c>
      <c r="D1946">
        <v>257</v>
      </c>
      <c r="E1946">
        <v>50</v>
      </c>
      <c r="F1946">
        <v>82.38</v>
      </c>
      <c r="G1946" t="s">
        <v>36</v>
      </c>
      <c r="H1946" s="1">
        <v>45621</v>
      </c>
      <c r="I1946" s="1">
        <v>45628</v>
      </c>
      <c r="J1946" t="s">
        <v>39</v>
      </c>
      <c r="K1946" t="b">
        <f>Table1[[#This Row],[CurrentStock]]&lt;Table1[[#This Row],[ReorderLevel]]</f>
        <v>0</v>
      </c>
      <c r="L1946" s="9">
        <f>Table1[[#This Row],[CurrentStock]]*Table1[[#This Row],[UnitPrice]]</f>
        <v>21171.66</v>
      </c>
      <c r="M1946" t="str">
        <f>IF(Table1[[#This Row],[ReorderLevel]]-Table1[[#This Row],[CurrentStock]]&gt;0,Table1[[#This Row],[ReorderLevel]]-Table1[[#This Row],[CurrentStock]],"")</f>
        <v/>
      </c>
      <c r="N1946" t="str">
        <f>IF(Table1[[#This Row],[CurrentStock]]&gt;Table1[[#This Row],[ReorderLevel]]*3,"Over Stock","Okay")</f>
        <v>Over Stock</v>
      </c>
      <c r="O1946" t="str">
        <f>IF(Table1[[#This Row],[CurrentStock]]&lt;Table1[[#This Row],[ReorderLevel]],"Reorder","Okay")</f>
        <v>Okay</v>
      </c>
    </row>
    <row r="1947" spans="1:15" x14ac:dyDescent="0.3">
      <c r="A1947">
        <v>95411</v>
      </c>
      <c r="B1947" t="s">
        <v>15</v>
      </c>
      <c r="C1947" t="s">
        <v>29</v>
      </c>
      <c r="D1947">
        <v>170</v>
      </c>
      <c r="E1947">
        <v>40</v>
      </c>
      <c r="F1947">
        <v>59.7</v>
      </c>
      <c r="G1947" t="s">
        <v>35</v>
      </c>
      <c r="H1947" s="1">
        <v>45590</v>
      </c>
      <c r="I1947" s="1">
        <v>45622</v>
      </c>
      <c r="J1947" t="s">
        <v>39</v>
      </c>
      <c r="K1947" t="b">
        <f>Table1[[#This Row],[CurrentStock]]&lt;Table1[[#This Row],[ReorderLevel]]</f>
        <v>0</v>
      </c>
      <c r="L1947" s="9">
        <f>Table1[[#This Row],[CurrentStock]]*Table1[[#This Row],[UnitPrice]]</f>
        <v>10149</v>
      </c>
      <c r="M1947" t="str">
        <f>IF(Table1[[#This Row],[ReorderLevel]]-Table1[[#This Row],[CurrentStock]]&gt;0,Table1[[#This Row],[ReorderLevel]]-Table1[[#This Row],[CurrentStock]],"")</f>
        <v/>
      </c>
      <c r="N1947" t="str">
        <f>IF(Table1[[#This Row],[CurrentStock]]&gt;Table1[[#This Row],[ReorderLevel]]*3,"Over Stock","Okay")</f>
        <v>Over Stock</v>
      </c>
      <c r="O1947" t="str">
        <f>IF(Table1[[#This Row],[CurrentStock]]&lt;Table1[[#This Row],[ReorderLevel]],"Reorder","Okay")</f>
        <v>Okay</v>
      </c>
    </row>
    <row r="1948" spans="1:15" x14ac:dyDescent="0.3">
      <c r="A1948">
        <v>74544</v>
      </c>
      <c r="B1948" t="s">
        <v>20</v>
      </c>
      <c r="C1948" t="s">
        <v>29</v>
      </c>
      <c r="D1948">
        <v>329</v>
      </c>
      <c r="E1948">
        <v>80</v>
      </c>
      <c r="F1948">
        <v>236.31</v>
      </c>
      <c r="G1948" t="s">
        <v>32</v>
      </c>
      <c r="H1948" s="1">
        <v>45585</v>
      </c>
      <c r="I1948" s="1">
        <v>45591</v>
      </c>
      <c r="J1948" t="s">
        <v>38</v>
      </c>
      <c r="K1948" t="b">
        <f>Table1[[#This Row],[CurrentStock]]&lt;Table1[[#This Row],[ReorderLevel]]</f>
        <v>0</v>
      </c>
      <c r="L1948" s="9">
        <f>Table1[[#This Row],[CurrentStock]]*Table1[[#This Row],[UnitPrice]]</f>
        <v>77745.990000000005</v>
      </c>
      <c r="M1948" t="str">
        <f>IF(Table1[[#This Row],[ReorderLevel]]-Table1[[#This Row],[CurrentStock]]&gt;0,Table1[[#This Row],[ReorderLevel]]-Table1[[#This Row],[CurrentStock]],"")</f>
        <v/>
      </c>
      <c r="N1948" t="str">
        <f>IF(Table1[[#This Row],[CurrentStock]]&gt;Table1[[#This Row],[ReorderLevel]]*3,"Over Stock","Okay")</f>
        <v>Over Stock</v>
      </c>
      <c r="O1948" t="str">
        <f>IF(Table1[[#This Row],[CurrentStock]]&lt;Table1[[#This Row],[ReorderLevel]],"Reorder","Okay")</f>
        <v>Okay</v>
      </c>
    </row>
    <row r="1949" spans="1:15" x14ac:dyDescent="0.3">
      <c r="A1949">
        <v>50144</v>
      </c>
      <c r="B1949" t="s">
        <v>20</v>
      </c>
      <c r="C1949" t="s">
        <v>29</v>
      </c>
      <c r="D1949">
        <v>430</v>
      </c>
      <c r="E1949">
        <v>150</v>
      </c>
      <c r="F1949">
        <v>71.03</v>
      </c>
      <c r="G1949" t="s">
        <v>36</v>
      </c>
      <c r="H1949" s="1">
        <v>45509</v>
      </c>
      <c r="I1949" s="1">
        <v>45538</v>
      </c>
      <c r="J1949" t="s">
        <v>37</v>
      </c>
      <c r="K1949" t="b">
        <f>Table1[[#This Row],[CurrentStock]]&lt;Table1[[#This Row],[ReorderLevel]]</f>
        <v>0</v>
      </c>
      <c r="L1949" s="9">
        <f>Table1[[#This Row],[CurrentStock]]*Table1[[#This Row],[UnitPrice]]</f>
        <v>30542.9</v>
      </c>
      <c r="M1949" t="str">
        <f>IF(Table1[[#This Row],[ReorderLevel]]-Table1[[#This Row],[CurrentStock]]&gt;0,Table1[[#This Row],[ReorderLevel]]-Table1[[#This Row],[CurrentStock]],"")</f>
        <v/>
      </c>
      <c r="N1949" t="str">
        <f>IF(Table1[[#This Row],[CurrentStock]]&gt;Table1[[#This Row],[ReorderLevel]]*3,"Over Stock","Okay")</f>
        <v>Okay</v>
      </c>
      <c r="O1949" t="str">
        <f>IF(Table1[[#This Row],[CurrentStock]]&lt;Table1[[#This Row],[ReorderLevel]],"Reorder","Okay")</f>
        <v>Okay</v>
      </c>
    </row>
    <row r="1950" spans="1:15" x14ac:dyDescent="0.3">
      <c r="A1950">
        <v>57431</v>
      </c>
      <c r="B1950" t="s">
        <v>14</v>
      </c>
      <c r="C1950" t="s">
        <v>27</v>
      </c>
      <c r="D1950">
        <v>208</v>
      </c>
      <c r="E1950">
        <v>100</v>
      </c>
      <c r="F1950">
        <v>210.34</v>
      </c>
      <c r="G1950" t="s">
        <v>33</v>
      </c>
      <c r="H1950" s="1">
        <v>45369</v>
      </c>
      <c r="I1950" s="1">
        <v>45390</v>
      </c>
      <c r="J1950" t="s">
        <v>39</v>
      </c>
      <c r="K1950" t="b">
        <f>Table1[[#This Row],[CurrentStock]]&lt;Table1[[#This Row],[ReorderLevel]]</f>
        <v>0</v>
      </c>
      <c r="L1950" s="9">
        <f>Table1[[#This Row],[CurrentStock]]*Table1[[#This Row],[UnitPrice]]</f>
        <v>43750.720000000001</v>
      </c>
      <c r="M1950" t="str">
        <f>IF(Table1[[#This Row],[ReorderLevel]]-Table1[[#This Row],[CurrentStock]]&gt;0,Table1[[#This Row],[ReorderLevel]]-Table1[[#This Row],[CurrentStock]],"")</f>
        <v/>
      </c>
      <c r="N1950" t="str">
        <f>IF(Table1[[#This Row],[CurrentStock]]&gt;Table1[[#This Row],[ReorderLevel]]*3,"Over Stock","Okay")</f>
        <v>Okay</v>
      </c>
      <c r="O1950" t="str">
        <f>IF(Table1[[#This Row],[CurrentStock]]&lt;Table1[[#This Row],[ReorderLevel]],"Reorder","Okay")</f>
        <v>Okay</v>
      </c>
    </row>
    <row r="1951" spans="1:15" x14ac:dyDescent="0.3">
      <c r="A1951">
        <v>14803</v>
      </c>
      <c r="B1951" t="s">
        <v>23</v>
      </c>
      <c r="C1951" t="s">
        <v>30</v>
      </c>
      <c r="D1951">
        <v>469</v>
      </c>
      <c r="E1951">
        <v>100</v>
      </c>
      <c r="F1951">
        <v>34.97</v>
      </c>
      <c r="G1951" t="s">
        <v>33</v>
      </c>
      <c r="H1951" s="1">
        <v>45519</v>
      </c>
      <c r="I1951" s="1">
        <v>45558</v>
      </c>
      <c r="J1951" t="s">
        <v>39</v>
      </c>
      <c r="K1951" t="b">
        <f>Table1[[#This Row],[CurrentStock]]&lt;Table1[[#This Row],[ReorderLevel]]</f>
        <v>0</v>
      </c>
      <c r="L1951" s="9">
        <f>Table1[[#This Row],[CurrentStock]]*Table1[[#This Row],[UnitPrice]]</f>
        <v>16400.93</v>
      </c>
      <c r="M1951" t="str">
        <f>IF(Table1[[#This Row],[ReorderLevel]]-Table1[[#This Row],[CurrentStock]]&gt;0,Table1[[#This Row],[ReorderLevel]]-Table1[[#This Row],[CurrentStock]],"")</f>
        <v/>
      </c>
      <c r="N1951" t="str">
        <f>IF(Table1[[#This Row],[CurrentStock]]&gt;Table1[[#This Row],[ReorderLevel]]*3,"Over Stock","Okay")</f>
        <v>Over Stock</v>
      </c>
      <c r="O1951" t="str">
        <f>IF(Table1[[#This Row],[CurrentStock]]&lt;Table1[[#This Row],[ReorderLevel]],"Reorder","Okay")</f>
        <v>Okay</v>
      </c>
    </row>
    <row r="1952" spans="1:15" x14ac:dyDescent="0.3">
      <c r="A1952">
        <v>84676</v>
      </c>
      <c r="B1952" t="s">
        <v>24</v>
      </c>
      <c r="C1952" t="s">
        <v>31</v>
      </c>
      <c r="D1952">
        <v>474</v>
      </c>
      <c r="E1952">
        <v>20</v>
      </c>
      <c r="F1952">
        <v>258.11</v>
      </c>
      <c r="G1952" t="s">
        <v>33</v>
      </c>
      <c r="H1952" s="1">
        <v>45499</v>
      </c>
      <c r="I1952" s="1">
        <v>45522</v>
      </c>
      <c r="J1952" t="s">
        <v>37</v>
      </c>
      <c r="K1952" t="b">
        <f>Table1[[#This Row],[CurrentStock]]&lt;Table1[[#This Row],[ReorderLevel]]</f>
        <v>0</v>
      </c>
      <c r="L1952" s="9">
        <f>Table1[[#This Row],[CurrentStock]]*Table1[[#This Row],[UnitPrice]]</f>
        <v>122344.14</v>
      </c>
      <c r="M1952" t="str">
        <f>IF(Table1[[#This Row],[ReorderLevel]]-Table1[[#This Row],[CurrentStock]]&gt;0,Table1[[#This Row],[ReorderLevel]]-Table1[[#This Row],[CurrentStock]],"")</f>
        <v/>
      </c>
      <c r="N1952" t="str">
        <f>IF(Table1[[#This Row],[CurrentStock]]&gt;Table1[[#This Row],[ReorderLevel]]*3,"Over Stock","Okay")</f>
        <v>Over Stock</v>
      </c>
      <c r="O1952" t="str">
        <f>IF(Table1[[#This Row],[CurrentStock]]&lt;Table1[[#This Row],[ReorderLevel]],"Reorder","Okay")</f>
        <v>Okay</v>
      </c>
    </row>
    <row r="1953" spans="1:15" x14ac:dyDescent="0.3">
      <c r="A1953">
        <v>89118</v>
      </c>
      <c r="B1953" t="s">
        <v>20</v>
      </c>
      <c r="C1953" t="s">
        <v>29</v>
      </c>
      <c r="D1953">
        <v>178</v>
      </c>
      <c r="E1953">
        <v>30</v>
      </c>
      <c r="F1953">
        <v>88.91</v>
      </c>
      <c r="G1953" t="s">
        <v>32</v>
      </c>
      <c r="H1953" s="1">
        <v>45557</v>
      </c>
      <c r="I1953" s="1">
        <v>45570</v>
      </c>
      <c r="J1953" t="s">
        <v>39</v>
      </c>
      <c r="K1953" t="b">
        <f>Table1[[#This Row],[CurrentStock]]&lt;Table1[[#This Row],[ReorderLevel]]</f>
        <v>0</v>
      </c>
      <c r="L1953" s="9">
        <f>Table1[[#This Row],[CurrentStock]]*Table1[[#This Row],[UnitPrice]]</f>
        <v>15825.98</v>
      </c>
      <c r="M1953" t="str">
        <f>IF(Table1[[#This Row],[ReorderLevel]]-Table1[[#This Row],[CurrentStock]]&gt;0,Table1[[#This Row],[ReorderLevel]]-Table1[[#This Row],[CurrentStock]],"")</f>
        <v/>
      </c>
      <c r="N1953" t="str">
        <f>IF(Table1[[#This Row],[CurrentStock]]&gt;Table1[[#This Row],[ReorderLevel]]*3,"Over Stock","Okay")</f>
        <v>Over Stock</v>
      </c>
      <c r="O1953" t="str">
        <f>IF(Table1[[#This Row],[CurrentStock]]&lt;Table1[[#This Row],[ReorderLevel]],"Reorder","Okay")</f>
        <v>Okay</v>
      </c>
    </row>
    <row r="1954" spans="1:15" x14ac:dyDescent="0.3">
      <c r="A1954">
        <v>92593</v>
      </c>
      <c r="B1954" t="s">
        <v>25</v>
      </c>
      <c r="C1954" t="s">
        <v>31</v>
      </c>
      <c r="D1954">
        <v>18</v>
      </c>
      <c r="E1954">
        <v>20</v>
      </c>
      <c r="F1954">
        <v>58.08</v>
      </c>
      <c r="G1954" t="s">
        <v>32</v>
      </c>
      <c r="H1954" s="1">
        <v>45475</v>
      </c>
      <c r="I1954" s="1">
        <v>45500</v>
      </c>
      <c r="J1954" t="s">
        <v>37</v>
      </c>
      <c r="K1954" t="b">
        <f>Table1[[#This Row],[CurrentStock]]&lt;Table1[[#This Row],[ReorderLevel]]</f>
        <v>1</v>
      </c>
      <c r="L1954" s="9">
        <f>Table1[[#This Row],[CurrentStock]]*Table1[[#This Row],[UnitPrice]]</f>
        <v>1045.44</v>
      </c>
      <c r="M1954">
        <f>IF(Table1[[#This Row],[ReorderLevel]]-Table1[[#This Row],[CurrentStock]]&gt;0,Table1[[#This Row],[ReorderLevel]]-Table1[[#This Row],[CurrentStock]],"")</f>
        <v>2</v>
      </c>
      <c r="N1954" t="str">
        <f>IF(Table1[[#This Row],[CurrentStock]]&gt;Table1[[#This Row],[ReorderLevel]]*3,"Over Stock","Okay")</f>
        <v>Okay</v>
      </c>
      <c r="O1954" t="str">
        <f>IF(Table1[[#This Row],[CurrentStock]]&lt;Table1[[#This Row],[ReorderLevel]],"Reorder","Okay")</f>
        <v>Reorder</v>
      </c>
    </row>
    <row r="1955" spans="1:15" x14ac:dyDescent="0.3">
      <c r="A1955">
        <v>88711</v>
      </c>
      <c r="B1955" t="s">
        <v>24</v>
      </c>
      <c r="C1955" t="s">
        <v>31</v>
      </c>
      <c r="D1955">
        <v>321</v>
      </c>
      <c r="E1955">
        <v>40</v>
      </c>
      <c r="F1955">
        <v>472.72</v>
      </c>
      <c r="G1955" t="s">
        <v>36</v>
      </c>
      <c r="H1955" s="1">
        <v>45604</v>
      </c>
      <c r="I1955" s="1">
        <v>45618</v>
      </c>
      <c r="J1955" t="s">
        <v>38</v>
      </c>
      <c r="K1955" t="b">
        <f>Table1[[#This Row],[CurrentStock]]&lt;Table1[[#This Row],[ReorderLevel]]</f>
        <v>0</v>
      </c>
      <c r="L1955" s="9">
        <f>Table1[[#This Row],[CurrentStock]]*Table1[[#This Row],[UnitPrice]]</f>
        <v>151743.12</v>
      </c>
      <c r="M1955" t="str">
        <f>IF(Table1[[#This Row],[ReorderLevel]]-Table1[[#This Row],[CurrentStock]]&gt;0,Table1[[#This Row],[ReorderLevel]]-Table1[[#This Row],[CurrentStock]],"")</f>
        <v/>
      </c>
      <c r="N1955" t="str">
        <f>IF(Table1[[#This Row],[CurrentStock]]&gt;Table1[[#This Row],[ReorderLevel]]*3,"Over Stock","Okay")</f>
        <v>Over Stock</v>
      </c>
      <c r="O1955" t="str">
        <f>IF(Table1[[#This Row],[CurrentStock]]&lt;Table1[[#This Row],[ReorderLevel]],"Reorder","Okay")</f>
        <v>Okay</v>
      </c>
    </row>
    <row r="1956" spans="1:15" x14ac:dyDescent="0.3">
      <c r="A1956">
        <v>74014</v>
      </c>
      <c r="B1956" t="s">
        <v>11</v>
      </c>
      <c r="C1956" t="s">
        <v>27</v>
      </c>
      <c r="D1956">
        <v>414</v>
      </c>
      <c r="E1956">
        <v>150</v>
      </c>
      <c r="F1956">
        <v>389.99</v>
      </c>
      <c r="G1956" t="s">
        <v>36</v>
      </c>
      <c r="H1956" s="1">
        <v>45492</v>
      </c>
      <c r="I1956" s="1">
        <v>45522</v>
      </c>
      <c r="J1956" t="s">
        <v>37</v>
      </c>
      <c r="K1956" t="b">
        <f>Table1[[#This Row],[CurrentStock]]&lt;Table1[[#This Row],[ReorderLevel]]</f>
        <v>0</v>
      </c>
      <c r="L1956" s="9">
        <f>Table1[[#This Row],[CurrentStock]]*Table1[[#This Row],[UnitPrice]]</f>
        <v>161455.86000000002</v>
      </c>
      <c r="M1956" t="str">
        <f>IF(Table1[[#This Row],[ReorderLevel]]-Table1[[#This Row],[CurrentStock]]&gt;0,Table1[[#This Row],[ReorderLevel]]-Table1[[#This Row],[CurrentStock]],"")</f>
        <v/>
      </c>
      <c r="N1956" t="str">
        <f>IF(Table1[[#This Row],[CurrentStock]]&gt;Table1[[#This Row],[ReorderLevel]]*3,"Over Stock","Okay")</f>
        <v>Okay</v>
      </c>
      <c r="O1956" t="str">
        <f>IF(Table1[[#This Row],[CurrentStock]]&lt;Table1[[#This Row],[ReorderLevel]],"Reorder","Okay")</f>
        <v>Okay</v>
      </c>
    </row>
    <row r="1957" spans="1:15" x14ac:dyDescent="0.3">
      <c r="A1957">
        <v>78745</v>
      </c>
      <c r="B1957" t="s">
        <v>17</v>
      </c>
      <c r="C1957" t="s">
        <v>30</v>
      </c>
      <c r="D1957">
        <v>262</v>
      </c>
      <c r="E1957">
        <v>20</v>
      </c>
      <c r="F1957">
        <v>497.81</v>
      </c>
      <c r="G1957" t="s">
        <v>34</v>
      </c>
      <c r="H1957" s="1">
        <v>45295</v>
      </c>
      <c r="I1957" s="1">
        <v>45329</v>
      </c>
      <c r="J1957" t="s">
        <v>38</v>
      </c>
      <c r="K1957" t="b">
        <f>Table1[[#This Row],[CurrentStock]]&lt;Table1[[#This Row],[ReorderLevel]]</f>
        <v>0</v>
      </c>
      <c r="L1957" s="9">
        <f>Table1[[#This Row],[CurrentStock]]*Table1[[#This Row],[UnitPrice]]</f>
        <v>130426.22</v>
      </c>
      <c r="M1957" t="str">
        <f>IF(Table1[[#This Row],[ReorderLevel]]-Table1[[#This Row],[CurrentStock]]&gt;0,Table1[[#This Row],[ReorderLevel]]-Table1[[#This Row],[CurrentStock]],"")</f>
        <v/>
      </c>
      <c r="N1957" t="str">
        <f>IF(Table1[[#This Row],[CurrentStock]]&gt;Table1[[#This Row],[ReorderLevel]]*3,"Over Stock","Okay")</f>
        <v>Over Stock</v>
      </c>
      <c r="O1957" t="str">
        <f>IF(Table1[[#This Row],[CurrentStock]]&lt;Table1[[#This Row],[ReorderLevel]],"Reorder","Okay")</f>
        <v>Okay</v>
      </c>
    </row>
    <row r="1958" spans="1:15" x14ac:dyDescent="0.3">
      <c r="A1958">
        <v>61481</v>
      </c>
      <c r="B1958" t="s">
        <v>10</v>
      </c>
      <c r="C1958" t="s">
        <v>27</v>
      </c>
      <c r="D1958">
        <v>275</v>
      </c>
      <c r="E1958">
        <v>20</v>
      </c>
      <c r="F1958">
        <v>14.01</v>
      </c>
      <c r="G1958" t="s">
        <v>34</v>
      </c>
      <c r="H1958" s="1">
        <v>45522</v>
      </c>
      <c r="I1958" s="1">
        <v>45552</v>
      </c>
      <c r="J1958" t="s">
        <v>38</v>
      </c>
      <c r="K1958" t="b">
        <f>Table1[[#This Row],[CurrentStock]]&lt;Table1[[#This Row],[ReorderLevel]]</f>
        <v>0</v>
      </c>
      <c r="L1958" s="9">
        <f>Table1[[#This Row],[CurrentStock]]*Table1[[#This Row],[UnitPrice]]</f>
        <v>3852.75</v>
      </c>
      <c r="M1958" t="str">
        <f>IF(Table1[[#This Row],[ReorderLevel]]-Table1[[#This Row],[CurrentStock]]&gt;0,Table1[[#This Row],[ReorderLevel]]-Table1[[#This Row],[CurrentStock]],"")</f>
        <v/>
      </c>
      <c r="N1958" t="str">
        <f>IF(Table1[[#This Row],[CurrentStock]]&gt;Table1[[#This Row],[ReorderLevel]]*3,"Over Stock","Okay")</f>
        <v>Over Stock</v>
      </c>
      <c r="O1958" t="str">
        <f>IF(Table1[[#This Row],[CurrentStock]]&lt;Table1[[#This Row],[ReorderLevel]],"Reorder","Okay")</f>
        <v>Okay</v>
      </c>
    </row>
    <row r="1959" spans="1:15" x14ac:dyDescent="0.3">
      <c r="A1959">
        <v>58990</v>
      </c>
      <c r="B1959" t="s">
        <v>13</v>
      </c>
      <c r="C1959" t="s">
        <v>29</v>
      </c>
      <c r="D1959">
        <v>354</v>
      </c>
      <c r="E1959">
        <v>50</v>
      </c>
      <c r="F1959">
        <v>81.05</v>
      </c>
      <c r="G1959" t="s">
        <v>35</v>
      </c>
      <c r="H1959" s="1">
        <v>45388</v>
      </c>
      <c r="I1959" s="1">
        <v>45416</v>
      </c>
      <c r="J1959" t="s">
        <v>39</v>
      </c>
      <c r="K1959" t="b">
        <f>Table1[[#This Row],[CurrentStock]]&lt;Table1[[#This Row],[ReorderLevel]]</f>
        <v>0</v>
      </c>
      <c r="L1959" s="9">
        <f>Table1[[#This Row],[CurrentStock]]*Table1[[#This Row],[UnitPrice]]</f>
        <v>28691.7</v>
      </c>
      <c r="M1959" t="str">
        <f>IF(Table1[[#This Row],[ReorderLevel]]-Table1[[#This Row],[CurrentStock]]&gt;0,Table1[[#This Row],[ReorderLevel]]-Table1[[#This Row],[CurrentStock]],"")</f>
        <v/>
      </c>
      <c r="N1959" t="str">
        <f>IF(Table1[[#This Row],[CurrentStock]]&gt;Table1[[#This Row],[ReorderLevel]]*3,"Over Stock","Okay")</f>
        <v>Over Stock</v>
      </c>
      <c r="O1959" t="str">
        <f>IF(Table1[[#This Row],[CurrentStock]]&lt;Table1[[#This Row],[ReorderLevel]],"Reorder","Okay")</f>
        <v>Okay</v>
      </c>
    </row>
    <row r="1960" spans="1:15" x14ac:dyDescent="0.3">
      <c r="A1960">
        <v>20040</v>
      </c>
      <c r="B1960" t="s">
        <v>21</v>
      </c>
      <c r="C1960" t="s">
        <v>31</v>
      </c>
      <c r="D1960">
        <v>139</v>
      </c>
      <c r="E1960">
        <v>30</v>
      </c>
      <c r="F1960">
        <v>231.72</v>
      </c>
      <c r="G1960" t="s">
        <v>33</v>
      </c>
      <c r="H1960" s="1">
        <v>45470</v>
      </c>
      <c r="I1960" s="1">
        <v>45487</v>
      </c>
      <c r="J1960" t="s">
        <v>38</v>
      </c>
      <c r="K1960" t="b">
        <f>Table1[[#This Row],[CurrentStock]]&lt;Table1[[#This Row],[ReorderLevel]]</f>
        <v>0</v>
      </c>
      <c r="L1960" s="9">
        <f>Table1[[#This Row],[CurrentStock]]*Table1[[#This Row],[UnitPrice]]</f>
        <v>32209.079999999998</v>
      </c>
      <c r="M1960" t="str">
        <f>IF(Table1[[#This Row],[ReorderLevel]]-Table1[[#This Row],[CurrentStock]]&gt;0,Table1[[#This Row],[ReorderLevel]]-Table1[[#This Row],[CurrentStock]],"")</f>
        <v/>
      </c>
      <c r="N1960" t="str">
        <f>IF(Table1[[#This Row],[CurrentStock]]&gt;Table1[[#This Row],[ReorderLevel]]*3,"Over Stock","Okay")</f>
        <v>Over Stock</v>
      </c>
      <c r="O1960" t="str">
        <f>IF(Table1[[#This Row],[CurrentStock]]&lt;Table1[[#This Row],[ReorderLevel]],"Reorder","Okay")</f>
        <v>Okay</v>
      </c>
    </row>
    <row r="1961" spans="1:15" x14ac:dyDescent="0.3">
      <c r="A1961">
        <v>69090</v>
      </c>
      <c r="B1961" t="s">
        <v>14</v>
      </c>
      <c r="C1961" t="s">
        <v>27</v>
      </c>
      <c r="D1961">
        <v>232</v>
      </c>
      <c r="E1961">
        <v>50</v>
      </c>
      <c r="F1961">
        <v>447.72</v>
      </c>
      <c r="G1961" t="s">
        <v>34</v>
      </c>
      <c r="H1961" s="1">
        <v>45402</v>
      </c>
      <c r="I1961" s="1">
        <v>45409</v>
      </c>
      <c r="J1961" t="s">
        <v>37</v>
      </c>
      <c r="K1961" t="b">
        <f>Table1[[#This Row],[CurrentStock]]&lt;Table1[[#This Row],[ReorderLevel]]</f>
        <v>0</v>
      </c>
      <c r="L1961" s="9">
        <f>Table1[[#This Row],[CurrentStock]]*Table1[[#This Row],[UnitPrice]]</f>
        <v>103871.04000000001</v>
      </c>
      <c r="M1961" t="str">
        <f>IF(Table1[[#This Row],[ReorderLevel]]-Table1[[#This Row],[CurrentStock]]&gt;0,Table1[[#This Row],[ReorderLevel]]-Table1[[#This Row],[CurrentStock]],"")</f>
        <v/>
      </c>
      <c r="N1961" t="str">
        <f>IF(Table1[[#This Row],[CurrentStock]]&gt;Table1[[#This Row],[ReorderLevel]]*3,"Over Stock","Okay")</f>
        <v>Over Stock</v>
      </c>
      <c r="O1961" t="str">
        <f>IF(Table1[[#This Row],[CurrentStock]]&lt;Table1[[#This Row],[ReorderLevel]],"Reorder","Okay")</f>
        <v>Okay</v>
      </c>
    </row>
    <row r="1962" spans="1:15" x14ac:dyDescent="0.3">
      <c r="A1962">
        <v>34248</v>
      </c>
      <c r="B1962" t="s">
        <v>20</v>
      </c>
      <c r="C1962" t="s">
        <v>29</v>
      </c>
      <c r="D1962">
        <v>183</v>
      </c>
      <c r="E1962">
        <v>20</v>
      </c>
      <c r="F1962">
        <v>208.3</v>
      </c>
      <c r="G1962" t="s">
        <v>32</v>
      </c>
      <c r="H1962" s="1">
        <v>45414</v>
      </c>
      <c r="I1962" s="1">
        <v>45453</v>
      </c>
      <c r="J1962" t="s">
        <v>38</v>
      </c>
      <c r="K1962" t="b">
        <f>Table1[[#This Row],[CurrentStock]]&lt;Table1[[#This Row],[ReorderLevel]]</f>
        <v>0</v>
      </c>
      <c r="L1962" s="9">
        <f>Table1[[#This Row],[CurrentStock]]*Table1[[#This Row],[UnitPrice]]</f>
        <v>38118.9</v>
      </c>
      <c r="M1962" t="str">
        <f>IF(Table1[[#This Row],[ReorderLevel]]-Table1[[#This Row],[CurrentStock]]&gt;0,Table1[[#This Row],[ReorderLevel]]-Table1[[#This Row],[CurrentStock]],"")</f>
        <v/>
      </c>
      <c r="N1962" t="str">
        <f>IF(Table1[[#This Row],[CurrentStock]]&gt;Table1[[#This Row],[ReorderLevel]]*3,"Over Stock","Okay")</f>
        <v>Over Stock</v>
      </c>
      <c r="O1962" t="str">
        <f>IF(Table1[[#This Row],[CurrentStock]]&lt;Table1[[#This Row],[ReorderLevel]],"Reorder","Okay")</f>
        <v>Okay</v>
      </c>
    </row>
    <row r="1963" spans="1:15" x14ac:dyDescent="0.3">
      <c r="A1963">
        <v>18104</v>
      </c>
      <c r="B1963" t="s">
        <v>21</v>
      </c>
      <c r="C1963" t="s">
        <v>31</v>
      </c>
      <c r="D1963">
        <v>112</v>
      </c>
      <c r="E1963">
        <v>20</v>
      </c>
      <c r="F1963">
        <v>353.87</v>
      </c>
      <c r="G1963" t="s">
        <v>32</v>
      </c>
      <c r="H1963" s="1">
        <v>45574</v>
      </c>
      <c r="I1963" s="1">
        <v>45599</v>
      </c>
      <c r="J1963" t="s">
        <v>37</v>
      </c>
      <c r="K1963" t="b">
        <f>Table1[[#This Row],[CurrentStock]]&lt;Table1[[#This Row],[ReorderLevel]]</f>
        <v>0</v>
      </c>
      <c r="L1963" s="9">
        <f>Table1[[#This Row],[CurrentStock]]*Table1[[#This Row],[UnitPrice]]</f>
        <v>39633.440000000002</v>
      </c>
      <c r="M1963" t="str">
        <f>IF(Table1[[#This Row],[ReorderLevel]]-Table1[[#This Row],[CurrentStock]]&gt;0,Table1[[#This Row],[ReorderLevel]]-Table1[[#This Row],[CurrentStock]],"")</f>
        <v/>
      </c>
      <c r="N1963" t="str">
        <f>IF(Table1[[#This Row],[CurrentStock]]&gt;Table1[[#This Row],[ReorderLevel]]*3,"Over Stock","Okay")</f>
        <v>Over Stock</v>
      </c>
      <c r="O1963" t="str">
        <f>IF(Table1[[#This Row],[CurrentStock]]&lt;Table1[[#This Row],[ReorderLevel]],"Reorder","Okay")</f>
        <v>Okay</v>
      </c>
    </row>
    <row r="1964" spans="1:15" x14ac:dyDescent="0.3">
      <c r="A1964">
        <v>72723</v>
      </c>
      <c r="B1964" t="s">
        <v>21</v>
      </c>
      <c r="C1964" t="s">
        <v>31</v>
      </c>
      <c r="D1964">
        <v>238</v>
      </c>
      <c r="E1964">
        <v>20</v>
      </c>
      <c r="F1964">
        <v>488.07</v>
      </c>
      <c r="G1964" t="s">
        <v>34</v>
      </c>
      <c r="H1964" s="1">
        <v>45557</v>
      </c>
      <c r="I1964" s="1">
        <v>45568</v>
      </c>
      <c r="J1964" t="s">
        <v>39</v>
      </c>
      <c r="K1964" t="b">
        <f>Table1[[#This Row],[CurrentStock]]&lt;Table1[[#This Row],[ReorderLevel]]</f>
        <v>0</v>
      </c>
      <c r="L1964" s="9">
        <f>Table1[[#This Row],[CurrentStock]]*Table1[[#This Row],[UnitPrice]]</f>
        <v>116160.66</v>
      </c>
      <c r="M1964" t="str">
        <f>IF(Table1[[#This Row],[ReorderLevel]]-Table1[[#This Row],[CurrentStock]]&gt;0,Table1[[#This Row],[ReorderLevel]]-Table1[[#This Row],[CurrentStock]],"")</f>
        <v/>
      </c>
      <c r="N1964" t="str">
        <f>IF(Table1[[#This Row],[CurrentStock]]&gt;Table1[[#This Row],[ReorderLevel]]*3,"Over Stock","Okay")</f>
        <v>Over Stock</v>
      </c>
      <c r="O1964" t="str">
        <f>IF(Table1[[#This Row],[CurrentStock]]&lt;Table1[[#This Row],[ReorderLevel]],"Reorder","Okay")</f>
        <v>Okay</v>
      </c>
    </row>
    <row r="1965" spans="1:15" x14ac:dyDescent="0.3">
      <c r="A1965">
        <v>27469</v>
      </c>
      <c r="B1965" t="s">
        <v>10</v>
      </c>
      <c r="C1965" t="s">
        <v>27</v>
      </c>
      <c r="D1965">
        <v>418</v>
      </c>
      <c r="E1965">
        <v>150</v>
      </c>
      <c r="F1965">
        <v>223.12</v>
      </c>
      <c r="G1965" t="s">
        <v>33</v>
      </c>
      <c r="H1965" s="1">
        <v>45368</v>
      </c>
      <c r="I1965" s="1">
        <v>45391</v>
      </c>
      <c r="J1965" t="s">
        <v>37</v>
      </c>
      <c r="K1965" t="b">
        <f>Table1[[#This Row],[CurrentStock]]&lt;Table1[[#This Row],[ReorderLevel]]</f>
        <v>0</v>
      </c>
      <c r="L1965" s="9">
        <f>Table1[[#This Row],[CurrentStock]]*Table1[[#This Row],[UnitPrice]]</f>
        <v>93264.16</v>
      </c>
      <c r="M1965" t="str">
        <f>IF(Table1[[#This Row],[ReorderLevel]]-Table1[[#This Row],[CurrentStock]]&gt;0,Table1[[#This Row],[ReorderLevel]]-Table1[[#This Row],[CurrentStock]],"")</f>
        <v/>
      </c>
      <c r="N1965" t="str">
        <f>IF(Table1[[#This Row],[CurrentStock]]&gt;Table1[[#This Row],[ReorderLevel]]*3,"Over Stock","Okay")</f>
        <v>Okay</v>
      </c>
      <c r="O1965" t="str">
        <f>IF(Table1[[#This Row],[CurrentStock]]&lt;Table1[[#This Row],[ReorderLevel]],"Reorder","Okay")</f>
        <v>Okay</v>
      </c>
    </row>
    <row r="1966" spans="1:15" x14ac:dyDescent="0.3">
      <c r="A1966">
        <v>27221</v>
      </c>
      <c r="B1966" t="s">
        <v>14</v>
      </c>
      <c r="C1966" t="s">
        <v>27</v>
      </c>
      <c r="D1966">
        <v>226</v>
      </c>
      <c r="E1966">
        <v>150</v>
      </c>
      <c r="F1966">
        <v>217.64</v>
      </c>
      <c r="G1966" t="s">
        <v>34</v>
      </c>
      <c r="H1966" s="1">
        <v>45495</v>
      </c>
      <c r="I1966" s="1">
        <v>45511</v>
      </c>
      <c r="J1966" t="s">
        <v>39</v>
      </c>
      <c r="K1966" t="b">
        <f>Table1[[#This Row],[CurrentStock]]&lt;Table1[[#This Row],[ReorderLevel]]</f>
        <v>0</v>
      </c>
      <c r="L1966" s="9">
        <f>Table1[[#This Row],[CurrentStock]]*Table1[[#This Row],[UnitPrice]]</f>
        <v>49186.64</v>
      </c>
      <c r="M1966" t="str">
        <f>IF(Table1[[#This Row],[ReorderLevel]]-Table1[[#This Row],[CurrentStock]]&gt;0,Table1[[#This Row],[ReorderLevel]]-Table1[[#This Row],[CurrentStock]],"")</f>
        <v/>
      </c>
      <c r="N1966" t="str">
        <f>IF(Table1[[#This Row],[CurrentStock]]&gt;Table1[[#This Row],[ReorderLevel]]*3,"Over Stock","Okay")</f>
        <v>Okay</v>
      </c>
      <c r="O1966" t="str">
        <f>IF(Table1[[#This Row],[CurrentStock]]&lt;Table1[[#This Row],[ReorderLevel]],"Reorder","Okay")</f>
        <v>Okay</v>
      </c>
    </row>
    <row r="1967" spans="1:15" x14ac:dyDescent="0.3">
      <c r="A1967">
        <v>54153</v>
      </c>
      <c r="B1967" t="s">
        <v>24</v>
      </c>
      <c r="C1967" t="s">
        <v>31</v>
      </c>
      <c r="D1967">
        <v>408</v>
      </c>
      <c r="E1967">
        <v>150</v>
      </c>
      <c r="F1967">
        <v>60.07</v>
      </c>
      <c r="G1967" t="s">
        <v>34</v>
      </c>
      <c r="H1967" s="1">
        <v>45531</v>
      </c>
      <c r="I1967" s="1">
        <v>45546</v>
      </c>
      <c r="J1967" t="s">
        <v>37</v>
      </c>
      <c r="K1967" t="b">
        <f>Table1[[#This Row],[CurrentStock]]&lt;Table1[[#This Row],[ReorderLevel]]</f>
        <v>0</v>
      </c>
      <c r="L1967" s="9">
        <f>Table1[[#This Row],[CurrentStock]]*Table1[[#This Row],[UnitPrice]]</f>
        <v>24508.560000000001</v>
      </c>
      <c r="M1967" t="str">
        <f>IF(Table1[[#This Row],[ReorderLevel]]-Table1[[#This Row],[CurrentStock]]&gt;0,Table1[[#This Row],[ReorderLevel]]-Table1[[#This Row],[CurrentStock]],"")</f>
        <v/>
      </c>
      <c r="N1967" t="str">
        <f>IF(Table1[[#This Row],[CurrentStock]]&gt;Table1[[#This Row],[ReorderLevel]]*3,"Over Stock","Okay")</f>
        <v>Okay</v>
      </c>
      <c r="O1967" t="str">
        <f>IF(Table1[[#This Row],[CurrentStock]]&lt;Table1[[#This Row],[ReorderLevel]],"Reorder","Okay")</f>
        <v>Okay</v>
      </c>
    </row>
    <row r="1968" spans="1:15" x14ac:dyDescent="0.3">
      <c r="A1968">
        <v>10415</v>
      </c>
      <c r="B1968" t="s">
        <v>13</v>
      </c>
      <c r="C1968" t="s">
        <v>29</v>
      </c>
      <c r="D1968">
        <v>250</v>
      </c>
      <c r="E1968">
        <v>40</v>
      </c>
      <c r="F1968">
        <v>418.3</v>
      </c>
      <c r="G1968" t="s">
        <v>33</v>
      </c>
      <c r="H1968" s="1">
        <v>45368</v>
      </c>
      <c r="I1968" s="1">
        <v>45389</v>
      </c>
      <c r="J1968" t="s">
        <v>37</v>
      </c>
      <c r="K1968" t="b">
        <f>Table1[[#This Row],[CurrentStock]]&lt;Table1[[#This Row],[ReorderLevel]]</f>
        <v>0</v>
      </c>
      <c r="L1968" s="9">
        <f>Table1[[#This Row],[CurrentStock]]*Table1[[#This Row],[UnitPrice]]</f>
        <v>104575</v>
      </c>
      <c r="M1968" t="str">
        <f>IF(Table1[[#This Row],[ReorderLevel]]-Table1[[#This Row],[CurrentStock]]&gt;0,Table1[[#This Row],[ReorderLevel]]-Table1[[#This Row],[CurrentStock]],"")</f>
        <v/>
      </c>
      <c r="N1968" t="str">
        <f>IF(Table1[[#This Row],[CurrentStock]]&gt;Table1[[#This Row],[ReorderLevel]]*3,"Over Stock","Okay")</f>
        <v>Over Stock</v>
      </c>
      <c r="O1968" t="str">
        <f>IF(Table1[[#This Row],[CurrentStock]]&lt;Table1[[#This Row],[ReorderLevel]],"Reorder","Okay")</f>
        <v>Okay</v>
      </c>
    </row>
    <row r="1969" spans="1:15" x14ac:dyDescent="0.3">
      <c r="A1969">
        <v>55299</v>
      </c>
      <c r="B1969" t="s">
        <v>14</v>
      </c>
      <c r="C1969" t="s">
        <v>27</v>
      </c>
      <c r="D1969">
        <v>396</v>
      </c>
      <c r="E1969">
        <v>80</v>
      </c>
      <c r="F1969">
        <v>411.53</v>
      </c>
      <c r="G1969" t="s">
        <v>32</v>
      </c>
      <c r="H1969" s="1">
        <v>45292</v>
      </c>
      <c r="I1969" s="1">
        <v>45329</v>
      </c>
      <c r="J1969" t="s">
        <v>38</v>
      </c>
      <c r="K1969" t="b">
        <f>Table1[[#This Row],[CurrentStock]]&lt;Table1[[#This Row],[ReorderLevel]]</f>
        <v>0</v>
      </c>
      <c r="L1969" s="9">
        <f>Table1[[#This Row],[CurrentStock]]*Table1[[#This Row],[UnitPrice]]</f>
        <v>162965.87999999998</v>
      </c>
      <c r="M1969" t="str">
        <f>IF(Table1[[#This Row],[ReorderLevel]]-Table1[[#This Row],[CurrentStock]]&gt;0,Table1[[#This Row],[ReorderLevel]]-Table1[[#This Row],[CurrentStock]],"")</f>
        <v/>
      </c>
      <c r="N1969" t="str">
        <f>IF(Table1[[#This Row],[CurrentStock]]&gt;Table1[[#This Row],[ReorderLevel]]*3,"Over Stock","Okay")</f>
        <v>Over Stock</v>
      </c>
      <c r="O1969" t="str">
        <f>IF(Table1[[#This Row],[CurrentStock]]&lt;Table1[[#This Row],[ReorderLevel]],"Reorder","Okay")</f>
        <v>Okay</v>
      </c>
    </row>
    <row r="1970" spans="1:15" x14ac:dyDescent="0.3">
      <c r="A1970">
        <v>10552</v>
      </c>
      <c r="B1970" t="s">
        <v>15</v>
      </c>
      <c r="C1970" t="s">
        <v>29</v>
      </c>
      <c r="D1970">
        <v>296</v>
      </c>
      <c r="E1970">
        <v>20</v>
      </c>
      <c r="F1970">
        <v>447.14</v>
      </c>
      <c r="G1970" t="s">
        <v>36</v>
      </c>
      <c r="H1970" s="1">
        <v>45406</v>
      </c>
      <c r="I1970" s="1">
        <v>45411</v>
      </c>
      <c r="J1970" t="s">
        <v>39</v>
      </c>
      <c r="K1970" t="b">
        <f>Table1[[#This Row],[CurrentStock]]&lt;Table1[[#This Row],[ReorderLevel]]</f>
        <v>0</v>
      </c>
      <c r="L1970" s="9">
        <f>Table1[[#This Row],[CurrentStock]]*Table1[[#This Row],[UnitPrice]]</f>
        <v>132353.44</v>
      </c>
      <c r="M1970" t="str">
        <f>IF(Table1[[#This Row],[ReorderLevel]]-Table1[[#This Row],[CurrentStock]]&gt;0,Table1[[#This Row],[ReorderLevel]]-Table1[[#This Row],[CurrentStock]],"")</f>
        <v/>
      </c>
      <c r="N1970" t="str">
        <f>IF(Table1[[#This Row],[CurrentStock]]&gt;Table1[[#This Row],[ReorderLevel]]*3,"Over Stock","Okay")</f>
        <v>Over Stock</v>
      </c>
      <c r="O1970" t="str">
        <f>IF(Table1[[#This Row],[CurrentStock]]&lt;Table1[[#This Row],[ReorderLevel]],"Reorder","Okay")</f>
        <v>Okay</v>
      </c>
    </row>
    <row r="1971" spans="1:15" x14ac:dyDescent="0.3">
      <c r="A1971">
        <v>45765</v>
      </c>
      <c r="B1971" t="s">
        <v>25</v>
      </c>
      <c r="C1971" t="s">
        <v>31</v>
      </c>
      <c r="D1971">
        <v>334</v>
      </c>
      <c r="E1971">
        <v>20</v>
      </c>
      <c r="F1971">
        <v>489.1</v>
      </c>
      <c r="G1971" t="s">
        <v>33</v>
      </c>
      <c r="H1971" s="1">
        <v>45428</v>
      </c>
      <c r="I1971" s="1">
        <v>45467</v>
      </c>
      <c r="J1971" t="s">
        <v>37</v>
      </c>
      <c r="K1971" t="b">
        <f>Table1[[#This Row],[CurrentStock]]&lt;Table1[[#This Row],[ReorderLevel]]</f>
        <v>0</v>
      </c>
      <c r="L1971" s="9">
        <f>Table1[[#This Row],[CurrentStock]]*Table1[[#This Row],[UnitPrice]]</f>
        <v>163359.4</v>
      </c>
      <c r="M1971" t="str">
        <f>IF(Table1[[#This Row],[ReorderLevel]]-Table1[[#This Row],[CurrentStock]]&gt;0,Table1[[#This Row],[ReorderLevel]]-Table1[[#This Row],[CurrentStock]],"")</f>
        <v/>
      </c>
      <c r="N1971" t="str">
        <f>IF(Table1[[#This Row],[CurrentStock]]&gt;Table1[[#This Row],[ReorderLevel]]*3,"Over Stock","Okay")</f>
        <v>Over Stock</v>
      </c>
      <c r="O1971" t="str">
        <f>IF(Table1[[#This Row],[CurrentStock]]&lt;Table1[[#This Row],[ReorderLevel]],"Reorder","Okay")</f>
        <v>Okay</v>
      </c>
    </row>
    <row r="1972" spans="1:15" x14ac:dyDescent="0.3">
      <c r="A1972">
        <v>42882</v>
      </c>
      <c r="B1972" t="s">
        <v>15</v>
      </c>
      <c r="C1972" t="s">
        <v>29</v>
      </c>
      <c r="D1972">
        <v>64</v>
      </c>
      <c r="E1972">
        <v>80</v>
      </c>
      <c r="F1972">
        <v>349.39</v>
      </c>
      <c r="G1972" t="s">
        <v>35</v>
      </c>
      <c r="H1972" s="1">
        <v>45341</v>
      </c>
      <c r="I1972" s="1">
        <v>45372</v>
      </c>
      <c r="J1972" t="s">
        <v>39</v>
      </c>
      <c r="K1972" t="b">
        <f>Table1[[#This Row],[CurrentStock]]&lt;Table1[[#This Row],[ReorderLevel]]</f>
        <v>1</v>
      </c>
      <c r="L1972" s="9">
        <f>Table1[[#This Row],[CurrentStock]]*Table1[[#This Row],[UnitPrice]]</f>
        <v>22360.959999999999</v>
      </c>
      <c r="M1972">
        <f>IF(Table1[[#This Row],[ReorderLevel]]-Table1[[#This Row],[CurrentStock]]&gt;0,Table1[[#This Row],[ReorderLevel]]-Table1[[#This Row],[CurrentStock]],"")</f>
        <v>16</v>
      </c>
      <c r="N1972" t="str">
        <f>IF(Table1[[#This Row],[CurrentStock]]&gt;Table1[[#This Row],[ReorderLevel]]*3,"Over Stock","Okay")</f>
        <v>Okay</v>
      </c>
      <c r="O1972" t="str">
        <f>IF(Table1[[#This Row],[CurrentStock]]&lt;Table1[[#This Row],[ReorderLevel]],"Reorder","Okay")</f>
        <v>Reorder</v>
      </c>
    </row>
    <row r="1973" spans="1:15" x14ac:dyDescent="0.3">
      <c r="A1973">
        <v>19013</v>
      </c>
      <c r="B1973" t="s">
        <v>21</v>
      </c>
      <c r="C1973" t="s">
        <v>31</v>
      </c>
      <c r="D1973">
        <v>494</v>
      </c>
      <c r="E1973">
        <v>80</v>
      </c>
      <c r="F1973">
        <v>328.51</v>
      </c>
      <c r="G1973" t="s">
        <v>33</v>
      </c>
      <c r="H1973" s="1">
        <v>45590</v>
      </c>
      <c r="I1973" s="1">
        <v>45602</v>
      </c>
      <c r="J1973" t="s">
        <v>38</v>
      </c>
      <c r="K1973" t="b">
        <f>Table1[[#This Row],[CurrentStock]]&lt;Table1[[#This Row],[ReorderLevel]]</f>
        <v>0</v>
      </c>
      <c r="L1973" s="9">
        <f>Table1[[#This Row],[CurrentStock]]*Table1[[#This Row],[UnitPrice]]</f>
        <v>162283.94</v>
      </c>
      <c r="M1973" t="str">
        <f>IF(Table1[[#This Row],[ReorderLevel]]-Table1[[#This Row],[CurrentStock]]&gt;0,Table1[[#This Row],[ReorderLevel]]-Table1[[#This Row],[CurrentStock]],"")</f>
        <v/>
      </c>
      <c r="N1973" t="str">
        <f>IF(Table1[[#This Row],[CurrentStock]]&gt;Table1[[#This Row],[ReorderLevel]]*3,"Over Stock","Okay")</f>
        <v>Over Stock</v>
      </c>
      <c r="O1973" t="str">
        <f>IF(Table1[[#This Row],[CurrentStock]]&lt;Table1[[#This Row],[ReorderLevel]],"Reorder","Okay")</f>
        <v>Okay</v>
      </c>
    </row>
    <row r="1974" spans="1:15" x14ac:dyDescent="0.3">
      <c r="A1974">
        <v>65773</v>
      </c>
      <c r="B1974" t="s">
        <v>19</v>
      </c>
      <c r="C1974" t="s">
        <v>28</v>
      </c>
      <c r="D1974">
        <v>203</v>
      </c>
      <c r="E1974">
        <v>20</v>
      </c>
      <c r="F1974">
        <v>200.6</v>
      </c>
      <c r="G1974" t="s">
        <v>32</v>
      </c>
      <c r="H1974" s="1">
        <v>45339</v>
      </c>
      <c r="I1974" s="1">
        <v>45361</v>
      </c>
      <c r="J1974" t="s">
        <v>39</v>
      </c>
      <c r="K1974" t="b">
        <f>Table1[[#This Row],[CurrentStock]]&lt;Table1[[#This Row],[ReorderLevel]]</f>
        <v>0</v>
      </c>
      <c r="L1974" s="9">
        <f>Table1[[#This Row],[CurrentStock]]*Table1[[#This Row],[UnitPrice]]</f>
        <v>40721.799999999996</v>
      </c>
      <c r="M1974" t="str">
        <f>IF(Table1[[#This Row],[ReorderLevel]]-Table1[[#This Row],[CurrentStock]]&gt;0,Table1[[#This Row],[ReorderLevel]]-Table1[[#This Row],[CurrentStock]],"")</f>
        <v/>
      </c>
      <c r="N1974" t="str">
        <f>IF(Table1[[#This Row],[CurrentStock]]&gt;Table1[[#This Row],[ReorderLevel]]*3,"Over Stock","Okay")</f>
        <v>Over Stock</v>
      </c>
      <c r="O1974" t="str">
        <f>IF(Table1[[#This Row],[CurrentStock]]&lt;Table1[[#This Row],[ReorderLevel]],"Reorder","Okay")</f>
        <v>Okay</v>
      </c>
    </row>
    <row r="1975" spans="1:15" x14ac:dyDescent="0.3">
      <c r="A1975">
        <v>57219</v>
      </c>
      <c r="B1975" t="s">
        <v>22</v>
      </c>
      <c r="C1975" t="s">
        <v>27</v>
      </c>
      <c r="D1975">
        <v>99</v>
      </c>
      <c r="E1975">
        <v>50</v>
      </c>
      <c r="F1975">
        <v>439.58</v>
      </c>
      <c r="G1975" t="s">
        <v>36</v>
      </c>
      <c r="H1975" s="1">
        <v>45571</v>
      </c>
      <c r="I1975" s="1">
        <v>45588</v>
      </c>
      <c r="J1975" t="s">
        <v>39</v>
      </c>
      <c r="K1975" t="b">
        <f>Table1[[#This Row],[CurrentStock]]&lt;Table1[[#This Row],[ReorderLevel]]</f>
        <v>0</v>
      </c>
      <c r="L1975" s="9">
        <f>Table1[[#This Row],[CurrentStock]]*Table1[[#This Row],[UnitPrice]]</f>
        <v>43518.42</v>
      </c>
      <c r="M1975" t="str">
        <f>IF(Table1[[#This Row],[ReorderLevel]]-Table1[[#This Row],[CurrentStock]]&gt;0,Table1[[#This Row],[ReorderLevel]]-Table1[[#This Row],[CurrentStock]],"")</f>
        <v/>
      </c>
      <c r="N1975" t="str">
        <f>IF(Table1[[#This Row],[CurrentStock]]&gt;Table1[[#This Row],[ReorderLevel]]*3,"Over Stock","Okay")</f>
        <v>Okay</v>
      </c>
      <c r="O1975" t="str">
        <f>IF(Table1[[#This Row],[CurrentStock]]&lt;Table1[[#This Row],[ReorderLevel]],"Reorder","Okay")</f>
        <v>Okay</v>
      </c>
    </row>
    <row r="1976" spans="1:15" x14ac:dyDescent="0.3">
      <c r="A1976">
        <v>26375</v>
      </c>
      <c r="B1976" t="s">
        <v>17</v>
      </c>
      <c r="C1976" t="s">
        <v>30</v>
      </c>
      <c r="D1976">
        <v>70</v>
      </c>
      <c r="E1976">
        <v>40</v>
      </c>
      <c r="F1976">
        <v>432.59</v>
      </c>
      <c r="G1976" t="s">
        <v>33</v>
      </c>
      <c r="H1976" s="1">
        <v>45436</v>
      </c>
      <c r="I1976" s="1">
        <v>45453</v>
      </c>
      <c r="J1976" t="s">
        <v>38</v>
      </c>
      <c r="K1976" t="b">
        <f>Table1[[#This Row],[CurrentStock]]&lt;Table1[[#This Row],[ReorderLevel]]</f>
        <v>0</v>
      </c>
      <c r="L1976" s="9">
        <f>Table1[[#This Row],[CurrentStock]]*Table1[[#This Row],[UnitPrice]]</f>
        <v>30281.3</v>
      </c>
      <c r="M1976" t="str">
        <f>IF(Table1[[#This Row],[ReorderLevel]]-Table1[[#This Row],[CurrentStock]]&gt;0,Table1[[#This Row],[ReorderLevel]]-Table1[[#This Row],[CurrentStock]],"")</f>
        <v/>
      </c>
      <c r="N1976" t="str">
        <f>IF(Table1[[#This Row],[CurrentStock]]&gt;Table1[[#This Row],[ReorderLevel]]*3,"Over Stock","Okay")</f>
        <v>Okay</v>
      </c>
      <c r="O1976" t="str">
        <f>IF(Table1[[#This Row],[CurrentStock]]&lt;Table1[[#This Row],[ReorderLevel]],"Reorder","Okay")</f>
        <v>Okay</v>
      </c>
    </row>
    <row r="1977" spans="1:15" x14ac:dyDescent="0.3">
      <c r="A1977">
        <v>94418</v>
      </c>
      <c r="B1977" t="s">
        <v>24</v>
      </c>
      <c r="C1977" t="s">
        <v>31</v>
      </c>
      <c r="D1977">
        <v>363</v>
      </c>
      <c r="E1977">
        <v>150</v>
      </c>
      <c r="F1977">
        <v>223.24</v>
      </c>
      <c r="G1977" t="s">
        <v>35</v>
      </c>
      <c r="H1977" s="1">
        <v>45420</v>
      </c>
      <c r="I1977" s="1">
        <v>45439</v>
      </c>
      <c r="J1977" t="s">
        <v>39</v>
      </c>
      <c r="K1977" t="b">
        <f>Table1[[#This Row],[CurrentStock]]&lt;Table1[[#This Row],[ReorderLevel]]</f>
        <v>0</v>
      </c>
      <c r="L1977" s="9">
        <f>Table1[[#This Row],[CurrentStock]]*Table1[[#This Row],[UnitPrice]]</f>
        <v>81036.12000000001</v>
      </c>
      <c r="M1977" t="str">
        <f>IF(Table1[[#This Row],[ReorderLevel]]-Table1[[#This Row],[CurrentStock]]&gt;0,Table1[[#This Row],[ReorderLevel]]-Table1[[#This Row],[CurrentStock]],"")</f>
        <v/>
      </c>
      <c r="N1977" t="str">
        <f>IF(Table1[[#This Row],[CurrentStock]]&gt;Table1[[#This Row],[ReorderLevel]]*3,"Over Stock","Okay")</f>
        <v>Okay</v>
      </c>
      <c r="O1977" t="str">
        <f>IF(Table1[[#This Row],[CurrentStock]]&lt;Table1[[#This Row],[ReorderLevel]],"Reorder","Okay")</f>
        <v>Okay</v>
      </c>
    </row>
    <row r="1978" spans="1:15" x14ac:dyDescent="0.3">
      <c r="A1978">
        <v>97049</v>
      </c>
      <c r="B1978" t="s">
        <v>25</v>
      </c>
      <c r="C1978" t="s">
        <v>31</v>
      </c>
      <c r="D1978">
        <v>77</v>
      </c>
      <c r="E1978">
        <v>50</v>
      </c>
      <c r="F1978">
        <v>491.38</v>
      </c>
      <c r="G1978" t="s">
        <v>34</v>
      </c>
      <c r="H1978" s="1">
        <v>45519</v>
      </c>
      <c r="I1978" s="1">
        <v>45547</v>
      </c>
      <c r="J1978" t="s">
        <v>39</v>
      </c>
      <c r="K1978" t="b">
        <f>Table1[[#This Row],[CurrentStock]]&lt;Table1[[#This Row],[ReorderLevel]]</f>
        <v>0</v>
      </c>
      <c r="L1978" s="9">
        <f>Table1[[#This Row],[CurrentStock]]*Table1[[#This Row],[UnitPrice]]</f>
        <v>37836.26</v>
      </c>
      <c r="M1978" t="str">
        <f>IF(Table1[[#This Row],[ReorderLevel]]-Table1[[#This Row],[CurrentStock]]&gt;0,Table1[[#This Row],[ReorderLevel]]-Table1[[#This Row],[CurrentStock]],"")</f>
        <v/>
      </c>
      <c r="N1978" t="str">
        <f>IF(Table1[[#This Row],[CurrentStock]]&gt;Table1[[#This Row],[ReorderLevel]]*3,"Over Stock","Okay")</f>
        <v>Okay</v>
      </c>
      <c r="O1978" t="str">
        <f>IF(Table1[[#This Row],[CurrentStock]]&lt;Table1[[#This Row],[ReorderLevel]],"Reorder","Okay")</f>
        <v>Okay</v>
      </c>
    </row>
    <row r="1979" spans="1:15" x14ac:dyDescent="0.3">
      <c r="A1979">
        <v>39870</v>
      </c>
      <c r="B1979" t="s">
        <v>25</v>
      </c>
      <c r="C1979" t="s">
        <v>31</v>
      </c>
      <c r="D1979">
        <v>316</v>
      </c>
      <c r="E1979">
        <v>50</v>
      </c>
      <c r="F1979">
        <v>349.69</v>
      </c>
      <c r="G1979" t="s">
        <v>32</v>
      </c>
      <c r="H1979" s="1">
        <v>45309</v>
      </c>
      <c r="I1979" s="1">
        <v>45320</v>
      </c>
      <c r="J1979" t="s">
        <v>38</v>
      </c>
      <c r="K1979" t="b">
        <f>Table1[[#This Row],[CurrentStock]]&lt;Table1[[#This Row],[ReorderLevel]]</f>
        <v>0</v>
      </c>
      <c r="L1979" s="9">
        <f>Table1[[#This Row],[CurrentStock]]*Table1[[#This Row],[UnitPrice]]</f>
        <v>110502.04</v>
      </c>
      <c r="M1979" t="str">
        <f>IF(Table1[[#This Row],[ReorderLevel]]-Table1[[#This Row],[CurrentStock]]&gt;0,Table1[[#This Row],[ReorderLevel]]-Table1[[#This Row],[CurrentStock]],"")</f>
        <v/>
      </c>
      <c r="N1979" t="str">
        <f>IF(Table1[[#This Row],[CurrentStock]]&gt;Table1[[#This Row],[ReorderLevel]]*3,"Over Stock","Okay")</f>
        <v>Over Stock</v>
      </c>
      <c r="O1979" t="str">
        <f>IF(Table1[[#This Row],[CurrentStock]]&lt;Table1[[#This Row],[ReorderLevel]],"Reorder","Okay")</f>
        <v>Okay</v>
      </c>
    </row>
    <row r="1980" spans="1:15" x14ac:dyDescent="0.3">
      <c r="A1980">
        <v>16590</v>
      </c>
      <c r="B1980" t="s">
        <v>19</v>
      </c>
      <c r="C1980" t="s">
        <v>28</v>
      </c>
      <c r="D1980">
        <v>324</v>
      </c>
      <c r="E1980">
        <v>30</v>
      </c>
      <c r="F1980">
        <v>167.77</v>
      </c>
      <c r="G1980" t="s">
        <v>35</v>
      </c>
      <c r="H1980" s="1">
        <v>45632</v>
      </c>
      <c r="I1980" s="1">
        <v>45655</v>
      </c>
      <c r="J1980" t="s">
        <v>38</v>
      </c>
      <c r="K1980" t="b">
        <f>Table1[[#This Row],[CurrentStock]]&lt;Table1[[#This Row],[ReorderLevel]]</f>
        <v>0</v>
      </c>
      <c r="L1980" s="9">
        <f>Table1[[#This Row],[CurrentStock]]*Table1[[#This Row],[UnitPrice]]</f>
        <v>54357.48</v>
      </c>
      <c r="M1980" t="str">
        <f>IF(Table1[[#This Row],[ReorderLevel]]-Table1[[#This Row],[CurrentStock]]&gt;0,Table1[[#This Row],[ReorderLevel]]-Table1[[#This Row],[CurrentStock]],"")</f>
        <v/>
      </c>
      <c r="N1980" t="str">
        <f>IF(Table1[[#This Row],[CurrentStock]]&gt;Table1[[#This Row],[ReorderLevel]]*3,"Over Stock","Okay")</f>
        <v>Over Stock</v>
      </c>
      <c r="O1980" t="str">
        <f>IF(Table1[[#This Row],[CurrentStock]]&lt;Table1[[#This Row],[ReorderLevel]],"Reorder","Okay")</f>
        <v>Okay</v>
      </c>
    </row>
    <row r="1981" spans="1:15" x14ac:dyDescent="0.3">
      <c r="A1981">
        <v>47499</v>
      </c>
      <c r="B1981" t="s">
        <v>12</v>
      </c>
      <c r="C1981" t="s">
        <v>28</v>
      </c>
      <c r="D1981">
        <v>309</v>
      </c>
      <c r="E1981">
        <v>150</v>
      </c>
      <c r="F1981">
        <v>234.1</v>
      </c>
      <c r="G1981" t="s">
        <v>36</v>
      </c>
      <c r="H1981" s="1">
        <v>45546</v>
      </c>
      <c r="I1981" s="1">
        <v>45585</v>
      </c>
      <c r="J1981" t="s">
        <v>38</v>
      </c>
      <c r="K1981" t="b">
        <f>Table1[[#This Row],[CurrentStock]]&lt;Table1[[#This Row],[ReorderLevel]]</f>
        <v>0</v>
      </c>
      <c r="L1981" s="9">
        <f>Table1[[#This Row],[CurrentStock]]*Table1[[#This Row],[UnitPrice]]</f>
        <v>72336.899999999994</v>
      </c>
      <c r="M1981" t="str">
        <f>IF(Table1[[#This Row],[ReorderLevel]]-Table1[[#This Row],[CurrentStock]]&gt;0,Table1[[#This Row],[ReorderLevel]]-Table1[[#This Row],[CurrentStock]],"")</f>
        <v/>
      </c>
      <c r="N1981" t="str">
        <f>IF(Table1[[#This Row],[CurrentStock]]&gt;Table1[[#This Row],[ReorderLevel]]*3,"Over Stock","Okay")</f>
        <v>Okay</v>
      </c>
      <c r="O1981" t="str">
        <f>IF(Table1[[#This Row],[CurrentStock]]&lt;Table1[[#This Row],[ReorderLevel]],"Reorder","Okay")</f>
        <v>Okay</v>
      </c>
    </row>
    <row r="1982" spans="1:15" x14ac:dyDescent="0.3">
      <c r="A1982">
        <v>25852</v>
      </c>
      <c r="B1982" t="s">
        <v>17</v>
      </c>
      <c r="C1982" t="s">
        <v>30</v>
      </c>
      <c r="D1982">
        <v>106</v>
      </c>
      <c r="E1982">
        <v>80</v>
      </c>
      <c r="F1982">
        <v>263.97000000000003</v>
      </c>
      <c r="G1982" t="s">
        <v>33</v>
      </c>
      <c r="H1982" s="1">
        <v>45477</v>
      </c>
      <c r="I1982" s="1">
        <v>45513</v>
      </c>
      <c r="J1982" t="s">
        <v>38</v>
      </c>
      <c r="K1982" t="b">
        <f>Table1[[#This Row],[CurrentStock]]&lt;Table1[[#This Row],[ReorderLevel]]</f>
        <v>0</v>
      </c>
      <c r="L1982" s="9">
        <f>Table1[[#This Row],[CurrentStock]]*Table1[[#This Row],[UnitPrice]]</f>
        <v>27980.820000000003</v>
      </c>
      <c r="M1982" t="str">
        <f>IF(Table1[[#This Row],[ReorderLevel]]-Table1[[#This Row],[CurrentStock]]&gt;0,Table1[[#This Row],[ReorderLevel]]-Table1[[#This Row],[CurrentStock]],"")</f>
        <v/>
      </c>
      <c r="N1982" t="str">
        <f>IF(Table1[[#This Row],[CurrentStock]]&gt;Table1[[#This Row],[ReorderLevel]]*3,"Over Stock","Okay")</f>
        <v>Okay</v>
      </c>
      <c r="O1982" t="str">
        <f>IF(Table1[[#This Row],[CurrentStock]]&lt;Table1[[#This Row],[ReorderLevel]],"Reorder","Okay")</f>
        <v>Okay</v>
      </c>
    </row>
    <row r="1983" spans="1:15" x14ac:dyDescent="0.3">
      <c r="A1983">
        <v>19895</v>
      </c>
      <c r="B1983" t="s">
        <v>13</v>
      </c>
      <c r="C1983" t="s">
        <v>29</v>
      </c>
      <c r="D1983">
        <v>403</v>
      </c>
      <c r="E1983">
        <v>80</v>
      </c>
      <c r="F1983">
        <v>22.64</v>
      </c>
      <c r="G1983" t="s">
        <v>36</v>
      </c>
      <c r="H1983" s="1">
        <v>45340</v>
      </c>
      <c r="I1983" s="1">
        <v>45363</v>
      </c>
      <c r="J1983" t="s">
        <v>38</v>
      </c>
      <c r="K1983" t="b">
        <f>Table1[[#This Row],[CurrentStock]]&lt;Table1[[#This Row],[ReorderLevel]]</f>
        <v>0</v>
      </c>
      <c r="L1983" s="9">
        <f>Table1[[#This Row],[CurrentStock]]*Table1[[#This Row],[UnitPrice]]</f>
        <v>9123.92</v>
      </c>
      <c r="M1983" t="str">
        <f>IF(Table1[[#This Row],[ReorderLevel]]-Table1[[#This Row],[CurrentStock]]&gt;0,Table1[[#This Row],[ReorderLevel]]-Table1[[#This Row],[CurrentStock]],"")</f>
        <v/>
      </c>
      <c r="N1983" t="str">
        <f>IF(Table1[[#This Row],[CurrentStock]]&gt;Table1[[#This Row],[ReorderLevel]]*3,"Over Stock","Okay")</f>
        <v>Over Stock</v>
      </c>
      <c r="O1983" t="str">
        <f>IF(Table1[[#This Row],[CurrentStock]]&lt;Table1[[#This Row],[ReorderLevel]],"Reorder","Okay")</f>
        <v>Okay</v>
      </c>
    </row>
    <row r="1984" spans="1:15" x14ac:dyDescent="0.3">
      <c r="A1984">
        <v>37431</v>
      </c>
      <c r="B1984" t="s">
        <v>24</v>
      </c>
      <c r="C1984" t="s">
        <v>31</v>
      </c>
      <c r="D1984">
        <v>390</v>
      </c>
      <c r="E1984">
        <v>40</v>
      </c>
      <c r="F1984">
        <v>460.59</v>
      </c>
      <c r="G1984" t="s">
        <v>32</v>
      </c>
      <c r="H1984" s="1">
        <v>45588</v>
      </c>
      <c r="I1984" s="1">
        <v>45595</v>
      </c>
      <c r="J1984" t="s">
        <v>38</v>
      </c>
      <c r="K1984" t="b">
        <f>Table1[[#This Row],[CurrentStock]]&lt;Table1[[#This Row],[ReorderLevel]]</f>
        <v>0</v>
      </c>
      <c r="L1984" s="9">
        <f>Table1[[#This Row],[CurrentStock]]*Table1[[#This Row],[UnitPrice]]</f>
        <v>179630.09999999998</v>
      </c>
      <c r="M1984" t="str">
        <f>IF(Table1[[#This Row],[ReorderLevel]]-Table1[[#This Row],[CurrentStock]]&gt;0,Table1[[#This Row],[ReorderLevel]]-Table1[[#This Row],[CurrentStock]],"")</f>
        <v/>
      </c>
      <c r="N1984" t="str">
        <f>IF(Table1[[#This Row],[CurrentStock]]&gt;Table1[[#This Row],[ReorderLevel]]*3,"Over Stock","Okay")</f>
        <v>Over Stock</v>
      </c>
      <c r="O1984" t="str">
        <f>IF(Table1[[#This Row],[CurrentStock]]&lt;Table1[[#This Row],[ReorderLevel]],"Reorder","Okay")</f>
        <v>Okay</v>
      </c>
    </row>
    <row r="1985" spans="1:15" x14ac:dyDescent="0.3">
      <c r="A1985">
        <v>24887</v>
      </c>
      <c r="B1985" t="s">
        <v>22</v>
      </c>
      <c r="C1985" t="s">
        <v>27</v>
      </c>
      <c r="D1985">
        <v>403</v>
      </c>
      <c r="E1985">
        <v>20</v>
      </c>
      <c r="F1985">
        <v>57.77</v>
      </c>
      <c r="G1985" t="s">
        <v>36</v>
      </c>
      <c r="H1985" s="1">
        <v>45399</v>
      </c>
      <c r="I1985" s="1">
        <v>45427</v>
      </c>
      <c r="J1985" t="s">
        <v>38</v>
      </c>
      <c r="K1985" t="b">
        <f>Table1[[#This Row],[CurrentStock]]&lt;Table1[[#This Row],[ReorderLevel]]</f>
        <v>0</v>
      </c>
      <c r="L1985" s="9">
        <f>Table1[[#This Row],[CurrentStock]]*Table1[[#This Row],[UnitPrice]]</f>
        <v>23281.31</v>
      </c>
      <c r="M1985" t="str">
        <f>IF(Table1[[#This Row],[ReorderLevel]]-Table1[[#This Row],[CurrentStock]]&gt;0,Table1[[#This Row],[ReorderLevel]]-Table1[[#This Row],[CurrentStock]],"")</f>
        <v/>
      </c>
      <c r="N1985" t="str">
        <f>IF(Table1[[#This Row],[CurrentStock]]&gt;Table1[[#This Row],[ReorderLevel]]*3,"Over Stock","Okay")</f>
        <v>Over Stock</v>
      </c>
      <c r="O1985" t="str">
        <f>IF(Table1[[#This Row],[CurrentStock]]&lt;Table1[[#This Row],[ReorderLevel]],"Reorder","Okay")</f>
        <v>Okay</v>
      </c>
    </row>
    <row r="1986" spans="1:15" x14ac:dyDescent="0.3">
      <c r="A1986">
        <v>90875</v>
      </c>
      <c r="B1986" t="s">
        <v>10</v>
      </c>
      <c r="C1986" t="s">
        <v>27</v>
      </c>
      <c r="D1986">
        <v>331</v>
      </c>
      <c r="E1986">
        <v>20</v>
      </c>
      <c r="F1986">
        <v>217.76</v>
      </c>
      <c r="G1986" t="s">
        <v>33</v>
      </c>
      <c r="H1986" s="1">
        <v>45549</v>
      </c>
      <c r="I1986" s="1">
        <v>45559</v>
      </c>
      <c r="J1986" t="s">
        <v>38</v>
      </c>
      <c r="K1986" t="b">
        <f>Table1[[#This Row],[CurrentStock]]&lt;Table1[[#This Row],[ReorderLevel]]</f>
        <v>0</v>
      </c>
      <c r="L1986" s="9">
        <f>Table1[[#This Row],[CurrentStock]]*Table1[[#This Row],[UnitPrice]]</f>
        <v>72078.559999999998</v>
      </c>
      <c r="M1986" t="str">
        <f>IF(Table1[[#This Row],[ReorderLevel]]-Table1[[#This Row],[CurrentStock]]&gt;0,Table1[[#This Row],[ReorderLevel]]-Table1[[#This Row],[CurrentStock]],"")</f>
        <v/>
      </c>
      <c r="N1986" t="str">
        <f>IF(Table1[[#This Row],[CurrentStock]]&gt;Table1[[#This Row],[ReorderLevel]]*3,"Over Stock","Okay")</f>
        <v>Over Stock</v>
      </c>
      <c r="O1986" t="str">
        <f>IF(Table1[[#This Row],[CurrentStock]]&lt;Table1[[#This Row],[ReorderLevel]],"Reorder","Okay")</f>
        <v>Okay</v>
      </c>
    </row>
    <row r="1987" spans="1:15" x14ac:dyDescent="0.3">
      <c r="A1987">
        <v>75471</v>
      </c>
      <c r="B1987" t="s">
        <v>16</v>
      </c>
      <c r="C1987" t="s">
        <v>30</v>
      </c>
      <c r="D1987">
        <v>209</v>
      </c>
      <c r="E1987">
        <v>20</v>
      </c>
      <c r="F1987">
        <v>43.97</v>
      </c>
      <c r="G1987" t="s">
        <v>34</v>
      </c>
      <c r="H1987" s="1">
        <v>45529</v>
      </c>
      <c r="I1987" s="1">
        <v>45549</v>
      </c>
      <c r="J1987" t="s">
        <v>37</v>
      </c>
      <c r="K1987" t="b">
        <f>Table1[[#This Row],[CurrentStock]]&lt;Table1[[#This Row],[ReorderLevel]]</f>
        <v>0</v>
      </c>
      <c r="L1987" s="9">
        <f>Table1[[#This Row],[CurrentStock]]*Table1[[#This Row],[UnitPrice]]</f>
        <v>9189.73</v>
      </c>
      <c r="M1987" t="str">
        <f>IF(Table1[[#This Row],[ReorderLevel]]-Table1[[#This Row],[CurrentStock]]&gt;0,Table1[[#This Row],[ReorderLevel]]-Table1[[#This Row],[CurrentStock]],"")</f>
        <v/>
      </c>
      <c r="N1987" t="str">
        <f>IF(Table1[[#This Row],[CurrentStock]]&gt;Table1[[#This Row],[ReorderLevel]]*3,"Over Stock","Okay")</f>
        <v>Over Stock</v>
      </c>
      <c r="O1987" t="str">
        <f>IF(Table1[[#This Row],[CurrentStock]]&lt;Table1[[#This Row],[ReorderLevel]],"Reorder","Okay")</f>
        <v>Okay</v>
      </c>
    </row>
    <row r="1988" spans="1:15" x14ac:dyDescent="0.3">
      <c r="A1988">
        <v>26533</v>
      </c>
      <c r="B1988" t="s">
        <v>10</v>
      </c>
      <c r="C1988" t="s">
        <v>27</v>
      </c>
      <c r="D1988">
        <v>278</v>
      </c>
      <c r="E1988">
        <v>80</v>
      </c>
      <c r="F1988">
        <v>308.45999999999998</v>
      </c>
      <c r="G1988" t="s">
        <v>32</v>
      </c>
      <c r="H1988" s="1">
        <v>45342</v>
      </c>
      <c r="I1988" s="1">
        <v>45372</v>
      </c>
      <c r="J1988" t="s">
        <v>39</v>
      </c>
      <c r="K1988" t="b">
        <f>Table1[[#This Row],[CurrentStock]]&lt;Table1[[#This Row],[ReorderLevel]]</f>
        <v>0</v>
      </c>
      <c r="L1988" s="9">
        <f>Table1[[#This Row],[CurrentStock]]*Table1[[#This Row],[UnitPrice]]</f>
        <v>85751.87999999999</v>
      </c>
      <c r="M1988" t="str">
        <f>IF(Table1[[#This Row],[ReorderLevel]]-Table1[[#This Row],[CurrentStock]]&gt;0,Table1[[#This Row],[ReorderLevel]]-Table1[[#This Row],[CurrentStock]],"")</f>
        <v/>
      </c>
      <c r="N1988" t="str">
        <f>IF(Table1[[#This Row],[CurrentStock]]&gt;Table1[[#This Row],[ReorderLevel]]*3,"Over Stock","Okay")</f>
        <v>Over Stock</v>
      </c>
      <c r="O1988" t="str">
        <f>IF(Table1[[#This Row],[CurrentStock]]&lt;Table1[[#This Row],[ReorderLevel]],"Reorder","Okay")</f>
        <v>Okay</v>
      </c>
    </row>
    <row r="1989" spans="1:15" x14ac:dyDescent="0.3">
      <c r="A1989">
        <v>23654</v>
      </c>
      <c r="B1989" t="s">
        <v>18</v>
      </c>
      <c r="C1989" t="s">
        <v>28</v>
      </c>
      <c r="D1989">
        <v>493</v>
      </c>
      <c r="E1989">
        <v>150</v>
      </c>
      <c r="F1989">
        <v>337.62</v>
      </c>
      <c r="G1989" t="s">
        <v>36</v>
      </c>
      <c r="H1989" s="1">
        <v>45465</v>
      </c>
      <c r="I1989" s="1">
        <v>45495</v>
      </c>
      <c r="J1989" t="s">
        <v>37</v>
      </c>
      <c r="K1989" t="b">
        <f>Table1[[#This Row],[CurrentStock]]&lt;Table1[[#This Row],[ReorderLevel]]</f>
        <v>0</v>
      </c>
      <c r="L1989" s="9">
        <f>Table1[[#This Row],[CurrentStock]]*Table1[[#This Row],[UnitPrice]]</f>
        <v>166446.66</v>
      </c>
      <c r="M1989" t="str">
        <f>IF(Table1[[#This Row],[ReorderLevel]]-Table1[[#This Row],[CurrentStock]]&gt;0,Table1[[#This Row],[ReorderLevel]]-Table1[[#This Row],[CurrentStock]],"")</f>
        <v/>
      </c>
      <c r="N1989" t="str">
        <f>IF(Table1[[#This Row],[CurrentStock]]&gt;Table1[[#This Row],[ReorderLevel]]*3,"Over Stock","Okay")</f>
        <v>Over Stock</v>
      </c>
      <c r="O1989" t="str">
        <f>IF(Table1[[#This Row],[CurrentStock]]&lt;Table1[[#This Row],[ReorderLevel]],"Reorder","Okay")</f>
        <v>Okay</v>
      </c>
    </row>
    <row r="1990" spans="1:15" x14ac:dyDescent="0.3">
      <c r="A1990">
        <v>74934</v>
      </c>
      <c r="B1990" t="s">
        <v>15</v>
      </c>
      <c r="C1990" t="s">
        <v>29</v>
      </c>
      <c r="D1990">
        <v>11</v>
      </c>
      <c r="E1990">
        <v>80</v>
      </c>
      <c r="F1990">
        <v>248.62</v>
      </c>
      <c r="G1990" t="s">
        <v>32</v>
      </c>
      <c r="H1990" s="1">
        <v>45357</v>
      </c>
      <c r="I1990" s="1">
        <v>45373</v>
      </c>
      <c r="J1990" t="s">
        <v>39</v>
      </c>
      <c r="K1990" t="b">
        <f>Table1[[#This Row],[CurrentStock]]&lt;Table1[[#This Row],[ReorderLevel]]</f>
        <v>1</v>
      </c>
      <c r="L1990" s="9">
        <f>Table1[[#This Row],[CurrentStock]]*Table1[[#This Row],[UnitPrice]]</f>
        <v>2734.82</v>
      </c>
      <c r="M1990">
        <f>IF(Table1[[#This Row],[ReorderLevel]]-Table1[[#This Row],[CurrentStock]]&gt;0,Table1[[#This Row],[ReorderLevel]]-Table1[[#This Row],[CurrentStock]],"")</f>
        <v>69</v>
      </c>
      <c r="N1990" t="str">
        <f>IF(Table1[[#This Row],[CurrentStock]]&gt;Table1[[#This Row],[ReorderLevel]]*3,"Over Stock","Okay")</f>
        <v>Okay</v>
      </c>
      <c r="O1990" t="str">
        <f>IF(Table1[[#This Row],[CurrentStock]]&lt;Table1[[#This Row],[ReorderLevel]],"Reorder","Okay")</f>
        <v>Reorder</v>
      </c>
    </row>
    <row r="1991" spans="1:15" x14ac:dyDescent="0.3">
      <c r="A1991">
        <v>92627</v>
      </c>
      <c r="B1991" t="s">
        <v>12</v>
      </c>
      <c r="C1991" t="s">
        <v>28</v>
      </c>
      <c r="D1991">
        <v>234</v>
      </c>
      <c r="E1991">
        <v>40</v>
      </c>
      <c r="F1991">
        <v>223.84</v>
      </c>
      <c r="G1991" t="s">
        <v>33</v>
      </c>
      <c r="H1991" s="1">
        <v>45533</v>
      </c>
      <c r="I1991" s="1">
        <v>45562</v>
      </c>
      <c r="J1991" t="s">
        <v>38</v>
      </c>
      <c r="K1991" t="b">
        <f>Table1[[#This Row],[CurrentStock]]&lt;Table1[[#This Row],[ReorderLevel]]</f>
        <v>0</v>
      </c>
      <c r="L1991" s="9">
        <f>Table1[[#This Row],[CurrentStock]]*Table1[[#This Row],[UnitPrice]]</f>
        <v>52378.559999999998</v>
      </c>
      <c r="M1991" t="str">
        <f>IF(Table1[[#This Row],[ReorderLevel]]-Table1[[#This Row],[CurrentStock]]&gt;0,Table1[[#This Row],[ReorderLevel]]-Table1[[#This Row],[CurrentStock]],"")</f>
        <v/>
      </c>
      <c r="N1991" t="str">
        <f>IF(Table1[[#This Row],[CurrentStock]]&gt;Table1[[#This Row],[ReorderLevel]]*3,"Over Stock","Okay")</f>
        <v>Over Stock</v>
      </c>
      <c r="O1991" t="str">
        <f>IF(Table1[[#This Row],[CurrentStock]]&lt;Table1[[#This Row],[ReorderLevel]],"Reorder","Okay")</f>
        <v>Okay</v>
      </c>
    </row>
    <row r="1992" spans="1:15" x14ac:dyDescent="0.3">
      <c r="A1992">
        <v>59999</v>
      </c>
      <c r="B1992" t="s">
        <v>17</v>
      </c>
      <c r="C1992" t="s">
        <v>30</v>
      </c>
      <c r="D1992">
        <v>446</v>
      </c>
      <c r="E1992">
        <v>100</v>
      </c>
      <c r="F1992">
        <v>232.1</v>
      </c>
      <c r="G1992" t="s">
        <v>33</v>
      </c>
      <c r="H1992" s="1">
        <v>45648</v>
      </c>
      <c r="I1992" s="1">
        <v>45655</v>
      </c>
      <c r="J1992" t="s">
        <v>38</v>
      </c>
      <c r="K1992" t="b">
        <f>Table1[[#This Row],[CurrentStock]]&lt;Table1[[#This Row],[ReorderLevel]]</f>
        <v>0</v>
      </c>
      <c r="L1992" s="9">
        <f>Table1[[#This Row],[CurrentStock]]*Table1[[#This Row],[UnitPrice]]</f>
        <v>103516.59999999999</v>
      </c>
      <c r="M1992" t="str">
        <f>IF(Table1[[#This Row],[ReorderLevel]]-Table1[[#This Row],[CurrentStock]]&gt;0,Table1[[#This Row],[ReorderLevel]]-Table1[[#This Row],[CurrentStock]],"")</f>
        <v/>
      </c>
      <c r="N1992" t="str">
        <f>IF(Table1[[#This Row],[CurrentStock]]&gt;Table1[[#This Row],[ReorderLevel]]*3,"Over Stock","Okay")</f>
        <v>Over Stock</v>
      </c>
      <c r="O1992" t="str">
        <f>IF(Table1[[#This Row],[CurrentStock]]&lt;Table1[[#This Row],[ReorderLevel]],"Reorder","Okay")</f>
        <v>Okay</v>
      </c>
    </row>
    <row r="1993" spans="1:15" x14ac:dyDescent="0.3">
      <c r="A1993">
        <v>66982</v>
      </c>
      <c r="B1993" t="s">
        <v>15</v>
      </c>
      <c r="C1993" t="s">
        <v>29</v>
      </c>
      <c r="D1993">
        <v>398</v>
      </c>
      <c r="E1993">
        <v>20</v>
      </c>
      <c r="F1993">
        <v>88.89</v>
      </c>
      <c r="G1993" t="s">
        <v>34</v>
      </c>
      <c r="H1993" s="1">
        <v>45489</v>
      </c>
      <c r="I1993" s="1">
        <v>45520</v>
      </c>
      <c r="J1993" t="s">
        <v>37</v>
      </c>
      <c r="K1993" t="b">
        <f>Table1[[#This Row],[CurrentStock]]&lt;Table1[[#This Row],[ReorderLevel]]</f>
        <v>0</v>
      </c>
      <c r="L1993" s="9">
        <f>Table1[[#This Row],[CurrentStock]]*Table1[[#This Row],[UnitPrice]]</f>
        <v>35378.22</v>
      </c>
      <c r="M1993" t="str">
        <f>IF(Table1[[#This Row],[ReorderLevel]]-Table1[[#This Row],[CurrentStock]]&gt;0,Table1[[#This Row],[ReorderLevel]]-Table1[[#This Row],[CurrentStock]],"")</f>
        <v/>
      </c>
      <c r="N1993" t="str">
        <f>IF(Table1[[#This Row],[CurrentStock]]&gt;Table1[[#This Row],[ReorderLevel]]*3,"Over Stock","Okay")</f>
        <v>Over Stock</v>
      </c>
      <c r="O1993" t="str">
        <f>IF(Table1[[#This Row],[CurrentStock]]&lt;Table1[[#This Row],[ReorderLevel]],"Reorder","Okay")</f>
        <v>Okay</v>
      </c>
    </row>
    <row r="1994" spans="1:15" x14ac:dyDescent="0.3">
      <c r="A1994">
        <v>58225</v>
      </c>
      <c r="B1994" t="s">
        <v>14</v>
      </c>
      <c r="C1994" t="s">
        <v>27</v>
      </c>
      <c r="D1994">
        <v>132</v>
      </c>
      <c r="E1994">
        <v>20</v>
      </c>
      <c r="F1994">
        <v>319.3</v>
      </c>
      <c r="G1994" t="s">
        <v>35</v>
      </c>
      <c r="H1994" s="1">
        <v>45373</v>
      </c>
      <c r="I1994" s="1">
        <v>45399</v>
      </c>
      <c r="J1994" t="s">
        <v>38</v>
      </c>
      <c r="K1994" t="b">
        <f>Table1[[#This Row],[CurrentStock]]&lt;Table1[[#This Row],[ReorderLevel]]</f>
        <v>0</v>
      </c>
      <c r="L1994" s="9">
        <f>Table1[[#This Row],[CurrentStock]]*Table1[[#This Row],[UnitPrice]]</f>
        <v>42147.6</v>
      </c>
      <c r="M1994" t="str">
        <f>IF(Table1[[#This Row],[ReorderLevel]]-Table1[[#This Row],[CurrentStock]]&gt;0,Table1[[#This Row],[ReorderLevel]]-Table1[[#This Row],[CurrentStock]],"")</f>
        <v/>
      </c>
      <c r="N1994" t="str">
        <f>IF(Table1[[#This Row],[CurrentStock]]&gt;Table1[[#This Row],[ReorderLevel]]*3,"Over Stock","Okay")</f>
        <v>Over Stock</v>
      </c>
      <c r="O1994" t="str">
        <f>IF(Table1[[#This Row],[CurrentStock]]&lt;Table1[[#This Row],[ReorderLevel]],"Reorder","Okay")</f>
        <v>Okay</v>
      </c>
    </row>
    <row r="1995" spans="1:15" x14ac:dyDescent="0.3">
      <c r="A1995">
        <v>10973</v>
      </c>
      <c r="B1995" t="s">
        <v>23</v>
      </c>
      <c r="C1995" t="s">
        <v>30</v>
      </c>
      <c r="D1995">
        <v>474</v>
      </c>
      <c r="E1995">
        <v>80</v>
      </c>
      <c r="F1995">
        <v>426.68</v>
      </c>
      <c r="G1995" t="s">
        <v>35</v>
      </c>
      <c r="H1995" s="1">
        <v>45448</v>
      </c>
      <c r="I1995" s="1">
        <v>45474</v>
      </c>
      <c r="J1995" t="s">
        <v>38</v>
      </c>
      <c r="K1995" t="b">
        <f>Table1[[#This Row],[CurrentStock]]&lt;Table1[[#This Row],[ReorderLevel]]</f>
        <v>0</v>
      </c>
      <c r="L1995" s="9">
        <f>Table1[[#This Row],[CurrentStock]]*Table1[[#This Row],[UnitPrice]]</f>
        <v>202246.32</v>
      </c>
      <c r="M1995" t="str">
        <f>IF(Table1[[#This Row],[ReorderLevel]]-Table1[[#This Row],[CurrentStock]]&gt;0,Table1[[#This Row],[ReorderLevel]]-Table1[[#This Row],[CurrentStock]],"")</f>
        <v/>
      </c>
      <c r="N1995" t="str">
        <f>IF(Table1[[#This Row],[CurrentStock]]&gt;Table1[[#This Row],[ReorderLevel]]*3,"Over Stock","Okay")</f>
        <v>Over Stock</v>
      </c>
      <c r="O1995" t="str">
        <f>IF(Table1[[#This Row],[CurrentStock]]&lt;Table1[[#This Row],[ReorderLevel]],"Reorder","Okay")</f>
        <v>Okay</v>
      </c>
    </row>
    <row r="1996" spans="1:15" x14ac:dyDescent="0.3">
      <c r="A1996">
        <v>81980</v>
      </c>
      <c r="B1996" t="s">
        <v>15</v>
      </c>
      <c r="C1996" t="s">
        <v>29</v>
      </c>
      <c r="D1996">
        <v>59</v>
      </c>
      <c r="E1996">
        <v>100</v>
      </c>
      <c r="F1996">
        <v>259.95</v>
      </c>
      <c r="G1996" t="s">
        <v>33</v>
      </c>
      <c r="H1996" s="1">
        <v>45550</v>
      </c>
      <c r="I1996" s="1">
        <v>45588</v>
      </c>
      <c r="J1996" t="s">
        <v>39</v>
      </c>
      <c r="K1996" t="b">
        <f>Table1[[#This Row],[CurrentStock]]&lt;Table1[[#This Row],[ReorderLevel]]</f>
        <v>1</v>
      </c>
      <c r="L1996" s="9">
        <f>Table1[[#This Row],[CurrentStock]]*Table1[[#This Row],[UnitPrice]]</f>
        <v>15337.05</v>
      </c>
      <c r="M1996">
        <f>IF(Table1[[#This Row],[ReorderLevel]]-Table1[[#This Row],[CurrentStock]]&gt;0,Table1[[#This Row],[ReorderLevel]]-Table1[[#This Row],[CurrentStock]],"")</f>
        <v>41</v>
      </c>
      <c r="N1996" t="str">
        <f>IF(Table1[[#This Row],[CurrentStock]]&gt;Table1[[#This Row],[ReorderLevel]]*3,"Over Stock","Okay")</f>
        <v>Okay</v>
      </c>
      <c r="O1996" t="str">
        <f>IF(Table1[[#This Row],[CurrentStock]]&lt;Table1[[#This Row],[ReorderLevel]],"Reorder","Okay")</f>
        <v>Reorder</v>
      </c>
    </row>
    <row r="1997" spans="1:15" x14ac:dyDescent="0.3">
      <c r="A1997">
        <v>94834</v>
      </c>
      <c r="B1997" t="s">
        <v>16</v>
      </c>
      <c r="C1997" t="s">
        <v>30</v>
      </c>
      <c r="D1997">
        <v>187</v>
      </c>
      <c r="E1997">
        <v>80</v>
      </c>
      <c r="F1997">
        <v>44.86</v>
      </c>
      <c r="G1997" t="s">
        <v>36</v>
      </c>
      <c r="H1997" s="1">
        <v>45515</v>
      </c>
      <c r="I1997" s="1">
        <v>45542</v>
      </c>
      <c r="J1997" t="s">
        <v>38</v>
      </c>
      <c r="K1997" t="b">
        <f>Table1[[#This Row],[CurrentStock]]&lt;Table1[[#This Row],[ReorderLevel]]</f>
        <v>0</v>
      </c>
      <c r="L1997" s="9">
        <f>Table1[[#This Row],[CurrentStock]]*Table1[[#This Row],[UnitPrice]]</f>
        <v>8388.82</v>
      </c>
      <c r="M1997" t="str">
        <f>IF(Table1[[#This Row],[ReorderLevel]]-Table1[[#This Row],[CurrentStock]]&gt;0,Table1[[#This Row],[ReorderLevel]]-Table1[[#This Row],[CurrentStock]],"")</f>
        <v/>
      </c>
      <c r="N1997" t="str">
        <f>IF(Table1[[#This Row],[CurrentStock]]&gt;Table1[[#This Row],[ReorderLevel]]*3,"Over Stock","Okay")</f>
        <v>Okay</v>
      </c>
      <c r="O1997" t="str">
        <f>IF(Table1[[#This Row],[CurrentStock]]&lt;Table1[[#This Row],[ReorderLevel]],"Reorder","Okay")</f>
        <v>Okay</v>
      </c>
    </row>
    <row r="1998" spans="1:15" x14ac:dyDescent="0.3">
      <c r="A1998">
        <v>94719</v>
      </c>
      <c r="B1998" t="s">
        <v>18</v>
      </c>
      <c r="C1998" t="s">
        <v>28</v>
      </c>
      <c r="D1998">
        <v>312</v>
      </c>
      <c r="E1998">
        <v>20</v>
      </c>
      <c r="F1998">
        <v>57.12</v>
      </c>
      <c r="G1998" t="s">
        <v>33</v>
      </c>
      <c r="H1998" s="1">
        <v>45328</v>
      </c>
      <c r="I1998" s="1">
        <v>45353</v>
      </c>
      <c r="J1998" t="s">
        <v>38</v>
      </c>
      <c r="K1998" t="b">
        <f>Table1[[#This Row],[CurrentStock]]&lt;Table1[[#This Row],[ReorderLevel]]</f>
        <v>0</v>
      </c>
      <c r="L1998" s="9">
        <f>Table1[[#This Row],[CurrentStock]]*Table1[[#This Row],[UnitPrice]]</f>
        <v>17821.439999999999</v>
      </c>
      <c r="M1998" t="str">
        <f>IF(Table1[[#This Row],[ReorderLevel]]-Table1[[#This Row],[CurrentStock]]&gt;0,Table1[[#This Row],[ReorderLevel]]-Table1[[#This Row],[CurrentStock]],"")</f>
        <v/>
      </c>
      <c r="N1998" t="str">
        <f>IF(Table1[[#This Row],[CurrentStock]]&gt;Table1[[#This Row],[ReorderLevel]]*3,"Over Stock","Okay")</f>
        <v>Over Stock</v>
      </c>
      <c r="O1998" t="str">
        <f>IF(Table1[[#This Row],[CurrentStock]]&lt;Table1[[#This Row],[ReorderLevel]],"Reorder","Okay")</f>
        <v>Okay</v>
      </c>
    </row>
    <row r="1999" spans="1:15" x14ac:dyDescent="0.3">
      <c r="A1999">
        <v>71457</v>
      </c>
      <c r="B1999" t="s">
        <v>20</v>
      </c>
      <c r="C1999" t="s">
        <v>29</v>
      </c>
      <c r="D1999">
        <v>324</v>
      </c>
      <c r="E1999">
        <v>80</v>
      </c>
      <c r="F1999">
        <v>340.2</v>
      </c>
      <c r="G1999" t="s">
        <v>36</v>
      </c>
      <c r="H1999" s="1">
        <v>45449</v>
      </c>
      <c r="I1999" s="1">
        <v>45469</v>
      </c>
      <c r="J1999" t="s">
        <v>38</v>
      </c>
      <c r="K1999" t="b">
        <f>Table1[[#This Row],[CurrentStock]]&lt;Table1[[#This Row],[ReorderLevel]]</f>
        <v>0</v>
      </c>
      <c r="L1999" s="9">
        <f>Table1[[#This Row],[CurrentStock]]*Table1[[#This Row],[UnitPrice]]</f>
        <v>110224.8</v>
      </c>
      <c r="M1999" t="str">
        <f>IF(Table1[[#This Row],[ReorderLevel]]-Table1[[#This Row],[CurrentStock]]&gt;0,Table1[[#This Row],[ReorderLevel]]-Table1[[#This Row],[CurrentStock]],"")</f>
        <v/>
      </c>
      <c r="N1999" t="str">
        <f>IF(Table1[[#This Row],[CurrentStock]]&gt;Table1[[#This Row],[ReorderLevel]]*3,"Over Stock","Okay")</f>
        <v>Over Stock</v>
      </c>
      <c r="O1999" t="str">
        <f>IF(Table1[[#This Row],[CurrentStock]]&lt;Table1[[#This Row],[ReorderLevel]],"Reorder","Okay")</f>
        <v>Okay</v>
      </c>
    </row>
    <row r="2000" spans="1:15" x14ac:dyDescent="0.3">
      <c r="A2000">
        <v>87318</v>
      </c>
      <c r="B2000" t="s">
        <v>19</v>
      </c>
      <c r="C2000" t="s">
        <v>28</v>
      </c>
      <c r="D2000">
        <v>478</v>
      </c>
      <c r="E2000">
        <v>20</v>
      </c>
      <c r="F2000">
        <v>346.32</v>
      </c>
      <c r="G2000" t="s">
        <v>32</v>
      </c>
      <c r="H2000" s="1">
        <v>45484</v>
      </c>
      <c r="I2000" s="1">
        <v>45495</v>
      </c>
      <c r="J2000" t="s">
        <v>37</v>
      </c>
      <c r="K2000" t="b">
        <f>Table1[[#This Row],[CurrentStock]]&lt;Table1[[#This Row],[ReorderLevel]]</f>
        <v>0</v>
      </c>
      <c r="L2000" s="9">
        <f>Table1[[#This Row],[CurrentStock]]*Table1[[#This Row],[UnitPrice]]</f>
        <v>165540.96</v>
      </c>
      <c r="M2000" t="str">
        <f>IF(Table1[[#This Row],[ReorderLevel]]-Table1[[#This Row],[CurrentStock]]&gt;0,Table1[[#This Row],[ReorderLevel]]-Table1[[#This Row],[CurrentStock]],"")</f>
        <v/>
      </c>
      <c r="N2000" t="str">
        <f>IF(Table1[[#This Row],[CurrentStock]]&gt;Table1[[#This Row],[ReorderLevel]]*3,"Over Stock","Okay")</f>
        <v>Over Stock</v>
      </c>
      <c r="O2000" t="str">
        <f>IF(Table1[[#This Row],[CurrentStock]]&lt;Table1[[#This Row],[ReorderLevel]],"Reorder","Okay")</f>
        <v>Okay</v>
      </c>
    </row>
    <row r="2001" spans="1:15" x14ac:dyDescent="0.3">
      <c r="A2001">
        <v>45011</v>
      </c>
      <c r="B2001" t="s">
        <v>13</v>
      </c>
      <c r="C2001" t="s">
        <v>29</v>
      </c>
      <c r="D2001">
        <v>488</v>
      </c>
      <c r="E2001">
        <v>20</v>
      </c>
      <c r="F2001">
        <v>379.8</v>
      </c>
      <c r="G2001" t="s">
        <v>33</v>
      </c>
      <c r="H2001" s="1">
        <v>45332</v>
      </c>
      <c r="I2001" s="1">
        <v>45338</v>
      </c>
      <c r="J2001" t="s">
        <v>37</v>
      </c>
      <c r="K2001" t="b">
        <f>Table1[[#This Row],[CurrentStock]]&lt;Table1[[#This Row],[ReorderLevel]]</f>
        <v>0</v>
      </c>
      <c r="L2001" s="9">
        <f>Table1[[#This Row],[CurrentStock]]*Table1[[#This Row],[UnitPrice]]</f>
        <v>185342.4</v>
      </c>
      <c r="M2001" t="str">
        <f>IF(Table1[[#This Row],[ReorderLevel]]-Table1[[#This Row],[CurrentStock]]&gt;0,Table1[[#This Row],[ReorderLevel]]-Table1[[#This Row],[CurrentStock]],"")</f>
        <v/>
      </c>
      <c r="N2001" t="str">
        <f>IF(Table1[[#This Row],[CurrentStock]]&gt;Table1[[#This Row],[ReorderLevel]]*3,"Over Stock","Okay")</f>
        <v>Over Stock</v>
      </c>
      <c r="O2001" t="str">
        <f>IF(Table1[[#This Row],[CurrentStock]]&lt;Table1[[#This Row],[ReorderLevel]],"Reorder","Okay")</f>
        <v>Okay</v>
      </c>
    </row>
    <row r="2002" spans="1:15" x14ac:dyDescent="0.3">
      <c r="A2002">
        <v>51003</v>
      </c>
      <c r="B2002" t="s">
        <v>13</v>
      </c>
      <c r="C2002" t="s">
        <v>29</v>
      </c>
      <c r="D2002">
        <v>423</v>
      </c>
      <c r="E2002">
        <v>80</v>
      </c>
      <c r="F2002">
        <v>469.48</v>
      </c>
      <c r="G2002" t="s">
        <v>35</v>
      </c>
      <c r="H2002" s="1">
        <v>45441</v>
      </c>
      <c r="I2002" s="1">
        <v>45456</v>
      </c>
      <c r="J2002" t="s">
        <v>37</v>
      </c>
      <c r="K2002" t="b">
        <f>Table1[[#This Row],[CurrentStock]]&lt;Table1[[#This Row],[ReorderLevel]]</f>
        <v>0</v>
      </c>
      <c r="L2002" s="9">
        <f>Table1[[#This Row],[CurrentStock]]*Table1[[#This Row],[UnitPrice]]</f>
        <v>198590.04</v>
      </c>
      <c r="M2002" t="str">
        <f>IF(Table1[[#This Row],[ReorderLevel]]-Table1[[#This Row],[CurrentStock]]&gt;0,Table1[[#This Row],[ReorderLevel]]-Table1[[#This Row],[CurrentStock]],"")</f>
        <v/>
      </c>
      <c r="N2002" t="str">
        <f>IF(Table1[[#This Row],[CurrentStock]]&gt;Table1[[#This Row],[ReorderLevel]]*3,"Over Stock","Okay")</f>
        <v>Over Stock</v>
      </c>
      <c r="O2002" t="str">
        <f>IF(Table1[[#This Row],[CurrentStock]]&lt;Table1[[#This Row],[ReorderLevel]],"Reorder","Okay")</f>
        <v>Okay</v>
      </c>
    </row>
    <row r="2003" spans="1:15" x14ac:dyDescent="0.3">
      <c r="A2003">
        <v>28260</v>
      </c>
      <c r="B2003" t="s">
        <v>23</v>
      </c>
      <c r="C2003" t="s">
        <v>30</v>
      </c>
      <c r="D2003">
        <v>115</v>
      </c>
      <c r="E2003">
        <v>80</v>
      </c>
      <c r="F2003">
        <v>293.27</v>
      </c>
      <c r="G2003" t="s">
        <v>34</v>
      </c>
      <c r="H2003" s="1">
        <v>45383</v>
      </c>
      <c r="I2003" s="1">
        <v>45398</v>
      </c>
      <c r="J2003" t="s">
        <v>37</v>
      </c>
      <c r="K2003" t="b">
        <f>Table1[[#This Row],[CurrentStock]]&lt;Table1[[#This Row],[ReorderLevel]]</f>
        <v>0</v>
      </c>
      <c r="L2003" s="9">
        <f>Table1[[#This Row],[CurrentStock]]*Table1[[#This Row],[UnitPrice]]</f>
        <v>33726.049999999996</v>
      </c>
      <c r="M2003" t="str">
        <f>IF(Table1[[#This Row],[ReorderLevel]]-Table1[[#This Row],[CurrentStock]]&gt;0,Table1[[#This Row],[ReorderLevel]]-Table1[[#This Row],[CurrentStock]],"")</f>
        <v/>
      </c>
      <c r="N2003" t="str">
        <f>IF(Table1[[#This Row],[CurrentStock]]&gt;Table1[[#This Row],[ReorderLevel]]*3,"Over Stock","Okay")</f>
        <v>Okay</v>
      </c>
      <c r="O2003" t="str">
        <f>IF(Table1[[#This Row],[CurrentStock]]&lt;Table1[[#This Row],[ReorderLevel]],"Reorder","Okay")</f>
        <v>Okay</v>
      </c>
    </row>
    <row r="2004" spans="1:15" x14ac:dyDescent="0.3">
      <c r="A2004">
        <v>22836</v>
      </c>
      <c r="B2004" t="s">
        <v>12</v>
      </c>
      <c r="C2004" t="s">
        <v>28</v>
      </c>
      <c r="D2004">
        <v>190</v>
      </c>
      <c r="E2004">
        <v>20</v>
      </c>
      <c r="F2004">
        <v>320.86</v>
      </c>
      <c r="G2004" t="s">
        <v>35</v>
      </c>
      <c r="H2004" s="1">
        <v>45428</v>
      </c>
      <c r="I2004" s="1">
        <v>45445</v>
      </c>
      <c r="J2004" t="s">
        <v>37</v>
      </c>
      <c r="K2004" t="b">
        <f>Table1[[#This Row],[CurrentStock]]&lt;Table1[[#This Row],[ReorderLevel]]</f>
        <v>0</v>
      </c>
      <c r="L2004" s="9">
        <f>Table1[[#This Row],[CurrentStock]]*Table1[[#This Row],[UnitPrice]]</f>
        <v>60963.4</v>
      </c>
      <c r="M2004" t="str">
        <f>IF(Table1[[#This Row],[ReorderLevel]]-Table1[[#This Row],[CurrentStock]]&gt;0,Table1[[#This Row],[ReorderLevel]]-Table1[[#This Row],[CurrentStock]],"")</f>
        <v/>
      </c>
      <c r="N2004" t="str">
        <f>IF(Table1[[#This Row],[CurrentStock]]&gt;Table1[[#This Row],[ReorderLevel]]*3,"Over Stock","Okay")</f>
        <v>Over Stock</v>
      </c>
      <c r="O2004" t="str">
        <f>IF(Table1[[#This Row],[CurrentStock]]&lt;Table1[[#This Row],[ReorderLevel]],"Reorder","Okay")</f>
        <v>Okay</v>
      </c>
    </row>
    <row r="2005" spans="1:15" x14ac:dyDescent="0.3">
      <c r="A2005">
        <v>73265</v>
      </c>
      <c r="B2005" t="s">
        <v>16</v>
      </c>
      <c r="C2005" t="s">
        <v>30</v>
      </c>
      <c r="D2005">
        <v>134</v>
      </c>
      <c r="E2005">
        <v>100</v>
      </c>
      <c r="F2005">
        <v>239.1</v>
      </c>
      <c r="G2005" t="s">
        <v>32</v>
      </c>
      <c r="H2005" s="1">
        <v>45546</v>
      </c>
      <c r="I2005" s="1">
        <v>45556</v>
      </c>
      <c r="J2005" t="s">
        <v>37</v>
      </c>
      <c r="K2005" t="b">
        <f>Table1[[#This Row],[CurrentStock]]&lt;Table1[[#This Row],[ReorderLevel]]</f>
        <v>0</v>
      </c>
      <c r="L2005" s="9">
        <f>Table1[[#This Row],[CurrentStock]]*Table1[[#This Row],[UnitPrice]]</f>
        <v>32039.399999999998</v>
      </c>
      <c r="M2005" t="str">
        <f>IF(Table1[[#This Row],[ReorderLevel]]-Table1[[#This Row],[CurrentStock]]&gt;0,Table1[[#This Row],[ReorderLevel]]-Table1[[#This Row],[CurrentStock]],"")</f>
        <v/>
      </c>
      <c r="N2005" t="str">
        <f>IF(Table1[[#This Row],[CurrentStock]]&gt;Table1[[#This Row],[ReorderLevel]]*3,"Over Stock","Okay")</f>
        <v>Okay</v>
      </c>
      <c r="O2005" t="str">
        <f>IF(Table1[[#This Row],[CurrentStock]]&lt;Table1[[#This Row],[ReorderLevel]],"Reorder","Okay")</f>
        <v>Okay</v>
      </c>
    </row>
    <row r="2006" spans="1:15" x14ac:dyDescent="0.3">
      <c r="A2006">
        <v>37937</v>
      </c>
      <c r="B2006" t="s">
        <v>14</v>
      </c>
      <c r="C2006" t="s">
        <v>27</v>
      </c>
      <c r="D2006">
        <v>442</v>
      </c>
      <c r="E2006">
        <v>100</v>
      </c>
      <c r="F2006">
        <v>91.08</v>
      </c>
      <c r="G2006" t="s">
        <v>36</v>
      </c>
      <c r="H2006" s="1">
        <v>45358</v>
      </c>
      <c r="I2006" s="1">
        <v>45366</v>
      </c>
      <c r="J2006" t="s">
        <v>37</v>
      </c>
      <c r="K2006" t="b">
        <f>Table1[[#This Row],[CurrentStock]]&lt;Table1[[#This Row],[ReorderLevel]]</f>
        <v>0</v>
      </c>
      <c r="L2006" s="9">
        <f>Table1[[#This Row],[CurrentStock]]*Table1[[#This Row],[UnitPrice]]</f>
        <v>40257.360000000001</v>
      </c>
      <c r="M2006" t="str">
        <f>IF(Table1[[#This Row],[ReorderLevel]]-Table1[[#This Row],[CurrentStock]]&gt;0,Table1[[#This Row],[ReorderLevel]]-Table1[[#This Row],[CurrentStock]],"")</f>
        <v/>
      </c>
      <c r="N2006" t="str">
        <f>IF(Table1[[#This Row],[CurrentStock]]&gt;Table1[[#This Row],[ReorderLevel]]*3,"Over Stock","Okay")</f>
        <v>Over Stock</v>
      </c>
      <c r="O2006" t="str">
        <f>IF(Table1[[#This Row],[CurrentStock]]&lt;Table1[[#This Row],[ReorderLevel]],"Reorder","Okay")</f>
        <v>Okay</v>
      </c>
    </row>
    <row r="2007" spans="1:15" x14ac:dyDescent="0.3">
      <c r="A2007">
        <v>43400</v>
      </c>
      <c r="B2007" t="s">
        <v>14</v>
      </c>
      <c r="C2007" t="s">
        <v>27</v>
      </c>
      <c r="D2007">
        <v>137</v>
      </c>
      <c r="E2007">
        <v>30</v>
      </c>
      <c r="F2007">
        <v>224.09</v>
      </c>
      <c r="G2007" t="s">
        <v>36</v>
      </c>
      <c r="H2007" s="1">
        <v>45553</v>
      </c>
      <c r="I2007" s="1">
        <v>45581</v>
      </c>
      <c r="J2007" t="s">
        <v>39</v>
      </c>
      <c r="K2007" t="b">
        <f>Table1[[#This Row],[CurrentStock]]&lt;Table1[[#This Row],[ReorderLevel]]</f>
        <v>0</v>
      </c>
      <c r="L2007" s="9">
        <f>Table1[[#This Row],[CurrentStock]]*Table1[[#This Row],[UnitPrice]]</f>
        <v>30700.33</v>
      </c>
      <c r="M2007" t="str">
        <f>IF(Table1[[#This Row],[ReorderLevel]]-Table1[[#This Row],[CurrentStock]]&gt;0,Table1[[#This Row],[ReorderLevel]]-Table1[[#This Row],[CurrentStock]],"")</f>
        <v/>
      </c>
      <c r="N2007" t="str">
        <f>IF(Table1[[#This Row],[CurrentStock]]&gt;Table1[[#This Row],[ReorderLevel]]*3,"Over Stock","Okay")</f>
        <v>Over Stock</v>
      </c>
      <c r="O2007" t="str">
        <f>IF(Table1[[#This Row],[CurrentStock]]&lt;Table1[[#This Row],[ReorderLevel]],"Reorder","Okay")</f>
        <v>Okay</v>
      </c>
    </row>
    <row r="2008" spans="1:15" x14ac:dyDescent="0.3">
      <c r="A2008">
        <v>23894</v>
      </c>
      <c r="B2008" t="s">
        <v>24</v>
      </c>
      <c r="C2008" t="s">
        <v>31</v>
      </c>
      <c r="D2008">
        <v>319</v>
      </c>
      <c r="E2008">
        <v>100</v>
      </c>
      <c r="F2008">
        <v>97.58</v>
      </c>
      <c r="G2008" t="s">
        <v>35</v>
      </c>
      <c r="H2008" s="1">
        <v>45501</v>
      </c>
      <c r="I2008" s="1">
        <v>45517</v>
      </c>
      <c r="J2008" t="s">
        <v>37</v>
      </c>
      <c r="K2008" t="b">
        <f>Table1[[#This Row],[CurrentStock]]&lt;Table1[[#This Row],[ReorderLevel]]</f>
        <v>0</v>
      </c>
      <c r="L2008" s="9">
        <f>Table1[[#This Row],[CurrentStock]]*Table1[[#This Row],[UnitPrice]]</f>
        <v>31128.02</v>
      </c>
      <c r="M2008" t="str">
        <f>IF(Table1[[#This Row],[ReorderLevel]]-Table1[[#This Row],[CurrentStock]]&gt;0,Table1[[#This Row],[ReorderLevel]]-Table1[[#This Row],[CurrentStock]],"")</f>
        <v/>
      </c>
      <c r="N2008" t="str">
        <f>IF(Table1[[#This Row],[CurrentStock]]&gt;Table1[[#This Row],[ReorderLevel]]*3,"Over Stock","Okay")</f>
        <v>Over Stock</v>
      </c>
      <c r="O2008" t="str">
        <f>IF(Table1[[#This Row],[CurrentStock]]&lt;Table1[[#This Row],[ReorderLevel]],"Reorder","Okay")</f>
        <v>Okay</v>
      </c>
    </row>
    <row r="2009" spans="1:15" x14ac:dyDescent="0.3">
      <c r="A2009">
        <v>55311</v>
      </c>
      <c r="B2009" t="s">
        <v>12</v>
      </c>
      <c r="C2009" t="s">
        <v>28</v>
      </c>
      <c r="D2009">
        <v>463</v>
      </c>
      <c r="E2009">
        <v>50</v>
      </c>
      <c r="F2009">
        <v>442.47</v>
      </c>
      <c r="G2009" t="s">
        <v>35</v>
      </c>
      <c r="H2009" s="1">
        <v>45530</v>
      </c>
      <c r="I2009" s="1">
        <v>45562</v>
      </c>
      <c r="J2009" t="s">
        <v>37</v>
      </c>
      <c r="K2009" t="b">
        <f>Table1[[#This Row],[CurrentStock]]&lt;Table1[[#This Row],[ReorderLevel]]</f>
        <v>0</v>
      </c>
      <c r="L2009" s="9">
        <f>Table1[[#This Row],[CurrentStock]]*Table1[[#This Row],[UnitPrice]]</f>
        <v>204863.61000000002</v>
      </c>
      <c r="M2009" t="str">
        <f>IF(Table1[[#This Row],[ReorderLevel]]-Table1[[#This Row],[CurrentStock]]&gt;0,Table1[[#This Row],[ReorderLevel]]-Table1[[#This Row],[CurrentStock]],"")</f>
        <v/>
      </c>
      <c r="N2009" t="str">
        <f>IF(Table1[[#This Row],[CurrentStock]]&gt;Table1[[#This Row],[ReorderLevel]]*3,"Over Stock","Okay")</f>
        <v>Over Stock</v>
      </c>
      <c r="O2009" t="str">
        <f>IF(Table1[[#This Row],[CurrentStock]]&lt;Table1[[#This Row],[ReorderLevel]],"Reorder","Okay")</f>
        <v>Okay</v>
      </c>
    </row>
    <row r="2010" spans="1:15" x14ac:dyDescent="0.3">
      <c r="A2010">
        <v>35059</v>
      </c>
      <c r="B2010" t="s">
        <v>15</v>
      </c>
      <c r="C2010" t="s">
        <v>29</v>
      </c>
      <c r="D2010">
        <v>273</v>
      </c>
      <c r="E2010">
        <v>80</v>
      </c>
      <c r="F2010">
        <v>105.33</v>
      </c>
      <c r="G2010" t="s">
        <v>35</v>
      </c>
      <c r="H2010" s="1">
        <v>45430</v>
      </c>
      <c r="I2010" s="1">
        <v>45456</v>
      </c>
      <c r="J2010" t="s">
        <v>38</v>
      </c>
      <c r="K2010" t="b">
        <f>Table1[[#This Row],[CurrentStock]]&lt;Table1[[#This Row],[ReorderLevel]]</f>
        <v>0</v>
      </c>
      <c r="L2010" s="9">
        <f>Table1[[#This Row],[CurrentStock]]*Table1[[#This Row],[UnitPrice]]</f>
        <v>28755.09</v>
      </c>
      <c r="M2010" t="str">
        <f>IF(Table1[[#This Row],[ReorderLevel]]-Table1[[#This Row],[CurrentStock]]&gt;0,Table1[[#This Row],[ReorderLevel]]-Table1[[#This Row],[CurrentStock]],"")</f>
        <v/>
      </c>
      <c r="N2010" t="str">
        <f>IF(Table1[[#This Row],[CurrentStock]]&gt;Table1[[#This Row],[ReorderLevel]]*3,"Over Stock","Okay")</f>
        <v>Over Stock</v>
      </c>
      <c r="O2010" t="str">
        <f>IF(Table1[[#This Row],[CurrentStock]]&lt;Table1[[#This Row],[ReorderLevel]],"Reorder","Okay")</f>
        <v>Okay</v>
      </c>
    </row>
    <row r="2011" spans="1:15" x14ac:dyDescent="0.3">
      <c r="A2011">
        <v>21628</v>
      </c>
      <c r="B2011" t="s">
        <v>24</v>
      </c>
      <c r="C2011" t="s">
        <v>31</v>
      </c>
      <c r="D2011">
        <v>348</v>
      </c>
      <c r="E2011">
        <v>100</v>
      </c>
      <c r="F2011">
        <v>49.4</v>
      </c>
      <c r="G2011" t="s">
        <v>33</v>
      </c>
      <c r="H2011" s="1">
        <v>45423</v>
      </c>
      <c r="I2011" s="1">
        <v>45438</v>
      </c>
      <c r="J2011" t="s">
        <v>38</v>
      </c>
      <c r="K2011" t="b">
        <f>Table1[[#This Row],[CurrentStock]]&lt;Table1[[#This Row],[ReorderLevel]]</f>
        <v>0</v>
      </c>
      <c r="L2011" s="9">
        <f>Table1[[#This Row],[CurrentStock]]*Table1[[#This Row],[UnitPrice]]</f>
        <v>17191.2</v>
      </c>
      <c r="M2011" t="str">
        <f>IF(Table1[[#This Row],[ReorderLevel]]-Table1[[#This Row],[CurrentStock]]&gt;0,Table1[[#This Row],[ReorderLevel]]-Table1[[#This Row],[CurrentStock]],"")</f>
        <v/>
      </c>
      <c r="N2011" t="str">
        <f>IF(Table1[[#This Row],[CurrentStock]]&gt;Table1[[#This Row],[ReorderLevel]]*3,"Over Stock","Okay")</f>
        <v>Over Stock</v>
      </c>
      <c r="O2011" t="str">
        <f>IF(Table1[[#This Row],[CurrentStock]]&lt;Table1[[#This Row],[ReorderLevel]],"Reorder","Okay")</f>
        <v>Okay</v>
      </c>
    </row>
    <row r="2012" spans="1:15" x14ac:dyDescent="0.3">
      <c r="A2012">
        <v>60333</v>
      </c>
      <c r="B2012" t="s">
        <v>22</v>
      </c>
      <c r="C2012" t="s">
        <v>27</v>
      </c>
      <c r="D2012">
        <v>98</v>
      </c>
      <c r="E2012">
        <v>150</v>
      </c>
      <c r="F2012">
        <v>418.34</v>
      </c>
      <c r="G2012" t="s">
        <v>32</v>
      </c>
      <c r="H2012" s="1">
        <v>45612</v>
      </c>
      <c r="I2012" s="1">
        <v>45645</v>
      </c>
      <c r="J2012" t="s">
        <v>37</v>
      </c>
      <c r="K2012" t="b">
        <f>Table1[[#This Row],[CurrentStock]]&lt;Table1[[#This Row],[ReorderLevel]]</f>
        <v>1</v>
      </c>
      <c r="L2012" s="9">
        <f>Table1[[#This Row],[CurrentStock]]*Table1[[#This Row],[UnitPrice]]</f>
        <v>40997.32</v>
      </c>
      <c r="M2012">
        <f>IF(Table1[[#This Row],[ReorderLevel]]-Table1[[#This Row],[CurrentStock]]&gt;0,Table1[[#This Row],[ReorderLevel]]-Table1[[#This Row],[CurrentStock]],"")</f>
        <v>52</v>
      </c>
      <c r="N2012" t="str">
        <f>IF(Table1[[#This Row],[CurrentStock]]&gt;Table1[[#This Row],[ReorderLevel]]*3,"Over Stock","Okay")</f>
        <v>Okay</v>
      </c>
      <c r="O2012" t="str">
        <f>IF(Table1[[#This Row],[CurrentStock]]&lt;Table1[[#This Row],[ReorderLevel]],"Reorder","Okay")</f>
        <v>Reorder</v>
      </c>
    </row>
    <row r="2013" spans="1:15" x14ac:dyDescent="0.3">
      <c r="A2013">
        <v>91983</v>
      </c>
      <c r="B2013" t="s">
        <v>10</v>
      </c>
      <c r="C2013" t="s">
        <v>27</v>
      </c>
      <c r="D2013">
        <v>207</v>
      </c>
      <c r="E2013">
        <v>20</v>
      </c>
      <c r="F2013">
        <v>139.51</v>
      </c>
      <c r="G2013" t="s">
        <v>33</v>
      </c>
      <c r="H2013" s="1">
        <v>45350</v>
      </c>
      <c r="I2013" s="1">
        <v>45385</v>
      </c>
      <c r="J2013" t="s">
        <v>39</v>
      </c>
      <c r="K2013" t="b">
        <f>Table1[[#This Row],[CurrentStock]]&lt;Table1[[#This Row],[ReorderLevel]]</f>
        <v>0</v>
      </c>
      <c r="L2013" s="9">
        <f>Table1[[#This Row],[CurrentStock]]*Table1[[#This Row],[UnitPrice]]</f>
        <v>28878.57</v>
      </c>
      <c r="M2013" t="str">
        <f>IF(Table1[[#This Row],[ReorderLevel]]-Table1[[#This Row],[CurrentStock]]&gt;0,Table1[[#This Row],[ReorderLevel]]-Table1[[#This Row],[CurrentStock]],"")</f>
        <v/>
      </c>
      <c r="N2013" t="str">
        <f>IF(Table1[[#This Row],[CurrentStock]]&gt;Table1[[#This Row],[ReorderLevel]]*3,"Over Stock","Okay")</f>
        <v>Over Stock</v>
      </c>
      <c r="O2013" t="str">
        <f>IF(Table1[[#This Row],[CurrentStock]]&lt;Table1[[#This Row],[ReorderLevel]],"Reorder","Okay")</f>
        <v>Okay</v>
      </c>
    </row>
    <row r="2014" spans="1:15" x14ac:dyDescent="0.3">
      <c r="A2014">
        <v>68507</v>
      </c>
      <c r="B2014" t="s">
        <v>15</v>
      </c>
      <c r="C2014" t="s">
        <v>29</v>
      </c>
      <c r="D2014">
        <v>267</v>
      </c>
      <c r="E2014">
        <v>50</v>
      </c>
      <c r="F2014">
        <v>113.72</v>
      </c>
      <c r="G2014" t="s">
        <v>36</v>
      </c>
      <c r="H2014" s="1">
        <v>45599</v>
      </c>
      <c r="I2014" s="1">
        <v>45630</v>
      </c>
      <c r="J2014" t="s">
        <v>39</v>
      </c>
      <c r="K2014" t="b">
        <f>Table1[[#This Row],[CurrentStock]]&lt;Table1[[#This Row],[ReorderLevel]]</f>
        <v>0</v>
      </c>
      <c r="L2014" s="9">
        <f>Table1[[#This Row],[CurrentStock]]*Table1[[#This Row],[UnitPrice]]</f>
        <v>30363.239999999998</v>
      </c>
      <c r="M2014" t="str">
        <f>IF(Table1[[#This Row],[ReorderLevel]]-Table1[[#This Row],[CurrentStock]]&gt;0,Table1[[#This Row],[ReorderLevel]]-Table1[[#This Row],[CurrentStock]],"")</f>
        <v/>
      </c>
      <c r="N2014" t="str">
        <f>IF(Table1[[#This Row],[CurrentStock]]&gt;Table1[[#This Row],[ReorderLevel]]*3,"Over Stock","Okay")</f>
        <v>Over Stock</v>
      </c>
      <c r="O2014" t="str">
        <f>IF(Table1[[#This Row],[CurrentStock]]&lt;Table1[[#This Row],[ReorderLevel]],"Reorder","Okay")</f>
        <v>Okay</v>
      </c>
    </row>
    <row r="2015" spans="1:15" x14ac:dyDescent="0.3">
      <c r="A2015">
        <v>24066</v>
      </c>
      <c r="B2015" t="s">
        <v>26</v>
      </c>
      <c r="C2015" t="s">
        <v>30</v>
      </c>
      <c r="D2015">
        <v>162</v>
      </c>
      <c r="E2015">
        <v>50</v>
      </c>
      <c r="F2015">
        <v>341.26</v>
      </c>
      <c r="G2015" t="s">
        <v>36</v>
      </c>
      <c r="H2015" s="1">
        <v>45624</v>
      </c>
      <c r="I2015" s="1">
        <v>45640</v>
      </c>
      <c r="J2015" t="s">
        <v>39</v>
      </c>
      <c r="K2015" t="b">
        <f>Table1[[#This Row],[CurrentStock]]&lt;Table1[[#This Row],[ReorderLevel]]</f>
        <v>0</v>
      </c>
      <c r="L2015" s="9">
        <f>Table1[[#This Row],[CurrentStock]]*Table1[[#This Row],[UnitPrice]]</f>
        <v>55284.119999999995</v>
      </c>
      <c r="M2015" t="str">
        <f>IF(Table1[[#This Row],[ReorderLevel]]-Table1[[#This Row],[CurrentStock]]&gt;0,Table1[[#This Row],[ReorderLevel]]-Table1[[#This Row],[CurrentStock]],"")</f>
        <v/>
      </c>
      <c r="N2015" t="str">
        <f>IF(Table1[[#This Row],[CurrentStock]]&gt;Table1[[#This Row],[ReorderLevel]]*3,"Over Stock","Okay")</f>
        <v>Over Stock</v>
      </c>
      <c r="O2015" t="str">
        <f>IF(Table1[[#This Row],[CurrentStock]]&lt;Table1[[#This Row],[ReorderLevel]],"Reorder","Okay")</f>
        <v>Okay</v>
      </c>
    </row>
    <row r="2016" spans="1:15" x14ac:dyDescent="0.3">
      <c r="A2016">
        <v>19934</v>
      </c>
      <c r="B2016" t="s">
        <v>12</v>
      </c>
      <c r="C2016" t="s">
        <v>28</v>
      </c>
      <c r="D2016">
        <v>488</v>
      </c>
      <c r="E2016">
        <v>20</v>
      </c>
      <c r="F2016">
        <v>27.36</v>
      </c>
      <c r="G2016" t="s">
        <v>36</v>
      </c>
      <c r="H2016" s="1">
        <v>45468</v>
      </c>
      <c r="I2016" s="1">
        <v>45504</v>
      </c>
      <c r="J2016" t="s">
        <v>37</v>
      </c>
      <c r="K2016" t="b">
        <f>Table1[[#This Row],[CurrentStock]]&lt;Table1[[#This Row],[ReorderLevel]]</f>
        <v>0</v>
      </c>
      <c r="L2016" s="9">
        <f>Table1[[#This Row],[CurrentStock]]*Table1[[#This Row],[UnitPrice]]</f>
        <v>13351.68</v>
      </c>
      <c r="M2016" t="str">
        <f>IF(Table1[[#This Row],[ReorderLevel]]-Table1[[#This Row],[CurrentStock]]&gt;0,Table1[[#This Row],[ReorderLevel]]-Table1[[#This Row],[CurrentStock]],"")</f>
        <v/>
      </c>
      <c r="N2016" t="str">
        <f>IF(Table1[[#This Row],[CurrentStock]]&gt;Table1[[#This Row],[ReorderLevel]]*3,"Over Stock","Okay")</f>
        <v>Over Stock</v>
      </c>
      <c r="O2016" t="str">
        <f>IF(Table1[[#This Row],[CurrentStock]]&lt;Table1[[#This Row],[ReorderLevel]],"Reorder","Okay")</f>
        <v>Okay</v>
      </c>
    </row>
    <row r="2017" spans="1:15" x14ac:dyDescent="0.3">
      <c r="A2017">
        <v>21408</v>
      </c>
      <c r="B2017" t="s">
        <v>11</v>
      </c>
      <c r="C2017" t="s">
        <v>27</v>
      </c>
      <c r="D2017">
        <v>268</v>
      </c>
      <c r="E2017">
        <v>150</v>
      </c>
      <c r="F2017">
        <v>432.53</v>
      </c>
      <c r="G2017" t="s">
        <v>36</v>
      </c>
      <c r="H2017" s="1">
        <v>45398</v>
      </c>
      <c r="I2017" s="1">
        <v>45430</v>
      </c>
      <c r="J2017" t="s">
        <v>39</v>
      </c>
      <c r="K2017" t="b">
        <f>Table1[[#This Row],[CurrentStock]]&lt;Table1[[#This Row],[ReorderLevel]]</f>
        <v>0</v>
      </c>
      <c r="L2017" s="9">
        <f>Table1[[#This Row],[CurrentStock]]*Table1[[#This Row],[UnitPrice]]</f>
        <v>115918.04</v>
      </c>
      <c r="M2017" t="str">
        <f>IF(Table1[[#This Row],[ReorderLevel]]-Table1[[#This Row],[CurrentStock]]&gt;0,Table1[[#This Row],[ReorderLevel]]-Table1[[#This Row],[CurrentStock]],"")</f>
        <v/>
      </c>
      <c r="N2017" t="str">
        <f>IF(Table1[[#This Row],[CurrentStock]]&gt;Table1[[#This Row],[ReorderLevel]]*3,"Over Stock","Okay")</f>
        <v>Okay</v>
      </c>
      <c r="O2017" t="str">
        <f>IF(Table1[[#This Row],[CurrentStock]]&lt;Table1[[#This Row],[ReorderLevel]],"Reorder","Okay")</f>
        <v>Okay</v>
      </c>
    </row>
    <row r="2018" spans="1:15" x14ac:dyDescent="0.3">
      <c r="A2018">
        <v>46870</v>
      </c>
      <c r="B2018" t="s">
        <v>25</v>
      </c>
      <c r="C2018" t="s">
        <v>31</v>
      </c>
      <c r="D2018">
        <v>111</v>
      </c>
      <c r="E2018">
        <v>100</v>
      </c>
      <c r="F2018">
        <v>394.56</v>
      </c>
      <c r="G2018" t="s">
        <v>33</v>
      </c>
      <c r="H2018" s="1">
        <v>45491</v>
      </c>
      <c r="I2018" s="1">
        <v>45516</v>
      </c>
      <c r="J2018" t="s">
        <v>37</v>
      </c>
      <c r="K2018" t="b">
        <f>Table1[[#This Row],[CurrentStock]]&lt;Table1[[#This Row],[ReorderLevel]]</f>
        <v>0</v>
      </c>
      <c r="L2018" s="9">
        <f>Table1[[#This Row],[CurrentStock]]*Table1[[#This Row],[UnitPrice]]</f>
        <v>43796.160000000003</v>
      </c>
      <c r="M2018" t="str">
        <f>IF(Table1[[#This Row],[ReorderLevel]]-Table1[[#This Row],[CurrentStock]]&gt;0,Table1[[#This Row],[ReorderLevel]]-Table1[[#This Row],[CurrentStock]],"")</f>
        <v/>
      </c>
      <c r="N2018" t="str">
        <f>IF(Table1[[#This Row],[CurrentStock]]&gt;Table1[[#This Row],[ReorderLevel]]*3,"Over Stock","Okay")</f>
        <v>Okay</v>
      </c>
      <c r="O2018" t="str">
        <f>IF(Table1[[#This Row],[CurrentStock]]&lt;Table1[[#This Row],[ReorderLevel]],"Reorder","Okay")</f>
        <v>Okay</v>
      </c>
    </row>
    <row r="2019" spans="1:15" x14ac:dyDescent="0.3">
      <c r="A2019">
        <v>20511</v>
      </c>
      <c r="B2019" t="s">
        <v>17</v>
      </c>
      <c r="C2019" t="s">
        <v>30</v>
      </c>
      <c r="D2019">
        <v>271</v>
      </c>
      <c r="E2019">
        <v>150</v>
      </c>
      <c r="F2019">
        <v>62.12</v>
      </c>
      <c r="G2019" t="s">
        <v>32</v>
      </c>
      <c r="H2019" s="1">
        <v>45587</v>
      </c>
      <c r="I2019" s="1">
        <v>45605</v>
      </c>
      <c r="J2019" t="s">
        <v>38</v>
      </c>
      <c r="K2019" t="b">
        <f>Table1[[#This Row],[CurrentStock]]&lt;Table1[[#This Row],[ReorderLevel]]</f>
        <v>0</v>
      </c>
      <c r="L2019" s="9">
        <f>Table1[[#This Row],[CurrentStock]]*Table1[[#This Row],[UnitPrice]]</f>
        <v>16834.52</v>
      </c>
      <c r="M2019" t="str">
        <f>IF(Table1[[#This Row],[ReorderLevel]]-Table1[[#This Row],[CurrentStock]]&gt;0,Table1[[#This Row],[ReorderLevel]]-Table1[[#This Row],[CurrentStock]],"")</f>
        <v/>
      </c>
      <c r="N2019" t="str">
        <f>IF(Table1[[#This Row],[CurrentStock]]&gt;Table1[[#This Row],[ReorderLevel]]*3,"Over Stock","Okay")</f>
        <v>Okay</v>
      </c>
      <c r="O2019" t="str">
        <f>IF(Table1[[#This Row],[CurrentStock]]&lt;Table1[[#This Row],[ReorderLevel]],"Reorder","Okay")</f>
        <v>Okay</v>
      </c>
    </row>
    <row r="2020" spans="1:15" x14ac:dyDescent="0.3">
      <c r="A2020">
        <v>74555</v>
      </c>
      <c r="B2020" t="s">
        <v>22</v>
      </c>
      <c r="C2020" t="s">
        <v>27</v>
      </c>
      <c r="D2020">
        <v>247</v>
      </c>
      <c r="E2020">
        <v>50</v>
      </c>
      <c r="F2020">
        <v>421.63</v>
      </c>
      <c r="G2020" t="s">
        <v>34</v>
      </c>
      <c r="H2020" s="1">
        <v>45612</v>
      </c>
      <c r="I2020" s="1">
        <v>45651</v>
      </c>
      <c r="J2020" t="s">
        <v>37</v>
      </c>
      <c r="K2020" t="b">
        <f>Table1[[#This Row],[CurrentStock]]&lt;Table1[[#This Row],[ReorderLevel]]</f>
        <v>0</v>
      </c>
      <c r="L2020" s="9">
        <f>Table1[[#This Row],[CurrentStock]]*Table1[[#This Row],[UnitPrice]]</f>
        <v>104142.61</v>
      </c>
      <c r="M2020" t="str">
        <f>IF(Table1[[#This Row],[ReorderLevel]]-Table1[[#This Row],[CurrentStock]]&gt;0,Table1[[#This Row],[ReorderLevel]]-Table1[[#This Row],[CurrentStock]],"")</f>
        <v/>
      </c>
      <c r="N2020" t="str">
        <f>IF(Table1[[#This Row],[CurrentStock]]&gt;Table1[[#This Row],[ReorderLevel]]*3,"Over Stock","Okay")</f>
        <v>Over Stock</v>
      </c>
      <c r="O2020" t="str">
        <f>IF(Table1[[#This Row],[CurrentStock]]&lt;Table1[[#This Row],[ReorderLevel]],"Reorder","Okay")</f>
        <v>Okay</v>
      </c>
    </row>
    <row r="2021" spans="1:15" x14ac:dyDescent="0.3">
      <c r="A2021">
        <v>24418</v>
      </c>
      <c r="B2021" t="s">
        <v>21</v>
      </c>
      <c r="C2021" t="s">
        <v>31</v>
      </c>
      <c r="D2021">
        <v>367</v>
      </c>
      <c r="E2021">
        <v>40</v>
      </c>
      <c r="F2021">
        <v>105.3</v>
      </c>
      <c r="G2021" t="s">
        <v>33</v>
      </c>
      <c r="H2021" s="1">
        <v>45647</v>
      </c>
      <c r="I2021" s="1">
        <v>45657</v>
      </c>
      <c r="J2021" t="s">
        <v>39</v>
      </c>
      <c r="K2021" t="b">
        <f>Table1[[#This Row],[CurrentStock]]&lt;Table1[[#This Row],[ReorderLevel]]</f>
        <v>0</v>
      </c>
      <c r="L2021" s="9">
        <f>Table1[[#This Row],[CurrentStock]]*Table1[[#This Row],[UnitPrice]]</f>
        <v>38645.1</v>
      </c>
      <c r="M2021" t="str">
        <f>IF(Table1[[#This Row],[ReorderLevel]]-Table1[[#This Row],[CurrentStock]]&gt;0,Table1[[#This Row],[ReorderLevel]]-Table1[[#This Row],[CurrentStock]],"")</f>
        <v/>
      </c>
      <c r="N2021" t="str">
        <f>IF(Table1[[#This Row],[CurrentStock]]&gt;Table1[[#This Row],[ReorderLevel]]*3,"Over Stock","Okay")</f>
        <v>Over Stock</v>
      </c>
      <c r="O2021" t="str">
        <f>IF(Table1[[#This Row],[CurrentStock]]&lt;Table1[[#This Row],[ReorderLevel]],"Reorder","Okay")</f>
        <v>Okay</v>
      </c>
    </row>
    <row r="2022" spans="1:15" x14ac:dyDescent="0.3">
      <c r="A2022">
        <v>86979</v>
      </c>
      <c r="B2022" t="s">
        <v>24</v>
      </c>
      <c r="C2022" t="s">
        <v>31</v>
      </c>
      <c r="D2022">
        <v>448</v>
      </c>
      <c r="E2022">
        <v>150</v>
      </c>
      <c r="F2022">
        <v>89.52</v>
      </c>
      <c r="G2022" t="s">
        <v>34</v>
      </c>
      <c r="H2022" s="1">
        <v>45605</v>
      </c>
      <c r="I2022" s="1">
        <v>45611</v>
      </c>
      <c r="J2022" t="s">
        <v>37</v>
      </c>
      <c r="K2022" t="b">
        <f>Table1[[#This Row],[CurrentStock]]&lt;Table1[[#This Row],[ReorderLevel]]</f>
        <v>0</v>
      </c>
      <c r="L2022" s="9">
        <f>Table1[[#This Row],[CurrentStock]]*Table1[[#This Row],[UnitPrice]]</f>
        <v>40104.959999999999</v>
      </c>
      <c r="M2022" t="str">
        <f>IF(Table1[[#This Row],[ReorderLevel]]-Table1[[#This Row],[CurrentStock]]&gt;0,Table1[[#This Row],[ReorderLevel]]-Table1[[#This Row],[CurrentStock]],"")</f>
        <v/>
      </c>
      <c r="N2022" t="str">
        <f>IF(Table1[[#This Row],[CurrentStock]]&gt;Table1[[#This Row],[ReorderLevel]]*3,"Over Stock","Okay")</f>
        <v>Okay</v>
      </c>
      <c r="O2022" t="str">
        <f>IF(Table1[[#This Row],[CurrentStock]]&lt;Table1[[#This Row],[ReorderLevel]],"Reorder","Okay")</f>
        <v>Okay</v>
      </c>
    </row>
    <row r="2023" spans="1:15" x14ac:dyDescent="0.3">
      <c r="A2023">
        <v>61341</v>
      </c>
      <c r="B2023" t="s">
        <v>25</v>
      </c>
      <c r="C2023" t="s">
        <v>31</v>
      </c>
      <c r="D2023">
        <v>249</v>
      </c>
      <c r="E2023">
        <v>30</v>
      </c>
      <c r="F2023">
        <v>359.77</v>
      </c>
      <c r="G2023" t="s">
        <v>32</v>
      </c>
      <c r="H2023" s="1">
        <v>45635</v>
      </c>
      <c r="I2023" s="1">
        <v>45649</v>
      </c>
      <c r="J2023" t="s">
        <v>39</v>
      </c>
      <c r="K2023" t="b">
        <f>Table1[[#This Row],[CurrentStock]]&lt;Table1[[#This Row],[ReorderLevel]]</f>
        <v>0</v>
      </c>
      <c r="L2023" s="9">
        <f>Table1[[#This Row],[CurrentStock]]*Table1[[#This Row],[UnitPrice]]</f>
        <v>89582.73</v>
      </c>
      <c r="M2023" t="str">
        <f>IF(Table1[[#This Row],[ReorderLevel]]-Table1[[#This Row],[CurrentStock]]&gt;0,Table1[[#This Row],[ReorderLevel]]-Table1[[#This Row],[CurrentStock]],"")</f>
        <v/>
      </c>
      <c r="N2023" t="str">
        <f>IF(Table1[[#This Row],[CurrentStock]]&gt;Table1[[#This Row],[ReorderLevel]]*3,"Over Stock","Okay")</f>
        <v>Over Stock</v>
      </c>
      <c r="O2023" t="str">
        <f>IF(Table1[[#This Row],[CurrentStock]]&lt;Table1[[#This Row],[ReorderLevel]],"Reorder","Okay")</f>
        <v>Okay</v>
      </c>
    </row>
    <row r="2024" spans="1:15" x14ac:dyDescent="0.3">
      <c r="A2024">
        <v>83662</v>
      </c>
      <c r="B2024" t="s">
        <v>11</v>
      </c>
      <c r="C2024" t="s">
        <v>27</v>
      </c>
      <c r="D2024">
        <v>410</v>
      </c>
      <c r="E2024">
        <v>30</v>
      </c>
      <c r="F2024">
        <v>479.14</v>
      </c>
      <c r="G2024" t="s">
        <v>36</v>
      </c>
      <c r="H2024" s="1">
        <v>45566</v>
      </c>
      <c r="I2024" s="1">
        <v>45577</v>
      </c>
      <c r="J2024" t="s">
        <v>39</v>
      </c>
      <c r="K2024" t="b">
        <f>Table1[[#This Row],[CurrentStock]]&lt;Table1[[#This Row],[ReorderLevel]]</f>
        <v>0</v>
      </c>
      <c r="L2024" s="9">
        <f>Table1[[#This Row],[CurrentStock]]*Table1[[#This Row],[UnitPrice]]</f>
        <v>196447.4</v>
      </c>
      <c r="M2024" t="str">
        <f>IF(Table1[[#This Row],[ReorderLevel]]-Table1[[#This Row],[CurrentStock]]&gt;0,Table1[[#This Row],[ReorderLevel]]-Table1[[#This Row],[CurrentStock]],"")</f>
        <v/>
      </c>
      <c r="N2024" t="str">
        <f>IF(Table1[[#This Row],[CurrentStock]]&gt;Table1[[#This Row],[ReorderLevel]]*3,"Over Stock","Okay")</f>
        <v>Over Stock</v>
      </c>
      <c r="O2024" t="str">
        <f>IF(Table1[[#This Row],[CurrentStock]]&lt;Table1[[#This Row],[ReorderLevel]],"Reorder","Okay")</f>
        <v>Okay</v>
      </c>
    </row>
    <row r="2025" spans="1:15" x14ac:dyDescent="0.3">
      <c r="A2025">
        <v>55643</v>
      </c>
      <c r="B2025" t="s">
        <v>17</v>
      </c>
      <c r="C2025" t="s">
        <v>30</v>
      </c>
      <c r="D2025">
        <v>70</v>
      </c>
      <c r="E2025">
        <v>150</v>
      </c>
      <c r="F2025">
        <v>105.81</v>
      </c>
      <c r="G2025" t="s">
        <v>33</v>
      </c>
      <c r="H2025" s="1">
        <v>45515</v>
      </c>
      <c r="I2025" s="1">
        <v>45527</v>
      </c>
      <c r="J2025" t="s">
        <v>38</v>
      </c>
      <c r="K2025" t="b">
        <f>Table1[[#This Row],[CurrentStock]]&lt;Table1[[#This Row],[ReorderLevel]]</f>
        <v>1</v>
      </c>
      <c r="L2025" s="9">
        <f>Table1[[#This Row],[CurrentStock]]*Table1[[#This Row],[UnitPrice]]</f>
        <v>7406.7</v>
      </c>
      <c r="M2025">
        <f>IF(Table1[[#This Row],[ReorderLevel]]-Table1[[#This Row],[CurrentStock]]&gt;0,Table1[[#This Row],[ReorderLevel]]-Table1[[#This Row],[CurrentStock]],"")</f>
        <v>80</v>
      </c>
      <c r="N2025" t="str">
        <f>IF(Table1[[#This Row],[CurrentStock]]&gt;Table1[[#This Row],[ReorderLevel]]*3,"Over Stock","Okay")</f>
        <v>Okay</v>
      </c>
      <c r="O2025" t="str">
        <f>IF(Table1[[#This Row],[CurrentStock]]&lt;Table1[[#This Row],[ReorderLevel]],"Reorder","Okay")</f>
        <v>Reorder</v>
      </c>
    </row>
    <row r="2026" spans="1:15" x14ac:dyDescent="0.3">
      <c r="A2026">
        <v>25600</v>
      </c>
      <c r="B2026" t="s">
        <v>12</v>
      </c>
      <c r="C2026" t="s">
        <v>28</v>
      </c>
      <c r="D2026">
        <v>93</v>
      </c>
      <c r="E2026">
        <v>80</v>
      </c>
      <c r="F2026">
        <v>335.95</v>
      </c>
      <c r="G2026" t="s">
        <v>32</v>
      </c>
      <c r="H2026" s="1">
        <v>45353</v>
      </c>
      <c r="I2026" s="1">
        <v>45377</v>
      </c>
      <c r="J2026" t="s">
        <v>39</v>
      </c>
      <c r="K2026" t="b">
        <f>Table1[[#This Row],[CurrentStock]]&lt;Table1[[#This Row],[ReorderLevel]]</f>
        <v>0</v>
      </c>
      <c r="L2026" s="9">
        <f>Table1[[#This Row],[CurrentStock]]*Table1[[#This Row],[UnitPrice]]</f>
        <v>31243.35</v>
      </c>
      <c r="M2026" t="str">
        <f>IF(Table1[[#This Row],[ReorderLevel]]-Table1[[#This Row],[CurrentStock]]&gt;0,Table1[[#This Row],[ReorderLevel]]-Table1[[#This Row],[CurrentStock]],"")</f>
        <v/>
      </c>
      <c r="N2026" t="str">
        <f>IF(Table1[[#This Row],[CurrentStock]]&gt;Table1[[#This Row],[ReorderLevel]]*3,"Over Stock","Okay")</f>
        <v>Okay</v>
      </c>
      <c r="O2026" t="str">
        <f>IF(Table1[[#This Row],[CurrentStock]]&lt;Table1[[#This Row],[ReorderLevel]],"Reorder","Okay")</f>
        <v>Okay</v>
      </c>
    </row>
    <row r="2027" spans="1:15" x14ac:dyDescent="0.3">
      <c r="A2027">
        <v>89303</v>
      </c>
      <c r="B2027" t="s">
        <v>22</v>
      </c>
      <c r="C2027" t="s">
        <v>27</v>
      </c>
      <c r="D2027">
        <v>453</v>
      </c>
      <c r="E2027">
        <v>100</v>
      </c>
      <c r="F2027">
        <v>319.8</v>
      </c>
      <c r="G2027" t="s">
        <v>36</v>
      </c>
      <c r="H2027" s="1">
        <v>45592</v>
      </c>
      <c r="I2027" s="1">
        <v>45607</v>
      </c>
      <c r="J2027" t="s">
        <v>39</v>
      </c>
      <c r="K2027" t="b">
        <f>Table1[[#This Row],[CurrentStock]]&lt;Table1[[#This Row],[ReorderLevel]]</f>
        <v>0</v>
      </c>
      <c r="L2027" s="9">
        <f>Table1[[#This Row],[CurrentStock]]*Table1[[#This Row],[UnitPrice]]</f>
        <v>144869.4</v>
      </c>
      <c r="M2027" t="str">
        <f>IF(Table1[[#This Row],[ReorderLevel]]-Table1[[#This Row],[CurrentStock]]&gt;0,Table1[[#This Row],[ReorderLevel]]-Table1[[#This Row],[CurrentStock]],"")</f>
        <v/>
      </c>
      <c r="N2027" t="str">
        <f>IF(Table1[[#This Row],[CurrentStock]]&gt;Table1[[#This Row],[ReorderLevel]]*3,"Over Stock","Okay")</f>
        <v>Over Stock</v>
      </c>
      <c r="O2027" t="str">
        <f>IF(Table1[[#This Row],[CurrentStock]]&lt;Table1[[#This Row],[ReorderLevel]],"Reorder","Okay")</f>
        <v>Okay</v>
      </c>
    </row>
    <row r="2028" spans="1:15" x14ac:dyDescent="0.3">
      <c r="A2028">
        <v>25900</v>
      </c>
      <c r="B2028" t="s">
        <v>21</v>
      </c>
      <c r="C2028" t="s">
        <v>31</v>
      </c>
      <c r="D2028">
        <v>111</v>
      </c>
      <c r="E2028">
        <v>20</v>
      </c>
      <c r="F2028">
        <v>447.79</v>
      </c>
      <c r="G2028" t="s">
        <v>33</v>
      </c>
      <c r="H2028" s="1">
        <v>45389</v>
      </c>
      <c r="I2028" s="1">
        <v>45417</v>
      </c>
      <c r="J2028" t="s">
        <v>39</v>
      </c>
      <c r="K2028" t="b">
        <f>Table1[[#This Row],[CurrentStock]]&lt;Table1[[#This Row],[ReorderLevel]]</f>
        <v>0</v>
      </c>
      <c r="L2028" s="9">
        <f>Table1[[#This Row],[CurrentStock]]*Table1[[#This Row],[UnitPrice]]</f>
        <v>49704.69</v>
      </c>
      <c r="M2028" t="str">
        <f>IF(Table1[[#This Row],[ReorderLevel]]-Table1[[#This Row],[CurrentStock]]&gt;0,Table1[[#This Row],[ReorderLevel]]-Table1[[#This Row],[CurrentStock]],"")</f>
        <v/>
      </c>
      <c r="N2028" t="str">
        <f>IF(Table1[[#This Row],[CurrentStock]]&gt;Table1[[#This Row],[ReorderLevel]]*3,"Over Stock","Okay")</f>
        <v>Over Stock</v>
      </c>
      <c r="O2028" t="str">
        <f>IF(Table1[[#This Row],[CurrentStock]]&lt;Table1[[#This Row],[ReorderLevel]],"Reorder","Okay")</f>
        <v>Okay</v>
      </c>
    </row>
    <row r="2029" spans="1:15" x14ac:dyDescent="0.3">
      <c r="A2029">
        <v>12977</v>
      </c>
      <c r="B2029" t="s">
        <v>18</v>
      </c>
      <c r="C2029" t="s">
        <v>28</v>
      </c>
      <c r="D2029">
        <v>327</v>
      </c>
      <c r="E2029">
        <v>80</v>
      </c>
      <c r="F2029">
        <v>350.79</v>
      </c>
      <c r="G2029" t="s">
        <v>32</v>
      </c>
      <c r="H2029" s="1">
        <v>45444</v>
      </c>
      <c r="I2029" s="1">
        <v>45471</v>
      </c>
      <c r="J2029" t="s">
        <v>39</v>
      </c>
      <c r="K2029" t="b">
        <f>Table1[[#This Row],[CurrentStock]]&lt;Table1[[#This Row],[ReorderLevel]]</f>
        <v>0</v>
      </c>
      <c r="L2029" s="9">
        <f>Table1[[#This Row],[CurrentStock]]*Table1[[#This Row],[UnitPrice]]</f>
        <v>114708.33</v>
      </c>
      <c r="M2029" t="str">
        <f>IF(Table1[[#This Row],[ReorderLevel]]-Table1[[#This Row],[CurrentStock]]&gt;0,Table1[[#This Row],[ReorderLevel]]-Table1[[#This Row],[CurrentStock]],"")</f>
        <v/>
      </c>
      <c r="N2029" t="str">
        <f>IF(Table1[[#This Row],[CurrentStock]]&gt;Table1[[#This Row],[ReorderLevel]]*3,"Over Stock","Okay")</f>
        <v>Over Stock</v>
      </c>
      <c r="O2029" t="str">
        <f>IF(Table1[[#This Row],[CurrentStock]]&lt;Table1[[#This Row],[ReorderLevel]],"Reorder","Okay")</f>
        <v>Okay</v>
      </c>
    </row>
    <row r="2030" spans="1:15" x14ac:dyDescent="0.3">
      <c r="A2030">
        <v>21885</v>
      </c>
      <c r="B2030" t="s">
        <v>24</v>
      </c>
      <c r="C2030" t="s">
        <v>31</v>
      </c>
      <c r="D2030">
        <v>289</v>
      </c>
      <c r="E2030">
        <v>80</v>
      </c>
      <c r="F2030">
        <v>84.48</v>
      </c>
      <c r="G2030" t="s">
        <v>36</v>
      </c>
      <c r="H2030" s="1">
        <v>45476</v>
      </c>
      <c r="I2030" s="1">
        <v>45487</v>
      </c>
      <c r="J2030" t="s">
        <v>38</v>
      </c>
      <c r="K2030" t="b">
        <f>Table1[[#This Row],[CurrentStock]]&lt;Table1[[#This Row],[ReorderLevel]]</f>
        <v>0</v>
      </c>
      <c r="L2030" s="9">
        <f>Table1[[#This Row],[CurrentStock]]*Table1[[#This Row],[UnitPrice]]</f>
        <v>24414.720000000001</v>
      </c>
      <c r="M2030" t="str">
        <f>IF(Table1[[#This Row],[ReorderLevel]]-Table1[[#This Row],[CurrentStock]]&gt;0,Table1[[#This Row],[ReorderLevel]]-Table1[[#This Row],[CurrentStock]],"")</f>
        <v/>
      </c>
      <c r="N2030" t="str">
        <f>IF(Table1[[#This Row],[CurrentStock]]&gt;Table1[[#This Row],[ReorderLevel]]*3,"Over Stock","Okay")</f>
        <v>Over Stock</v>
      </c>
      <c r="O2030" t="str">
        <f>IF(Table1[[#This Row],[CurrentStock]]&lt;Table1[[#This Row],[ReorderLevel]],"Reorder","Okay")</f>
        <v>Okay</v>
      </c>
    </row>
    <row r="2031" spans="1:15" x14ac:dyDescent="0.3">
      <c r="A2031">
        <v>74649</v>
      </c>
      <c r="B2031" t="s">
        <v>21</v>
      </c>
      <c r="C2031" t="s">
        <v>31</v>
      </c>
      <c r="D2031">
        <v>365</v>
      </c>
      <c r="E2031">
        <v>30</v>
      </c>
      <c r="F2031">
        <v>446.07</v>
      </c>
      <c r="G2031" t="s">
        <v>33</v>
      </c>
      <c r="H2031" s="1">
        <v>45528</v>
      </c>
      <c r="I2031" s="1">
        <v>45548</v>
      </c>
      <c r="J2031" t="s">
        <v>38</v>
      </c>
      <c r="K2031" t="b">
        <f>Table1[[#This Row],[CurrentStock]]&lt;Table1[[#This Row],[ReorderLevel]]</f>
        <v>0</v>
      </c>
      <c r="L2031" s="9">
        <f>Table1[[#This Row],[CurrentStock]]*Table1[[#This Row],[UnitPrice]]</f>
        <v>162815.54999999999</v>
      </c>
      <c r="M2031" t="str">
        <f>IF(Table1[[#This Row],[ReorderLevel]]-Table1[[#This Row],[CurrentStock]]&gt;0,Table1[[#This Row],[ReorderLevel]]-Table1[[#This Row],[CurrentStock]],"")</f>
        <v/>
      </c>
      <c r="N2031" t="str">
        <f>IF(Table1[[#This Row],[CurrentStock]]&gt;Table1[[#This Row],[ReorderLevel]]*3,"Over Stock","Okay")</f>
        <v>Over Stock</v>
      </c>
      <c r="O2031" t="str">
        <f>IF(Table1[[#This Row],[CurrentStock]]&lt;Table1[[#This Row],[ReorderLevel]],"Reorder","Okay")</f>
        <v>Okay</v>
      </c>
    </row>
    <row r="2032" spans="1:15" x14ac:dyDescent="0.3">
      <c r="A2032">
        <v>31661</v>
      </c>
      <c r="B2032" t="s">
        <v>23</v>
      </c>
      <c r="C2032" t="s">
        <v>30</v>
      </c>
      <c r="D2032">
        <v>438</v>
      </c>
      <c r="E2032">
        <v>40</v>
      </c>
      <c r="F2032">
        <v>57.26</v>
      </c>
      <c r="G2032" t="s">
        <v>35</v>
      </c>
      <c r="H2032" s="1">
        <v>45587</v>
      </c>
      <c r="I2032" s="1">
        <v>45600</v>
      </c>
      <c r="J2032" t="s">
        <v>38</v>
      </c>
      <c r="K2032" t="b">
        <f>Table1[[#This Row],[CurrentStock]]&lt;Table1[[#This Row],[ReorderLevel]]</f>
        <v>0</v>
      </c>
      <c r="L2032" s="9">
        <f>Table1[[#This Row],[CurrentStock]]*Table1[[#This Row],[UnitPrice]]</f>
        <v>25079.879999999997</v>
      </c>
      <c r="M2032" t="str">
        <f>IF(Table1[[#This Row],[ReorderLevel]]-Table1[[#This Row],[CurrentStock]]&gt;0,Table1[[#This Row],[ReorderLevel]]-Table1[[#This Row],[CurrentStock]],"")</f>
        <v/>
      </c>
      <c r="N2032" t="str">
        <f>IF(Table1[[#This Row],[CurrentStock]]&gt;Table1[[#This Row],[ReorderLevel]]*3,"Over Stock","Okay")</f>
        <v>Over Stock</v>
      </c>
      <c r="O2032" t="str">
        <f>IF(Table1[[#This Row],[CurrentStock]]&lt;Table1[[#This Row],[ReorderLevel]],"Reorder","Okay")</f>
        <v>Okay</v>
      </c>
    </row>
    <row r="2033" spans="1:15" x14ac:dyDescent="0.3">
      <c r="A2033">
        <v>13728</v>
      </c>
      <c r="B2033" t="s">
        <v>14</v>
      </c>
      <c r="C2033" t="s">
        <v>27</v>
      </c>
      <c r="D2033">
        <v>127</v>
      </c>
      <c r="E2033">
        <v>100</v>
      </c>
      <c r="F2033">
        <v>414.36</v>
      </c>
      <c r="G2033" t="s">
        <v>35</v>
      </c>
      <c r="H2033" s="1">
        <v>45648</v>
      </c>
      <c r="I2033" s="1">
        <v>45675</v>
      </c>
      <c r="J2033" t="s">
        <v>39</v>
      </c>
      <c r="K2033" t="b">
        <f>Table1[[#This Row],[CurrentStock]]&lt;Table1[[#This Row],[ReorderLevel]]</f>
        <v>0</v>
      </c>
      <c r="L2033" s="9">
        <f>Table1[[#This Row],[CurrentStock]]*Table1[[#This Row],[UnitPrice]]</f>
        <v>52623.72</v>
      </c>
      <c r="M2033" t="str">
        <f>IF(Table1[[#This Row],[ReorderLevel]]-Table1[[#This Row],[CurrentStock]]&gt;0,Table1[[#This Row],[ReorderLevel]]-Table1[[#This Row],[CurrentStock]],"")</f>
        <v/>
      </c>
      <c r="N2033" t="str">
        <f>IF(Table1[[#This Row],[CurrentStock]]&gt;Table1[[#This Row],[ReorderLevel]]*3,"Over Stock","Okay")</f>
        <v>Okay</v>
      </c>
      <c r="O2033" t="str">
        <f>IF(Table1[[#This Row],[CurrentStock]]&lt;Table1[[#This Row],[ReorderLevel]],"Reorder","Okay")</f>
        <v>Okay</v>
      </c>
    </row>
    <row r="2034" spans="1:15" x14ac:dyDescent="0.3">
      <c r="A2034">
        <v>29439</v>
      </c>
      <c r="B2034" t="s">
        <v>15</v>
      </c>
      <c r="C2034" t="s">
        <v>29</v>
      </c>
      <c r="D2034">
        <v>484</v>
      </c>
      <c r="E2034">
        <v>40</v>
      </c>
      <c r="F2034">
        <v>179.81</v>
      </c>
      <c r="G2034" t="s">
        <v>36</v>
      </c>
      <c r="H2034" s="1">
        <v>45432</v>
      </c>
      <c r="I2034" s="1">
        <v>45450</v>
      </c>
      <c r="J2034" t="s">
        <v>39</v>
      </c>
      <c r="K2034" t="b">
        <f>Table1[[#This Row],[CurrentStock]]&lt;Table1[[#This Row],[ReorderLevel]]</f>
        <v>0</v>
      </c>
      <c r="L2034" s="9">
        <f>Table1[[#This Row],[CurrentStock]]*Table1[[#This Row],[UnitPrice]]</f>
        <v>87028.040000000008</v>
      </c>
      <c r="M2034" t="str">
        <f>IF(Table1[[#This Row],[ReorderLevel]]-Table1[[#This Row],[CurrentStock]]&gt;0,Table1[[#This Row],[ReorderLevel]]-Table1[[#This Row],[CurrentStock]],"")</f>
        <v/>
      </c>
      <c r="N2034" t="str">
        <f>IF(Table1[[#This Row],[CurrentStock]]&gt;Table1[[#This Row],[ReorderLevel]]*3,"Over Stock","Okay")</f>
        <v>Over Stock</v>
      </c>
      <c r="O2034" t="str">
        <f>IF(Table1[[#This Row],[CurrentStock]]&lt;Table1[[#This Row],[ReorderLevel]],"Reorder","Okay")</f>
        <v>Okay</v>
      </c>
    </row>
    <row r="2035" spans="1:15" x14ac:dyDescent="0.3">
      <c r="A2035">
        <v>72235</v>
      </c>
      <c r="B2035" t="s">
        <v>22</v>
      </c>
      <c r="C2035" t="s">
        <v>27</v>
      </c>
      <c r="D2035">
        <v>100</v>
      </c>
      <c r="E2035">
        <v>100</v>
      </c>
      <c r="F2035">
        <v>472.41</v>
      </c>
      <c r="G2035" t="s">
        <v>35</v>
      </c>
      <c r="H2035" s="1">
        <v>45610</v>
      </c>
      <c r="I2035" s="1">
        <v>45621</v>
      </c>
      <c r="J2035" t="s">
        <v>39</v>
      </c>
      <c r="K2035" t="b">
        <f>Table1[[#This Row],[CurrentStock]]&lt;Table1[[#This Row],[ReorderLevel]]</f>
        <v>0</v>
      </c>
      <c r="L2035" s="9">
        <f>Table1[[#This Row],[CurrentStock]]*Table1[[#This Row],[UnitPrice]]</f>
        <v>47241</v>
      </c>
      <c r="M2035" t="str">
        <f>IF(Table1[[#This Row],[ReorderLevel]]-Table1[[#This Row],[CurrentStock]]&gt;0,Table1[[#This Row],[ReorderLevel]]-Table1[[#This Row],[CurrentStock]],"")</f>
        <v/>
      </c>
      <c r="N2035" t="str">
        <f>IF(Table1[[#This Row],[CurrentStock]]&gt;Table1[[#This Row],[ReorderLevel]]*3,"Over Stock","Okay")</f>
        <v>Okay</v>
      </c>
      <c r="O2035" t="str">
        <f>IF(Table1[[#This Row],[CurrentStock]]&lt;Table1[[#This Row],[ReorderLevel]],"Reorder","Okay")</f>
        <v>Okay</v>
      </c>
    </row>
    <row r="2036" spans="1:15" x14ac:dyDescent="0.3">
      <c r="A2036">
        <v>29330</v>
      </c>
      <c r="B2036" t="s">
        <v>12</v>
      </c>
      <c r="C2036" t="s">
        <v>28</v>
      </c>
      <c r="D2036">
        <v>382</v>
      </c>
      <c r="E2036">
        <v>20</v>
      </c>
      <c r="F2036">
        <v>242.45</v>
      </c>
      <c r="G2036" t="s">
        <v>32</v>
      </c>
      <c r="H2036" s="1">
        <v>45368</v>
      </c>
      <c r="I2036" s="1">
        <v>45390</v>
      </c>
      <c r="J2036" t="s">
        <v>37</v>
      </c>
      <c r="K2036" t="b">
        <f>Table1[[#This Row],[CurrentStock]]&lt;Table1[[#This Row],[ReorderLevel]]</f>
        <v>0</v>
      </c>
      <c r="L2036" s="9">
        <f>Table1[[#This Row],[CurrentStock]]*Table1[[#This Row],[UnitPrice]]</f>
        <v>92615.9</v>
      </c>
      <c r="M2036" t="str">
        <f>IF(Table1[[#This Row],[ReorderLevel]]-Table1[[#This Row],[CurrentStock]]&gt;0,Table1[[#This Row],[ReorderLevel]]-Table1[[#This Row],[CurrentStock]],"")</f>
        <v/>
      </c>
      <c r="N2036" t="str">
        <f>IF(Table1[[#This Row],[CurrentStock]]&gt;Table1[[#This Row],[ReorderLevel]]*3,"Over Stock","Okay")</f>
        <v>Over Stock</v>
      </c>
      <c r="O2036" t="str">
        <f>IF(Table1[[#This Row],[CurrentStock]]&lt;Table1[[#This Row],[ReorderLevel]],"Reorder","Okay")</f>
        <v>Okay</v>
      </c>
    </row>
    <row r="2037" spans="1:15" x14ac:dyDescent="0.3">
      <c r="A2037">
        <v>46688</v>
      </c>
      <c r="B2037" t="s">
        <v>18</v>
      </c>
      <c r="C2037" t="s">
        <v>28</v>
      </c>
      <c r="D2037">
        <v>23</v>
      </c>
      <c r="E2037">
        <v>40</v>
      </c>
      <c r="F2037">
        <v>195.85</v>
      </c>
      <c r="G2037" t="s">
        <v>32</v>
      </c>
      <c r="H2037" s="1">
        <v>45623</v>
      </c>
      <c r="I2037" s="1">
        <v>45649</v>
      </c>
      <c r="J2037" t="s">
        <v>37</v>
      </c>
      <c r="K2037" t="b">
        <f>Table1[[#This Row],[CurrentStock]]&lt;Table1[[#This Row],[ReorderLevel]]</f>
        <v>1</v>
      </c>
      <c r="L2037" s="9">
        <f>Table1[[#This Row],[CurrentStock]]*Table1[[#This Row],[UnitPrice]]</f>
        <v>4504.55</v>
      </c>
      <c r="M2037">
        <f>IF(Table1[[#This Row],[ReorderLevel]]-Table1[[#This Row],[CurrentStock]]&gt;0,Table1[[#This Row],[ReorderLevel]]-Table1[[#This Row],[CurrentStock]],"")</f>
        <v>17</v>
      </c>
      <c r="N2037" t="str">
        <f>IF(Table1[[#This Row],[CurrentStock]]&gt;Table1[[#This Row],[ReorderLevel]]*3,"Over Stock","Okay")</f>
        <v>Okay</v>
      </c>
      <c r="O2037" t="str">
        <f>IF(Table1[[#This Row],[CurrentStock]]&lt;Table1[[#This Row],[ReorderLevel]],"Reorder","Okay")</f>
        <v>Reorder</v>
      </c>
    </row>
    <row r="2038" spans="1:15" x14ac:dyDescent="0.3">
      <c r="A2038">
        <v>96314</v>
      </c>
      <c r="B2038" t="s">
        <v>19</v>
      </c>
      <c r="C2038" t="s">
        <v>28</v>
      </c>
      <c r="D2038">
        <v>264</v>
      </c>
      <c r="E2038">
        <v>80</v>
      </c>
      <c r="F2038">
        <v>358.65</v>
      </c>
      <c r="G2038" t="s">
        <v>35</v>
      </c>
      <c r="H2038" s="1">
        <v>45599</v>
      </c>
      <c r="I2038" s="1">
        <v>45626</v>
      </c>
      <c r="J2038" t="s">
        <v>38</v>
      </c>
      <c r="K2038" t="b">
        <f>Table1[[#This Row],[CurrentStock]]&lt;Table1[[#This Row],[ReorderLevel]]</f>
        <v>0</v>
      </c>
      <c r="L2038" s="9">
        <f>Table1[[#This Row],[CurrentStock]]*Table1[[#This Row],[UnitPrice]]</f>
        <v>94683.599999999991</v>
      </c>
      <c r="M2038" t="str">
        <f>IF(Table1[[#This Row],[ReorderLevel]]-Table1[[#This Row],[CurrentStock]]&gt;0,Table1[[#This Row],[ReorderLevel]]-Table1[[#This Row],[CurrentStock]],"")</f>
        <v/>
      </c>
      <c r="N2038" t="str">
        <f>IF(Table1[[#This Row],[CurrentStock]]&gt;Table1[[#This Row],[ReorderLevel]]*3,"Over Stock","Okay")</f>
        <v>Over Stock</v>
      </c>
      <c r="O2038" t="str">
        <f>IF(Table1[[#This Row],[CurrentStock]]&lt;Table1[[#This Row],[ReorderLevel]],"Reorder","Okay")</f>
        <v>Okay</v>
      </c>
    </row>
    <row r="2039" spans="1:15" x14ac:dyDescent="0.3">
      <c r="A2039">
        <v>52129</v>
      </c>
      <c r="B2039" t="s">
        <v>25</v>
      </c>
      <c r="C2039" t="s">
        <v>31</v>
      </c>
      <c r="D2039">
        <v>30</v>
      </c>
      <c r="E2039">
        <v>20</v>
      </c>
      <c r="F2039">
        <v>98.66</v>
      </c>
      <c r="G2039" t="s">
        <v>36</v>
      </c>
      <c r="H2039" s="1">
        <v>45606</v>
      </c>
      <c r="I2039" s="1">
        <v>45638</v>
      </c>
      <c r="J2039" t="s">
        <v>37</v>
      </c>
      <c r="K2039" t="b">
        <f>Table1[[#This Row],[CurrentStock]]&lt;Table1[[#This Row],[ReorderLevel]]</f>
        <v>0</v>
      </c>
      <c r="L2039" s="9">
        <f>Table1[[#This Row],[CurrentStock]]*Table1[[#This Row],[UnitPrice]]</f>
        <v>2959.7999999999997</v>
      </c>
      <c r="M2039" t="str">
        <f>IF(Table1[[#This Row],[ReorderLevel]]-Table1[[#This Row],[CurrentStock]]&gt;0,Table1[[#This Row],[ReorderLevel]]-Table1[[#This Row],[CurrentStock]],"")</f>
        <v/>
      </c>
      <c r="N2039" t="str">
        <f>IF(Table1[[#This Row],[CurrentStock]]&gt;Table1[[#This Row],[ReorderLevel]]*3,"Over Stock","Okay")</f>
        <v>Okay</v>
      </c>
      <c r="O2039" t="str">
        <f>IF(Table1[[#This Row],[CurrentStock]]&lt;Table1[[#This Row],[ReorderLevel]],"Reorder","Okay")</f>
        <v>Okay</v>
      </c>
    </row>
    <row r="2040" spans="1:15" x14ac:dyDescent="0.3">
      <c r="A2040">
        <v>94946</v>
      </c>
      <c r="B2040" t="s">
        <v>25</v>
      </c>
      <c r="C2040" t="s">
        <v>31</v>
      </c>
      <c r="D2040">
        <v>292</v>
      </c>
      <c r="E2040">
        <v>80</v>
      </c>
      <c r="F2040">
        <v>174.87</v>
      </c>
      <c r="G2040" t="s">
        <v>33</v>
      </c>
      <c r="H2040" s="1">
        <v>45507</v>
      </c>
      <c r="I2040" s="1">
        <v>45525</v>
      </c>
      <c r="J2040" t="s">
        <v>37</v>
      </c>
      <c r="K2040" t="b">
        <f>Table1[[#This Row],[CurrentStock]]&lt;Table1[[#This Row],[ReorderLevel]]</f>
        <v>0</v>
      </c>
      <c r="L2040" s="9">
        <f>Table1[[#This Row],[CurrentStock]]*Table1[[#This Row],[UnitPrice]]</f>
        <v>51062.04</v>
      </c>
      <c r="M2040" t="str">
        <f>IF(Table1[[#This Row],[ReorderLevel]]-Table1[[#This Row],[CurrentStock]]&gt;0,Table1[[#This Row],[ReorderLevel]]-Table1[[#This Row],[CurrentStock]],"")</f>
        <v/>
      </c>
      <c r="N2040" t="str">
        <f>IF(Table1[[#This Row],[CurrentStock]]&gt;Table1[[#This Row],[ReorderLevel]]*3,"Over Stock","Okay")</f>
        <v>Over Stock</v>
      </c>
      <c r="O2040" t="str">
        <f>IF(Table1[[#This Row],[CurrentStock]]&lt;Table1[[#This Row],[ReorderLevel]],"Reorder","Okay")</f>
        <v>Okay</v>
      </c>
    </row>
    <row r="2041" spans="1:15" x14ac:dyDescent="0.3">
      <c r="A2041">
        <v>62571</v>
      </c>
      <c r="B2041" t="s">
        <v>11</v>
      </c>
      <c r="C2041" t="s">
        <v>27</v>
      </c>
      <c r="D2041">
        <v>423</v>
      </c>
      <c r="E2041">
        <v>30</v>
      </c>
      <c r="F2041">
        <v>13.38</v>
      </c>
      <c r="G2041" t="s">
        <v>35</v>
      </c>
      <c r="H2041" s="1">
        <v>45447</v>
      </c>
      <c r="I2041" s="1">
        <v>45455</v>
      </c>
      <c r="J2041" t="s">
        <v>37</v>
      </c>
      <c r="K2041" t="b">
        <f>Table1[[#This Row],[CurrentStock]]&lt;Table1[[#This Row],[ReorderLevel]]</f>
        <v>0</v>
      </c>
      <c r="L2041" s="9">
        <f>Table1[[#This Row],[CurrentStock]]*Table1[[#This Row],[UnitPrice]]</f>
        <v>5659.7400000000007</v>
      </c>
      <c r="M2041" t="str">
        <f>IF(Table1[[#This Row],[ReorderLevel]]-Table1[[#This Row],[CurrentStock]]&gt;0,Table1[[#This Row],[ReorderLevel]]-Table1[[#This Row],[CurrentStock]],"")</f>
        <v/>
      </c>
      <c r="N2041" t="str">
        <f>IF(Table1[[#This Row],[CurrentStock]]&gt;Table1[[#This Row],[ReorderLevel]]*3,"Over Stock","Okay")</f>
        <v>Over Stock</v>
      </c>
      <c r="O2041" t="str">
        <f>IF(Table1[[#This Row],[CurrentStock]]&lt;Table1[[#This Row],[ReorderLevel]],"Reorder","Okay")</f>
        <v>Okay</v>
      </c>
    </row>
    <row r="2042" spans="1:15" x14ac:dyDescent="0.3">
      <c r="A2042">
        <v>82264</v>
      </c>
      <c r="B2042" t="s">
        <v>12</v>
      </c>
      <c r="C2042" t="s">
        <v>28</v>
      </c>
      <c r="D2042">
        <v>339</v>
      </c>
      <c r="E2042">
        <v>30</v>
      </c>
      <c r="F2042">
        <v>256.3</v>
      </c>
      <c r="G2042" t="s">
        <v>36</v>
      </c>
      <c r="H2042" s="1">
        <v>45637</v>
      </c>
      <c r="I2042" s="1">
        <v>45663</v>
      </c>
      <c r="J2042" t="s">
        <v>37</v>
      </c>
      <c r="K2042" t="b">
        <f>Table1[[#This Row],[CurrentStock]]&lt;Table1[[#This Row],[ReorderLevel]]</f>
        <v>0</v>
      </c>
      <c r="L2042" s="9">
        <f>Table1[[#This Row],[CurrentStock]]*Table1[[#This Row],[UnitPrice]]</f>
        <v>86885.7</v>
      </c>
      <c r="M2042" t="str">
        <f>IF(Table1[[#This Row],[ReorderLevel]]-Table1[[#This Row],[CurrentStock]]&gt;0,Table1[[#This Row],[ReorderLevel]]-Table1[[#This Row],[CurrentStock]],"")</f>
        <v/>
      </c>
      <c r="N2042" t="str">
        <f>IF(Table1[[#This Row],[CurrentStock]]&gt;Table1[[#This Row],[ReorderLevel]]*3,"Over Stock","Okay")</f>
        <v>Over Stock</v>
      </c>
      <c r="O2042" t="str">
        <f>IF(Table1[[#This Row],[CurrentStock]]&lt;Table1[[#This Row],[ReorderLevel]],"Reorder","Okay")</f>
        <v>Okay</v>
      </c>
    </row>
    <row r="2043" spans="1:15" x14ac:dyDescent="0.3">
      <c r="A2043">
        <v>16621</v>
      </c>
      <c r="B2043" t="s">
        <v>12</v>
      </c>
      <c r="C2043" t="s">
        <v>28</v>
      </c>
      <c r="D2043">
        <v>1</v>
      </c>
      <c r="E2043">
        <v>80</v>
      </c>
      <c r="F2043">
        <v>406.15</v>
      </c>
      <c r="G2043" t="s">
        <v>32</v>
      </c>
      <c r="H2043" s="1">
        <v>45546</v>
      </c>
      <c r="I2043" s="1">
        <v>45563</v>
      </c>
      <c r="J2043" t="s">
        <v>38</v>
      </c>
      <c r="K2043" t="b">
        <f>Table1[[#This Row],[CurrentStock]]&lt;Table1[[#This Row],[ReorderLevel]]</f>
        <v>1</v>
      </c>
      <c r="L2043" s="9">
        <f>Table1[[#This Row],[CurrentStock]]*Table1[[#This Row],[UnitPrice]]</f>
        <v>406.15</v>
      </c>
      <c r="M2043">
        <f>IF(Table1[[#This Row],[ReorderLevel]]-Table1[[#This Row],[CurrentStock]]&gt;0,Table1[[#This Row],[ReorderLevel]]-Table1[[#This Row],[CurrentStock]],"")</f>
        <v>79</v>
      </c>
      <c r="N2043" t="str">
        <f>IF(Table1[[#This Row],[CurrentStock]]&gt;Table1[[#This Row],[ReorderLevel]]*3,"Over Stock","Okay")</f>
        <v>Okay</v>
      </c>
      <c r="O2043" t="str">
        <f>IF(Table1[[#This Row],[CurrentStock]]&lt;Table1[[#This Row],[ReorderLevel]],"Reorder","Okay")</f>
        <v>Reorder</v>
      </c>
    </row>
    <row r="2044" spans="1:15" x14ac:dyDescent="0.3">
      <c r="A2044">
        <v>51232</v>
      </c>
      <c r="B2044" t="s">
        <v>25</v>
      </c>
      <c r="C2044" t="s">
        <v>31</v>
      </c>
      <c r="D2044">
        <v>186</v>
      </c>
      <c r="E2044">
        <v>30</v>
      </c>
      <c r="F2044">
        <v>172.6</v>
      </c>
      <c r="G2044" t="s">
        <v>34</v>
      </c>
      <c r="H2044" s="1">
        <v>45475</v>
      </c>
      <c r="I2044" s="1">
        <v>45494</v>
      </c>
      <c r="J2044" t="s">
        <v>38</v>
      </c>
      <c r="K2044" t="b">
        <f>Table1[[#This Row],[CurrentStock]]&lt;Table1[[#This Row],[ReorderLevel]]</f>
        <v>0</v>
      </c>
      <c r="L2044" s="9">
        <f>Table1[[#This Row],[CurrentStock]]*Table1[[#This Row],[UnitPrice]]</f>
        <v>32103.599999999999</v>
      </c>
      <c r="M2044" t="str">
        <f>IF(Table1[[#This Row],[ReorderLevel]]-Table1[[#This Row],[CurrentStock]]&gt;0,Table1[[#This Row],[ReorderLevel]]-Table1[[#This Row],[CurrentStock]],"")</f>
        <v/>
      </c>
      <c r="N2044" t="str">
        <f>IF(Table1[[#This Row],[CurrentStock]]&gt;Table1[[#This Row],[ReorderLevel]]*3,"Over Stock","Okay")</f>
        <v>Over Stock</v>
      </c>
      <c r="O2044" t="str">
        <f>IF(Table1[[#This Row],[CurrentStock]]&lt;Table1[[#This Row],[ReorderLevel]],"Reorder","Okay")</f>
        <v>Okay</v>
      </c>
    </row>
    <row r="2045" spans="1:15" x14ac:dyDescent="0.3">
      <c r="A2045">
        <v>65034</v>
      </c>
      <c r="B2045" t="s">
        <v>23</v>
      </c>
      <c r="C2045" t="s">
        <v>30</v>
      </c>
      <c r="D2045">
        <v>224</v>
      </c>
      <c r="E2045">
        <v>100</v>
      </c>
      <c r="F2045">
        <v>446.44</v>
      </c>
      <c r="G2045" t="s">
        <v>32</v>
      </c>
      <c r="H2045" s="1">
        <v>45307</v>
      </c>
      <c r="I2045" s="1">
        <v>45314</v>
      </c>
      <c r="J2045" t="s">
        <v>38</v>
      </c>
      <c r="K2045" t="b">
        <f>Table1[[#This Row],[CurrentStock]]&lt;Table1[[#This Row],[ReorderLevel]]</f>
        <v>0</v>
      </c>
      <c r="L2045" s="9">
        <f>Table1[[#This Row],[CurrentStock]]*Table1[[#This Row],[UnitPrice]]</f>
        <v>100002.56</v>
      </c>
      <c r="M2045" t="str">
        <f>IF(Table1[[#This Row],[ReorderLevel]]-Table1[[#This Row],[CurrentStock]]&gt;0,Table1[[#This Row],[ReorderLevel]]-Table1[[#This Row],[CurrentStock]],"")</f>
        <v/>
      </c>
      <c r="N2045" t="str">
        <f>IF(Table1[[#This Row],[CurrentStock]]&gt;Table1[[#This Row],[ReorderLevel]]*3,"Over Stock","Okay")</f>
        <v>Okay</v>
      </c>
      <c r="O2045" t="str">
        <f>IF(Table1[[#This Row],[CurrentStock]]&lt;Table1[[#This Row],[ReorderLevel]],"Reorder","Okay")</f>
        <v>Okay</v>
      </c>
    </row>
    <row r="2046" spans="1:15" x14ac:dyDescent="0.3">
      <c r="A2046">
        <v>51616</v>
      </c>
      <c r="B2046" t="s">
        <v>20</v>
      </c>
      <c r="C2046" t="s">
        <v>29</v>
      </c>
      <c r="D2046">
        <v>498</v>
      </c>
      <c r="E2046">
        <v>30</v>
      </c>
      <c r="F2046">
        <v>180.71</v>
      </c>
      <c r="G2046" t="s">
        <v>36</v>
      </c>
      <c r="H2046" s="1">
        <v>45313</v>
      </c>
      <c r="I2046" s="1">
        <v>45322</v>
      </c>
      <c r="J2046" t="s">
        <v>39</v>
      </c>
      <c r="K2046" t="b">
        <f>Table1[[#This Row],[CurrentStock]]&lt;Table1[[#This Row],[ReorderLevel]]</f>
        <v>0</v>
      </c>
      <c r="L2046" s="9">
        <f>Table1[[#This Row],[CurrentStock]]*Table1[[#This Row],[UnitPrice]]</f>
        <v>89993.58</v>
      </c>
      <c r="M2046" t="str">
        <f>IF(Table1[[#This Row],[ReorderLevel]]-Table1[[#This Row],[CurrentStock]]&gt;0,Table1[[#This Row],[ReorderLevel]]-Table1[[#This Row],[CurrentStock]],"")</f>
        <v/>
      </c>
      <c r="N2046" t="str">
        <f>IF(Table1[[#This Row],[CurrentStock]]&gt;Table1[[#This Row],[ReorderLevel]]*3,"Over Stock","Okay")</f>
        <v>Over Stock</v>
      </c>
      <c r="O2046" t="str">
        <f>IF(Table1[[#This Row],[CurrentStock]]&lt;Table1[[#This Row],[ReorderLevel]],"Reorder","Okay")</f>
        <v>Okay</v>
      </c>
    </row>
    <row r="2047" spans="1:15" x14ac:dyDescent="0.3">
      <c r="A2047">
        <v>72473</v>
      </c>
      <c r="B2047" t="s">
        <v>19</v>
      </c>
      <c r="C2047" t="s">
        <v>28</v>
      </c>
      <c r="D2047">
        <v>208</v>
      </c>
      <c r="E2047">
        <v>40</v>
      </c>
      <c r="F2047">
        <v>198.33</v>
      </c>
      <c r="G2047" t="s">
        <v>33</v>
      </c>
      <c r="H2047" s="1">
        <v>45528</v>
      </c>
      <c r="I2047" s="1">
        <v>45561</v>
      </c>
      <c r="J2047" t="s">
        <v>38</v>
      </c>
      <c r="K2047" t="b">
        <f>Table1[[#This Row],[CurrentStock]]&lt;Table1[[#This Row],[ReorderLevel]]</f>
        <v>0</v>
      </c>
      <c r="L2047" s="9">
        <f>Table1[[#This Row],[CurrentStock]]*Table1[[#This Row],[UnitPrice]]</f>
        <v>41252.639999999999</v>
      </c>
      <c r="M2047" t="str">
        <f>IF(Table1[[#This Row],[ReorderLevel]]-Table1[[#This Row],[CurrentStock]]&gt;0,Table1[[#This Row],[ReorderLevel]]-Table1[[#This Row],[CurrentStock]],"")</f>
        <v/>
      </c>
      <c r="N2047" t="str">
        <f>IF(Table1[[#This Row],[CurrentStock]]&gt;Table1[[#This Row],[ReorderLevel]]*3,"Over Stock","Okay")</f>
        <v>Over Stock</v>
      </c>
      <c r="O2047" t="str">
        <f>IF(Table1[[#This Row],[CurrentStock]]&lt;Table1[[#This Row],[ReorderLevel]],"Reorder","Okay")</f>
        <v>Okay</v>
      </c>
    </row>
    <row r="2048" spans="1:15" x14ac:dyDescent="0.3">
      <c r="A2048">
        <v>91863</v>
      </c>
      <c r="B2048" t="s">
        <v>11</v>
      </c>
      <c r="C2048" t="s">
        <v>27</v>
      </c>
      <c r="D2048">
        <v>241</v>
      </c>
      <c r="E2048">
        <v>20</v>
      </c>
      <c r="F2048">
        <v>210.27</v>
      </c>
      <c r="G2048" t="s">
        <v>35</v>
      </c>
      <c r="H2048" s="1">
        <v>45310</v>
      </c>
      <c r="I2048" s="1">
        <v>45337</v>
      </c>
      <c r="J2048" t="s">
        <v>37</v>
      </c>
      <c r="K2048" t="b">
        <f>Table1[[#This Row],[CurrentStock]]&lt;Table1[[#This Row],[ReorderLevel]]</f>
        <v>0</v>
      </c>
      <c r="L2048" s="9">
        <f>Table1[[#This Row],[CurrentStock]]*Table1[[#This Row],[UnitPrice]]</f>
        <v>50675.07</v>
      </c>
      <c r="M2048" t="str">
        <f>IF(Table1[[#This Row],[ReorderLevel]]-Table1[[#This Row],[CurrentStock]]&gt;0,Table1[[#This Row],[ReorderLevel]]-Table1[[#This Row],[CurrentStock]],"")</f>
        <v/>
      </c>
      <c r="N2048" t="str">
        <f>IF(Table1[[#This Row],[CurrentStock]]&gt;Table1[[#This Row],[ReorderLevel]]*3,"Over Stock","Okay")</f>
        <v>Over Stock</v>
      </c>
      <c r="O2048" t="str">
        <f>IF(Table1[[#This Row],[CurrentStock]]&lt;Table1[[#This Row],[ReorderLevel]],"Reorder","Okay")</f>
        <v>Okay</v>
      </c>
    </row>
    <row r="2049" spans="1:15" x14ac:dyDescent="0.3">
      <c r="A2049">
        <v>24620</v>
      </c>
      <c r="B2049" t="s">
        <v>24</v>
      </c>
      <c r="C2049" t="s">
        <v>31</v>
      </c>
      <c r="D2049">
        <v>27</v>
      </c>
      <c r="E2049">
        <v>40</v>
      </c>
      <c r="F2049">
        <v>442.46</v>
      </c>
      <c r="G2049" t="s">
        <v>34</v>
      </c>
      <c r="H2049" s="1">
        <v>45587</v>
      </c>
      <c r="I2049" s="1">
        <v>45610</v>
      </c>
      <c r="J2049" t="s">
        <v>38</v>
      </c>
      <c r="K2049" t="b">
        <f>Table1[[#This Row],[CurrentStock]]&lt;Table1[[#This Row],[ReorderLevel]]</f>
        <v>1</v>
      </c>
      <c r="L2049" s="9">
        <f>Table1[[#This Row],[CurrentStock]]*Table1[[#This Row],[UnitPrice]]</f>
        <v>11946.42</v>
      </c>
      <c r="M2049">
        <f>IF(Table1[[#This Row],[ReorderLevel]]-Table1[[#This Row],[CurrentStock]]&gt;0,Table1[[#This Row],[ReorderLevel]]-Table1[[#This Row],[CurrentStock]],"")</f>
        <v>13</v>
      </c>
      <c r="N2049" t="str">
        <f>IF(Table1[[#This Row],[CurrentStock]]&gt;Table1[[#This Row],[ReorderLevel]]*3,"Over Stock","Okay")</f>
        <v>Okay</v>
      </c>
      <c r="O2049" t="str">
        <f>IF(Table1[[#This Row],[CurrentStock]]&lt;Table1[[#This Row],[ReorderLevel]],"Reorder","Okay")</f>
        <v>Reorder</v>
      </c>
    </row>
    <row r="2050" spans="1:15" x14ac:dyDescent="0.3">
      <c r="A2050">
        <v>98456</v>
      </c>
      <c r="B2050" t="s">
        <v>21</v>
      </c>
      <c r="C2050" t="s">
        <v>31</v>
      </c>
      <c r="D2050">
        <v>395</v>
      </c>
      <c r="E2050">
        <v>20</v>
      </c>
      <c r="F2050">
        <v>410.32</v>
      </c>
      <c r="G2050" t="s">
        <v>33</v>
      </c>
      <c r="H2050" s="1">
        <v>45444</v>
      </c>
      <c r="I2050" s="1">
        <v>45452</v>
      </c>
      <c r="J2050" t="s">
        <v>38</v>
      </c>
      <c r="K2050" t="b">
        <f>Table1[[#This Row],[CurrentStock]]&lt;Table1[[#This Row],[ReorderLevel]]</f>
        <v>0</v>
      </c>
      <c r="L2050" s="9">
        <f>Table1[[#This Row],[CurrentStock]]*Table1[[#This Row],[UnitPrice]]</f>
        <v>162076.4</v>
      </c>
      <c r="M2050" t="str">
        <f>IF(Table1[[#This Row],[ReorderLevel]]-Table1[[#This Row],[CurrentStock]]&gt;0,Table1[[#This Row],[ReorderLevel]]-Table1[[#This Row],[CurrentStock]],"")</f>
        <v/>
      </c>
      <c r="N2050" t="str">
        <f>IF(Table1[[#This Row],[CurrentStock]]&gt;Table1[[#This Row],[ReorderLevel]]*3,"Over Stock","Okay")</f>
        <v>Over Stock</v>
      </c>
      <c r="O2050" t="str">
        <f>IF(Table1[[#This Row],[CurrentStock]]&lt;Table1[[#This Row],[ReorderLevel]],"Reorder","Okay")</f>
        <v>Okay</v>
      </c>
    </row>
    <row r="2051" spans="1:15" x14ac:dyDescent="0.3">
      <c r="A2051">
        <v>74264</v>
      </c>
      <c r="B2051" t="s">
        <v>25</v>
      </c>
      <c r="C2051" t="s">
        <v>31</v>
      </c>
      <c r="D2051">
        <v>159</v>
      </c>
      <c r="E2051">
        <v>50</v>
      </c>
      <c r="F2051">
        <v>473.59</v>
      </c>
      <c r="G2051" t="s">
        <v>36</v>
      </c>
      <c r="H2051" s="1">
        <v>45418</v>
      </c>
      <c r="I2051" s="1">
        <v>45454</v>
      </c>
      <c r="J2051" t="s">
        <v>37</v>
      </c>
      <c r="K2051" t="b">
        <f>Table1[[#This Row],[CurrentStock]]&lt;Table1[[#This Row],[ReorderLevel]]</f>
        <v>0</v>
      </c>
      <c r="L2051" s="9">
        <f>Table1[[#This Row],[CurrentStock]]*Table1[[#This Row],[UnitPrice]]</f>
        <v>75300.81</v>
      </c>
      <c r="M2051" t="str">
        <f>IF(Table1[[#This Row],[ReorderLevel]]-Table1[[#This Row],[CurrentStock]]&gt;0,Table1[[#This Row],[ReorderLevel]]-Table1[[#This Row],[CurrentStock]],"")</f>
        <v/>
      </c>
      <c r="N2051" t="str">
        <f>IF(Table1[[#This Row],[CurrentStock]]&gt;Table1[[#This Row],[ReorderLevel]]*3,"Over Stock","Okay")</f>
        <v>Over Stock</v>
      </c>
      <c r="O2051" t="str">
        <f>IF(Table1[[#This Row],[CurrentStock]]&lt;Table1[[#This Row],[ReorderLevel]],"Reorder","Okay")</f>
        <v>Okay</v>
      </c>
    </row>
    <row r="2052" spans="1:15" x14ac:dyDescent="0.3">
      <c r="A2052">
        <v>50028</v>
      </c>
      <c r="B2052" t="s">
        <v>15</v>
      </c>
      <c r="C2052" t="s">
        <v>29</v>
      </c>
      <c r="D2052">
        <v>399</v>
      </c>
      <c r="E2052">
        <v>50</v>
      </c>
      <c r="F2052">
        <v>271.01</v>
      </c>
      <c r="G2052" t="s">
        <v>34</v>
      </c>
      <c r="H2052" s="1">
        <v>45309</v>
      </c>
      <c r="I2052" s="1">
        <v>45326</v>
      </c>
      <c r="J2052" t="s">
        <v>37</v>
      </c>
      <c r="K2052" t="b">
        <f>Table1[[#This Row],[CurrentStock]]&lt;Table1[[#This Row],[ReorderLevel]]</f>
        <v>0</v>
      </c>
      <c r="L2052" s="9">
        <f>Table1[[#This Row],[CurrentStock]]*Table1[[#This Row],[UnitPrice]]</f>
        <v>108132.98999999999</v>
      </c>
      <c r="M2052" t="str">
        <f>IF(Table1[[#This Row],[ReorderLevel]]-Table1[[#This Row],[CurrentStock]]&gt;0,Table1[[#This Row],[ReorderLevel]]-Table1[[#This Row],[CurrentStock]],"")</f>
        <v/>
      </c>
      <c r="N2052" t="str">
        <f>IF(Table1[[#This Row],[CurrentStock]]&gt;Table1[[#This Row],[ReorderLevel]]*3,"Over Stock","Okay")</f>
        <v>Over Stock</v>
      </c>
      <c r="O2052" t="str">
        <f>IF(Table1[[#This Row],[CurrentStock]]&lt;Table1[[#This Row],[ReorderLevel]],"Reorder","Okay")</f>
        <v>Okay</v>
      </c>
    </row>
    <row r="2053" spans="1:15" x14ac:dyDescent="0.3">
      <c r="A2053">
        <v>91583</v>
      </c>
      <c r="B2053" t="s">
        <v>10</v>
      </c>
      <c r="C2053" t="s">
        <v>27</v>
      </c>
      <c r="D2053">
        <v>42</v>
      </c>
      <c r="E2053">
        <v>150</v>
      </c>
      <c r="F2053">
        <v>359.16</v>
      </c>
      <c r="G2053" t="s">
        <v>35</v>
      </c>
      <c r="H2053" s="1">
        <v>45325</v>
      </c>
      <c r="I2053" s="1">
        <v>45363</v>
      </c>
      <c r="J2053" t="s">
        <v>39</v>
      </c>
      <c r="K2053" t="b">
        <f>Table1[[#This Row],[CurrentStock]]&lt;Table1[[#This Row],[ReorderLevel]]</f>
        <v>1</v>
      </c>
      <c r="L2053" s="9">
        <f>Table1[[#This Row],[CurrentStock]]*Table1[[#This Row],[UnitPrice]]</f>
        <v>15084.720000000001</v>
      </c>
      <c r="M2053">
        <f>IF(Table1[[#This Row],[ReorderLevel]]-Table1[[#This Row],[CurrentStock]]&gt;0,Table1[[#This Row],[ReorderLevel]]-Table1[[#This Row],[CurrentStock]],"")</f>
        <v>108</v>
      </c>
      <c r="N2053" t="str">
        <f>IF(Table1[[#This Row],[CurrentStock]]&gt;Table1[[#This Row],[ReorderLevel]]*3,"Over Stock","Okay")</f>
        <v>Okay</v>
      </c>
      <c r="O2053" t="str">
        <f>IF(Table1[[#This Row],[CurrentStock]]&lt;Table1[[#This Row],[ReorderLevel]],"Reorder","Okay")</f>
        <v>Reorder</v>
      </c>
    </row>
    <row r="2054" spans="1:15" x14ac:dyDescent="0.3">
      <c r="A2054">
        <v>42161</v>
      </c>
      <c r="B2054" t="s">
        <v>17</v>
      </c>
      <c r="C2054" t="s">
        <v>30</v>
      </c>
      <c r="D2054">
        <v>365</v>
      </c>
      <c r="E2054">
        <v>50</v>
      </c>
      <c r="F2054">
        <v>471.69</v>
      </c>
      <c r="G2054" t="s">
        <v>34</v>
      </c>
      <c r="H2054" s="1">
        <v>45362</v>
      </c>
      <c r="I2054" s="1">
        <v>45373</v>
      </c>
      <c r="J2054" t="s">
        <v>38</v>
      </c>
      <c r="K2054" t="b">
        <f>Table1[[#This Row],[CurrentStock]]&lt;Table1[[#This Row],[ReorderLevel]]</f>
        <v>0</v>
      </c>
      <c r="L2054" s="9">
        <f>Table1[[#This Row],[CurrentStock]]*Table1[[#This Row],[UnitPrice]]</f>
        <v>172166.85</v>
      </c>
      <c r="M2054" t="str">
        <f>IF(Table1[[#This Row],[ReorderLevel]]-Table1[[#This Row],[CurrentStock]]&gt;0,Table1[[#This Row],[ReorderLevel]]-Table1[[#This Row],[CurrentStock]],"")</f>
        <v/>
      </c>
      <c r="N2054" t="str">
        <f>IF(Table1[[#This Row],[CurrentStock]]&gt;Table1[[#This Row],[ReorderLevel]]*3,"Over Stock","Okay")</f>
        <v>Over Stock</v>
      </c>
      <c r="O2054" t="str">
        <f>IF(Table1[[#This Row],[CurrentStock]]&lt;Table1[[#This Row],[ReorderLevel]],"Reorder","Okay")</f>
        <v>Okay</v>
      </c>
    </row>
    <row r="2055" spans="1:15" x14ac:dyDescent="0.3">
      <c r="A2055">
        <v>75781</v>
      </c>
      <c r="B2055" t="s">
        <v>18</v>
      </c>
      <c r="C2055" t="s">
        <v>28</v>
      </c>
      <c r="D2055">
        <v>400</v>
      </c>
      <c r="E2055">
        <v>50</v>
      </c>
      <c r="F2055">
        <v>369.35</v>
      </c>
      <c r="G2055" t="s">
        <v>36</v>
      </c>
      <c r="H2055" s="1">
        <v>45496</v>
      </c>
      <c r="I2055" s="1">
        <v>45524</v>
      </c>
      <c r="J2055" t="s">
        <v>38</v>
      </c>
      <c r="K2055" t="b">
        <f>Table1[[#This Row],[CurrentStock]]&lt;Table1[[#This Row],[ReorderLevel]]</f>
        <v>0</v>
      </c>
      <c r="L2055" s="9">
        <f>Table1[[#This Row],[CurrentStock]]*Table1[[#This Row],[UnitPrice]]</f>
        <v>147740</v>
      </c>
      <c r="M2055" t="str">
        <f>IF(Table1[[#This Row],[ReorderLevel]]-Table1[[#This Row],[CurrentStock]]&gt;0,Table1[[#This Row],[ReorderLevel]]-Table1[[#This Row],[CurrentStock]],"")</f>
        <v/>
      </c>
      <c r="N2055" t="str">
        <f>IF(Table1[[#This Row],[CurrentStock]]&gt;Table1[[#This Row],[ReorderLevel]]*3,"Over Stock","Okay")</f>
        <v>Over Stock</v>
      </c>
      <c r="O2055" t="str">
        <f>IF(Table1[[#This Row],[CurrentStock]]&lt;Table1[[#This Row],[ReorderLevel]],"Reorder","Okay")</f>
        <v>Okay</v>
      </c>
    </row>
    <row r="2056" spans="1:15" x14ac:dyDescent="0.3">
      <c r="A2056">
        <v>47371</v>
      </c>
      <c r="B2056" t="s">
        <v>10</v>
      </c>
      <c r="C2056" t="s">
        <v>27</v>
      </c>
      <c r="D2056">
        <v>444</v>
      </c>
      <c r="E2056">
        <v>100</v>
      </c>
      <c r="F2056">
        <v>129.07</v>
      </c>
      <c r="G2056" t="s">
        <v>32</v>
      </c>
      <c r="H2056" s="1">
        <v>45385</v>
      </c>
      <c r="I2056" s="1">
        <v>45419</v>
      </c>
      <c r="J2056" t="s">
        <v>39</v>
      </c>
      <c r="K2056" t="b">
        <f>Table1[[#This Row],[CurrentStock]]&lt;Table1[[#This Row],[ReorderLevel]]</f>
        <v>0</v>
      </c>
      <c r="L2056" s="9">
        <f>Table1[[#This Row],[CurrentStock]]*Table1[[#This Row],[UnitPrice]]</f>
        <v>57307.079999999994</v>
      </c>
      <c r="M2056" t="str">
        <f>IF(Table1[[#This Row],[ReorderLevel]]-Table1[[#This Row],[CurrentStock]]&gt;0,Table1[[#This Row],[ReorderLevel]]-Table1[[#This Row],[CurrentStock]],"")</f>
        <v/>
      </c>
      <c r="N2056" t="str">
        <f>IF(Table1[[#This Row],[CurrentStock]]&gt;Table1[[#This Row],[ReorderLevel]]*3,"Over Stock","Okay")</f>
        <v>Over Stock</v>
      </c>
      <c r="O2056" t="str">
        <f>IF(Table1[[#This Row],[CurrentStock]]&lt;Table1[[#This Row],[ReorderLevel]],"Reorder","Okay")</f>
        <v>Okay</v>
      </c>
    </row>
    <row r="2057" spans="1:15" x14ac:dyDescent="0.3">
      <c r="A2057">
        <v>41426</v>
      </c>
      <c r="B2057" t="s">
        <v>26</v>
      </c>
      <c r="C2057" t="s">
        <v>30</v>
      </c>
      <c r="D2057">
        <v>441</v>
      </c>
      <c r="E2057">
        <v>100</v>
      </c>
      <c r="F2057">
        <v>196.09</v>
      </c>
      <c r="G2057" t="s">
        <v>33</v>
      </c>
      <c r="H2057" s="1">
        <v>45473</v>
      </c>
      <c r="I2057" s="1">
        <v>45490</v>
      </c>
      <c r="J2057" t="s">
        <v>39</v>
      </c>
      <c r="K2057" t="b">
        <f>Table1[[#This Row],[CurrentStock]]&lt;Table1[[#This Row],[ReorderLevel]]</f>
        <v>0</v>
      </c>
      <c r="L2057" s="9">
        <f>Table1[[#This Row],[CurrentStock]]*Table1[[#This Row],[UnitPrice]]</f>
        <v>86475.69</v>
      </c>
      <c r="M2057" t="str">
        <f>IF(Table1[[#This Row],[ReorderLevel]]-Table1[[#This Row],[CurrentStock]]&gt;0,Table1[[#This Row],[ReorderLevel]]-Table1[[#This Row],[CurrentStock]],"")</f>
        <v/>
      </c>
      <c r="N2057" t="str">
        <f>IF(Table1[[#This Row],[CurrentStock]]&gt;Table1[[#This Row],[ReorderLevel]]*3,"Over Stock","Okay")</f>
        <v>Over Stock</v>
      </c>
      <c r="O2057" t="str">
        <f>IF(Table1[[#This Row],[CurrentStock]]&lt;Table1[[#This Row],[ReorderLevel]],"Reorder","Okay")</f>
        <v>Okay</v>
      </c>
    </row>
    <row r="2058" spans="1:15" x14ac:dyDescent="0.3">
      <c r="A2058">
        <v>23760</v>
      </c>
      <c r="B2058" t="s">
        <v>10</v>
      </c>
      <c r="C2058" t="s">
        <v>27</v>
      </c>
      <c r="D2058">
        <v>308</v>
      </c>
      <c r="E2058">
        <v>40</v>
      </c>
      <c r="F2058">
        <v>181.27</v>
      </c>
      <c r="G2058" t="s">
        <v>34</v>
      </c>
      <c r="H2058" s="1">
        <v>45295</v>
      </c>
      <c r="I2058" s="1">
        <v>45314</v>
      </c>
      <c r="J2058" t="s">
        <v>37</v>
      </c>
      <c r="K2058" t="b">
        <f>Table1[[#This Row],[CurrentStock]]&lt;Table1[[#This Row],[ReorderLevel]]</f>
        <v>0</v>
      </c>
      <c r="L2058" s="9">
        <f>Table1[[#This Row],[CurrentStock]]*Table1[[#This Row],[UnitPrice]]</f>
        <v>55831.16</v>
      </c>
      <c r="M2058" t="str">
        <f>IF(Table1[[#This Row],[ReorderLevel]]-Table1[[#This Row],[CurrentStock]]&gt;0,Table1[[#This Row],[ReorderLevel]]-Table1[[#This Row],[CurrentStock]],"")</f>
        <v/>
      </c>
      <c r="N2058" t="str">
        <f>IF(Table1[[#This Row],[CurrentStock]]&gt;Table1[[#This Row],[ReorderLevel]]*3,"Over Stock","Okay")</f>
        <v>Over Stock</v>
      </c>
      <c r="O2058" t="str">
        <f>IF(Table1[[#This Row],[CurrentStock]]&lt;Table1[[#This Row],[ReorderLevel]],"Reorder","Okay")</f>
        <v>Okay</v>
      </c>
    </row>
    <row r="2059" spans="1:15" x14ac:dyDescent="0.3">
      <c r="A2059">
        <v>68616</v>
      </c>
      <c r="B2059" t="s">
        <v>18</v>
      </c>
      <c r="C2059" t="s">
        <v>28</v>
      </c>
      <c r="D2059">
        <v>381</v>
      </c>
      <c r="E2059">
        <v>80</v>
      </c>
      <c r="F2059">
        <v>228.79</v>
      </c>
      <c r="G2059" t="s">
        <v>34</v>
      </c>
      <c r="H2059" s="1">
        <v>45496</v>
      </c>
      <c r="I2059" s="1">
        <v>45530</v>
      </c>
      <c r="J2059" t="s">
        <v>38</v>
      </c>
      <c r="K2059" t="b">
        <f>Table1[[#This Row],[CurrentStock]]&lt;Table1[[#This Row],[ReorderLevel]]</f>
        <v>0</v>
      </c>
      <c r="L2059" s="9">
        <f>Table1[[#This Row],[CurrentStock]]*Table1[[#This Row],[UnitPrice]]</f>
        <v>87168.989999999991</v>
      </c>
      <c r="M2059" t="str">
        <f>IF(Table1[[#This Row],[ReorderLevel]]-Table1[[#This Row],[CurrentStock]]&gt;0,Table1[[#This Row],[ReorderLevel]]-Table1[[#This Row],[CurrentStock]],"")</f>
        <v/>
      </c>
      <c r="N2059" t="str">
        <f>IF(Table1[[#This Row],[CurrentStock]]&gt;Table1[[#This Row],[ReorderLevel]]*3,"Over Stock","Okay")</f>
        <v>Over Stock</v>
      </c>
      <c r="O2059" t="str">
        <f>IF(Table1[[#This Row],[CurrentStock]]&lt;Table1[[#This Row],[ReorderLevel]],"Reorder","Okay")</f>
        <v>Okay</v>
      </c>
    </row>
    <row r="2060" spans="1:15" x14ac:dyDescent="0.3">
      <c r="A2060">
        <v>30325</v>
      </c>
      <c r="B2060" t="s">
        <v>16</v>
      </c>
      <c r="C2060" t="s">
        <v>30</v>
      </c>
      <c r="D2060">
        <v>84</v>
      </c>
      <c r="E2060">
        <v>100</v>
      </c>
      <c r="F2060">
        <v>359.24</v>
      </c>
      <c r="G2060" t="s">
        <v>34</v>
      </c>
      <c r="H2060" s="1">
        <v>45642</v>
      </c>
      <c r="I2060" s="1">
        <v>45665</v>
      </c>
      <c r="J2060" t="s">
        <v>39</v>
      </c>
      <c r="K2060" t="b">
        <f>Table1[[#This Row],[CurrentStock]]&lt;Table1[[#This Row],[ReorderLevel]]</f>
        <v>1</v>
      </c>
      <c r="L2060" s="9">
        <f>Table1[[#This Row],[CurrentStock]]*Table1[[#This Row],[UnitPrice]]</f>
        <v>30176.16</v>
      </c>
      <c r="M2060">
        <f>IF(Table1[[#This Row],[ReorderLevel]]-Table1[[#This Row],[CurrentStock]]&gt;0,Table1[[#This Row],[ReorderLevel]]-Table1[[#This Row],[CurrentStock]],"")</f>
        <v>16</v>
      </c>
      <c r="N2060" t="str">
        <f>IF(Table1[[#This Row],[CurrentStock]]&gt;Table1[[#This Row],[ReorderLevel]]*3,"Over Stock","Okay")</f>
        <v>Okay</v>
      </c>
      <c r="O2060" t="str">
        <f>IF(Table1[[#This Row],[CurrentStock]]&lt;Table1[[#This Row],[ReorderLevel]],"Reorder","Okay")</f>
        <v>Reorder</v>
      </c>
    </row>
    <row r="2061" spans="1:15" x14ac:dyDescent="0.3">
      <c r="A2061">
        <v>62485</v>
      </c>
      <c r="B2061" t="s">
        <v>25</v>
      </c>
      <c r="C2061" t="s">
        <v>31</v>
      </c>
      <c r="D2061">
        <v>338</v>
      </c>
      <c r="E2061">
        <v>50</v>
      </c>
      <c r="F2061">
        <v>305.63</v>
      </c>
      <c r="G2061" t="s">
        <v>32</v>
      </c>
      <c r="H2061" s="1">
        <v>45488</v>
      </c>
      <c r="I2061" s="1">
        <v>45497</v>
      </c>
      <c r="J2061" t="s">
        <v>37</v>
      </c>
      <c r="K2061" t="b">
        <f>Table1[[#This Row],[CurrentStock]]&lt;Table1[[#This Row],[ReorderLevel]]</f>
        <v>0</v>
      </c>
      <c r="L2061" s="9">
        <f>Table1[[#This Row],[CurrentStock]]*Table1[[#This Row],[UnitPrice]]</f>
        <v>103302.94</v>
      </c>
      <c r="M2061" t="str">
        <f>IF(Table1[[#This Row],[ReorderLevel]]-Table1[[#This Row],[CurrentStock]]&gt;0,Table1[[#This Row],[ReorderLevel]]-Table1[[#This Row],[CurrentStock]],"")</f>
        <v/>
      </c>
      <c r="N2061" t="str">
        <f>IF(Table1[[#This Row],[CurrentStock]]&gt;Table1[[#This Row],[ReorderLevel]]*3,"Over Stock","Okay")</f>
        <v>Over Stock</v>
      </c>
      <c r="O2061" t="str">
        <f>IF(Table1[[#This Row],[CurrentStock]]&lt;Table1[[#This Row],[ReorderLevel]],"Reorder","Okay")</f>
        <v>Okay</v>
      </c>
    </row>
    <row r="2062" spans="1:15" x14ac:dyDescent="0.3">
      <c r="A2062">
        <v>16023</v>
      </c>
      <c r="B2062" t="s">
        <v>19</v>
      </c>
      <c r="C2062" t="s">
        <v>28</v>
      </c>
      <c r="D2062">
        <v>121</v>
      </c>
      <c r="E2062">
        <v>80</v>
      </c>
      <c r="F2062">
        <v>128.94999999999999</v>
      </c>
      <c r="G2062" t="s">
        <v>33</v>
      </c>
      <c r="H2062" s="1">
        <v>45522</v>
      </c>
      <c r="I2062" s="1">
        <v>45543</v>
      </c>
      <c r="J2062" t="s">
        <v>39</v>
      </c>
      <c r="K2062" t="b">
        <f>Table1[[#This Row],[CurrentStock]]&lt;Table1[[#This Row],[ReorderLevel]]</f>
        <v>0</v>
      </c>
      <c r="L2062" s="9">
        <f>Table1[[#This Row],[CurrentStock]]*Table1[[#This Row],[UnitPrice]]</f>
        <v>15602.949999999999</v>
      </c>
      <c r="M2062" t="str">
        <f>IF(Table1[[#This Row],[ReorderLevel]]-Table1[[#This Row],[CurrentStock]]&gt;0,Table1[[#This Row],[ReorderLevel]]-Table1[[#This Row],[CurrentStock]],"")</f>
        <v/>
      </c>
      <c r="N2062" t="str">
        <f>IF(Table1[[#This Row],[CurrentStock]]&gt;Table1[[#This Row],[ReorderLevel]]*3,"Over Stock","Okay")</f>
        <v>Okay</v>
      </c>
      <c r="O2062" t="str">
        <f>IF(Table1[[#This Row],[CurrentStock]]&lt;Table1[[#This Row],[ReorderLevel]],"Reorder","Okay")</f>
        <v>Okay</v>
      </c>
    </row>
    <row r="2063" spans="1:15" x14ac:dyDescent="0.3">
      <c r="A2063">
        <v>23397</v>
      </c>
      <c r="B2063" t="s">
        <v>24</v>
      </c>
      <c r="C2063" t="s">
        <v>31</v>
      </c>
      <c r="D2063">
        <v>235</v>
      </c>
      <c r="E2063">
        <v>80</v>
      </c>
      <c r="F2063">
        <v>183.68</v>
      </c>
      <c r="G2063" t="s">
        <v>36</v>
      </c>
      <c r="H2063" s="1">
        <v>45444</v>
      </c>
      <c r="I2063" s="1">
        <v>45471</v>
      </c>
      <c r="J2063" t="s">
        <v>39</v>
      </c>
      <c r="K2063" t="b">
        <f>Table1[[#This Row],[CurrentStock]]&lt;Table1[[#This Row],[ReorderLevel]]</f>
        <v>0</v>
      </c>
      <c r="L2063" s="9">
        <f>Table1[[#This Row],[CurrentStock]]*Table1[[#This Row],[UnitPrice]]</f>
        <v>43164.800000000003</v>
      </c>
      <c r="M2063" t="str">
        <f>IF(Table1[[#This Row],[ReorderLevel]]-Table1[[#This Row],[CurrentStock]]&gt;0,Table1[[#This Row],[ReorderLevel]]-Table1[[#This Row],[CurrentStock]],"")</f>
        <v/>
      </c>
      <c r="N2063" t="str">
        <f>IF(Table1[[#This Row],[CurrentStock]]&gt;Table1[[#This Row],[ReorderLevel]]*3,"Over Stock","Okay")</f>
        <v>Okay</v>
      </c>
      <c r="O2063" t="str">
        <f>IF(Table1[[#This Row],[CurrentStock]]&lt;Table1[[#This Row],[ReorderLevel]],"Reorder","Okay")</f>
        <v>Okay</v>
      </c>
    </row>
    <row r="2064" spans="1:15" x14ac:dyDescent="0.3">
      <c r="A2064">
        <v>13846</v>
      </c>
      <c r="B2064" t="s">
        <v>20</v>
      </c>
      <c r="C2064" t="s">
        <v>29</v>
      </c>
      <c r="D2064">
        <v>366</v>
      </c>
      <c r="E2064">
        <v>50</v>
      </c>
      <c r="F2064">
        <v>89.2</v>
      </c>
      <c r="G2064" t="s">
        <v>35</v>
      </c>
      <c r="H2064" s="1">
        <v>45494</v>
      </c>
      <c r="I2064" s="1">
        <v>45522</v>
      </c>
      <c r="J2064" t="s">
        <v>37</v>
      </c>
      <c r="K2064" t="b">
        <f>Table1[[#This Row],[CurrentStock]]&lt;Table1[[#This Row],[ReorderLevel]]</f>
        <v>0</v>
      </c>
      <c r="L2064" s="9">
        <f>Table1[[#This Row],[CurrentStock]]*Table1[[#This Row],[UnitPrice]]</f>
        <v>32647.200000000001</v>
      </c>
      <c r="M2064" t="str">
        <f>IF(Table1[[#This Row],[ReorderLevel]]-Table1[[#This Row],[CurrentStock]]&gt;0,Table1[[#This Row],[ReorderLevel]]-Table1[[#This Row],[CurrentStock]],"")</f>
        <v/>
      </c>
      <c r="N2064" t="str">
        <f>IF(Table1[[#This Row],[CurrentStock]]&gt;Table1[[#This Row],[ReorderLevel]]*3,"Over Stock","Okay")</f>
        <v>Over Stock</v>
      </c>
      <c r="O2064" t="str">
        <f>IF(Table1[[#This Row],[CurrentStock]]&lt;Table1[[#This Row],[ReorderLevel]],"Reorder","Okay")</f>
        <v>Okay</v>
      </c>
    </row>
    <row r="2065" spans="1:15" x14ac:dyDescent="0.3">
      <c r="A2065">
        <v>31157</v>
      </c>
      <c r="B2065" t="s">
        <v>19</v>
      </c>
      <c r="C2065" t="s">
        <v>28</v>
      </c>
      <c r="D2065">
        <v>359</v>
      </c>
      <c r="E2065">
        <v>50</v>
      </c>
      <c r="F2065">
        <v>122.55</v>
      </c>
      <c r="G2065" t="s">
        <v>36</v>
      </c>
      <c r="H2065" s="1">
        <v>45337</v>
      </c>
      <c r="I2065" s="1">
        <v>45342</v>
      </c>
      <c r="J2065" t="s">
        <v>38</v>
      </c>
      <c r="K2065" t="b">
        <f>Table1[[#This Row],[CurrentStock]]&lt;Table1[[#This Row],[ReorderLevel]]</f>
        <v>0</v>
      </c>
      <c r="L2065" s="9">
        <f>Table1[[#This Row],[CurrentStock]]*Table1[[#This Row],[UnitPrice]]</f>
        <v>43995.45</v>
      </c>
      <c r="M2065" t="str">
        <f>IF(Table1[[#This Row],[ReorderLevel]]-Table1[[#This Row],[CurrentStock]]&gt;0,Table1[[#This Row],[ReorderLevel]]-Table1[[#This Row],[CurrentStock]],"")</f>
        <v/>
      </c>
      <c r="N2065" t="str">
        <f>IF(Table1[[#This Row],[CurrentStock]]&gt;Table1[[#This Row],[ReorderLevel]]*3,"Over Stock","Okay")</f>
        <v>Over Stock</v>
      </c>
      <c r="O2065" t="str">
        <f>IF(Table1[[#This Row],[CurrentStock]]&lt;Table1[[#This Row],[ReorderLevel]],"Reorder","Okay")</f>
        <v>Okay</v>
      </c>
    </row>
    <row r="2066" spans="1:15" x14ac:dyDescent="0.3">
      <c r="A2066">
        <v>16421</v>
      </c>
      <c r="B2066" t="s">
        <v>15</v>
      </c>
      <c r="C2066" t="s">
        <v>29</v>
      </c>
      <c r="D2066">
        <v>203</v>
      </c>
      <c r="E2066">
        <v>30</v>
      </c>
      <c r="F2066">
        <v>343.07</v>
      </c>
      <c r="G2066" t="s">
        <v>36</v>
      </c>
      <c r="H2066" s="1">
        <v>45571</v>
      </c>
      <c r="I2066" s="1">
        <v>45603</v>
      </c>
      <c r="J2066" t="s">
        <v>37</v>
      </c>
      <c r="K2066" t="b">
        <f>Table1[[#This Row],[CurrentStock]]&lt;Table1[[#This Row],[ReorderLevel]]</f>
        <v>0</v>
      </c>
      <c r="L2066" s="9">
        <f>Table1[[#This Row],[CurrentStock]]*Table1[[#This Row],[UnitPrice]]</f>
        <v>69643.209999999992</v>
      </c>
      <c r="M2066" t="str">
        <f>IF(Table1[[#This Row],[ReorderLevel]]-Table1[[#This Row],[CurrentStock]]&gt;0,Table1[[#This Row],[ReorderLevel]]-Table1[[#This Row],[CurrentStock]],"")</f>
        <v/>
      </c>
      <c r="N2066" t="str">
        <f>IF(Table1[[#This Row],[CurrentStock]]&gt;Table1[[#This Row],[ReorderLevel]]*3,"Over Stock","Okay")</f>
        <v>Over Stock</v>
      </c>
      <c r="O2066" t="str">
        <f>IF(Table1[[#This Row],[CurrentStock]]&lt;Table1[[#This Row],[ReorderLevel]],"Reorder","Okay")</f>
        <v>Okay</v>
      </c>
    </row>
    <row r="2067" spans="1:15" x14ac:dyDescent="0.3">
      <c r="A2067">
        <v>28130</v>
      </c>
      <c r="B2067" t="s">
        <v>11</v>
      </c>
      <c r="C2067" t="s">
        <v>27</v>
      </c>
      <c r="D2067">
        <v>317</v>
      </c>
      <c r="E2067">
        <v>40</v>
      </c>
      <c r="F2067">
        <v>372.68</v>
      </c>
      <c r="G2067" t="s">
        <v>35</v>
      </c>
      <c r="H2067" s="1">
        <v>45358</v>
      </c>
      <c r="I2067" s="1">
        <v>45389</v>
      </c>
      <c r="J2067" t="s">
        <v>37</v>
      </c>
      <c r="K2067" t="b">
        <f>Table1[[#This Row],[CurrentStock]]&lt;Table1[[#This Row],[ReorderLevel]]</f>
        <v>0</v>
      </c>
      <c r="L2067" s="9">
        <f>Table1[[#This Row],[CurrentStock]]*Table1[[#This Row],[UnitPrice]]</f>
        <v>118139.56</v>
      </c>
      <c r="M2067" t="str">
        <f>IF(Table1[[#This Row],[ReorderLevel]]-Table1[[#This Row],[CurrentStock]]&gt;0,Table1[[#This Row],[ReorderLevel]]-Table1[[#This Row],[CurrentStock]],"")</f>
        <v/>
      </c>
      <c r="N2067" t="str">
        <f>IF(Table1[[#This Row],[CurrentStock]]&gt;Table1[[#This Row],[ReorderLevel]]*3,"Over Stock","Okay")</f>
        <v>Over Stock</v>
      </c>
      <c r="O2067" t="str">
        <f>IF(Table1[[#This Row],[CurrentStock]]&lt;Table1[[#This Row],[ReorderLevel]],"Reorder","Okay")</f>
        <v>Okay</v>
      </c>
    </row>
    <row r="2068" spans="1:15" x14ac:dyDescent="0.3">
      <c r="A2068">
        <v>33267</v>
      </c>
      <c r="B2068" t="s">
        <v>26</v>
      </c>
      <c r="C2068" t="s">
        <v>30</v>
      </c>
      <c r="D2068">
        <v>32</v>
      </c>
      <c r="E2068">
        <v>40</v>
      </c>
      <c r="F2068">
        <v>89.86</v>
      </c>
      <c r="G2068" t="s">
        <v>35</v>
      </c>
      <c r="H2068" s="1">
        <v>45489</v>
      </c>
      <c r="I2068" s="1">
        <v>45508</v>
      </c>
      <c r="J2068" t="s">
        <v>38</v>
      </c>
      <c r="K2068" t="b">
        <f>Table1[[#This Row],[CurrentStock]]&lt;Table1[[#This Row],[ReorderLevel]]</f>
        <v>1</v>
      </c>
      <c r="L2068" s="9">
        <f>Table1[[#This Row],[CurrentStock]]*Table1[[#This Row],[UnitPrice]]</f>
        <v>2875.52</v>
      </c>
      <c r="M2068">
        <f>IF(Table1[[#This Row],[ReorderLevel]]-Table1[[#This Row],[CurrentStock]]&gt;0,Table1[[#This Row],[ReorderLevel]]-Table1[[#This Row],[CurrentStock]],"")</f>
        <v>8</v>
      </c>
      <c r="N2068" t="str">
        <f>IF(Table1[[#This Row],[CurrentStock]]&gt;Table1[[#This Row],[ReorderLevel]]*3,"Over Stock","Okay")</f>
        <v>Okay</v>
      </c>
      <c r="O2068" t="str">
        <f>IF(Table1[[#This Row],[CurrentStock]]&lt;Table1[[#This Row],[ReorderLevel]],"Reorder","Okay")</f>
        <v>Reorder</v>
      </c>
    </row>
    <row r="2069" spans="1:15" x14ac:dyDescent="0.3">
      <c r="A2069">
        <v>71854</v>
      </c>
      <c r="B2069" t="s">
        <v>19</v>
      </c>
      <c r="C2069" t="s">
        <v>28</v>
      </c>
      <c r="D2069">
        <v>240</v>
      </c>
      <c r="E2069">
        <v>150</v>
      </c>
      <c r="F2069">
        <v>452.99</v>
      </c>
      <c r="G2069" t="s">
        <v>35</v>
      </c>
      <c r="H2069" s="1">
        <v>45529</v>
      </c>
      <c r="I2069" s="1">
        <v>45562</v>
      </c>
      <c r="J2069" t="s">
        <v>39</v>
      </c>
      <c r="K2069" t="b">
        <f>Table1[[#This Row],[CurrentStock]]&lt;Table1[[#This Row],[ReorderLevel]]</f>
        <v>0</v>
      </c>
      <c r="L2069" s="9">
        <f>Table1[[#This Row],[CurrentStock]]*Table1[[#This Row],[UnitPrice]]</f>
        <v>108717.6</v>
      </c>
      <c r="M2069" t="str">
        <f>IF(Table1[[#This Row],[ReorderLevel]]-Table1[[#This Row],[CurrentStock]]&gt;0,Table1[[#This Row],[ReorderLevel]]-Table1[[#This Row],[CurrentStock]],"")</f>
        <v/>
      </c>
      <c r="N2069" t="str">
        <f>IF(Table1[[#This Row],[CurrentStock]]&gt;Table1[[#This Row],[ReorderLevel]]*3,"Over Stock","Okay")</f>
        <v>Okay</v>
      </c>
      <c r="O2069" t="str">
        <f>IF(Table1[[#This Row],[CurrentStock]]&lt;Table1[[#This Row],[ReorderLevel]],"Reorder","Okay")</f>
        <v>Okay</v>
      </c>
    </row>
    <row r="2070" spans="1:15" x14ac:dyDescent="0.3">
      <c r="A2070">
        <v>72239</v>
      </c>
      <c r="B2070" t="s">
        <v>21</v>
      </c>
      <c r="C2070" t="s">
        <v>31</v>
      </c>
      <c r="D2070">
        <v>261</v>
      </c>
      <c r="E2070">
        <v>50</v>
      </c>
      <c r="F2070">
        <v>441.19</v>
      </c>
      <c r="G2070" t="s">
        <v>33</v>
      </c>
      <c r="H2070" s="1">
        <v>45530</v>
      </c>
      <c r="I2070" s="1">
        <v>45564</v>
      </c>
      <c r="J2070" t="s">
        <v>38</v>
      </c>
      <c r="K2070" t="b">
        <f>Table1[[#This Row],[CurrentStock]]&lt;Table1[[#This Row],[ReorderLevel]]</f>
        <v>0</v>
      </c>
      <c r="L2070" s="9">
        <f>Table1[[#This Row],[CurrentStock]]*Table1[[#This Row],[UnitPrice]]</f>
        <v>115150.59</v>
      </c>
      <c r="M2070" t="str">
        <f>IF(Table1[[#This Row],[ReorderLevel]]-Table1[[#This Row],[CurrentStock]]&gt;0,Table1[[#This Row],[ReorderLevel]]-Table1[[#This Row],[CurrentStock]],"")</f>
        <v/>
      </c>
      <c r="N2070" t="str">
        <f>IF(Table1[[#This Row],[CurrentStock]]&gt;Table1[[#This Row],[ReorderLevel]]*3,"Over Stock","Okay")</f>
        <v>Over Stock</v>
      </c>
      <c r="O2070" t="str">
        <f>IF(Table1[[#This Row],[CurrentStock]]&lt;Table1[[#This Row],[ReorderLevel]],"Reorder","Okay")</f>
        <v>Okay</v>
      </c>
    </row>
    <row r="2071" spans="1:15" x14ac:dyDescent="0.3">
      <c r="A2071">
        <v>93017</v>
      </c>
      <c r="B2071" t="s">
        <v>26</v>
      </c>
      <c r="C2071" t="s">
        <v>30</v>
      </c>
      <c r="D2071">
        <v>68</v>
      </c>
      <c r="E2071">
        <v>80</v>
      </c>
      <c r="F2071">
        <v>340.3</v>
      </c>
      <c r="G2071" t="s">
        <v>35</v>
      </c>
      <c r="H2071" s="1">
        <v>45510</v>
      </c>
      <c r="I2071" s="1">
        <v>45518</v>
      </c>
      <c r="J2071" t="s">
        <v>38</v>
      </c>
      <c r="K2071" t="b">
        <f>Table1[[#This Row],[CurrentStock]]&lt;Table1[[#This Row],[ReorderLevel]]</f>
        <v>1</v>
      </c>
      <c r="L2071" s="9">
        <f>Table1[[#This Row],[CurrentStock]]*Table1[[#This Row],[UnitPrice]]</f>
        <v>23140.400000000001</v>
      </c>
      <c r="M2071">
        <f>IF(Table1[[#This Row],[ReorderLevel]]-Table1[[#This Row],[CurrentStock]]&gt;0,Table1[[#This Row],[ReorderLevel]]-Table1[[#This Row],[CurrentStock]],"")</f>
        <v>12</v>
      </c>
      <c r="N2071" t="str">
        <f>IF(Table1[[#This Row],[CurrentStock]]&gt;Table1[[#This Row],[ReorderLevel]]*3,"Over Stock","Okay")</f>
        <v>Okay</v>
      </c>
      <c r="O2071" t="str">
        <f>IF(Table1[[#This Row],[CurrentStock]]&lt;Table1[[#This Row],[ReorderLevel]],"Reorder","Okay")</f>
        <v>Reorder</v>
      </c>
    </row>
    <row r="2072" spans="1:15" x14ac:dyDescent="0.3">
      <c r="A2072">
        <v>18418</v>
      </c>
      <c r="B2072" t="s">
        <v>19</v>
      </c>
      <c r="C2072" t="s">
        <v>28</v>
      </c>
      <c r="D2072">
        <v>160</v>
      </c>
      <c r="E2072">
        <v>20</v>
      </c>
      <c r="F2072">
        <v>210.35</v>
      </c>
      <c r="G2072" t="s">
        <v>35</v>
      </c>
      <c r="H2072" s="1">
        <v>45549</v>
      </c>
      <c r="I2072" s="1">
        <v>45564</v>
      </c>
      <c r="J2072" t="s">
        <v>39</v>
      </c>
      <c r="K2072" t="b">
        <f>Table1[[#This Row],[CurrentStock]]&lt;Table1[[#This Row],[ReorderLevel]]</f>
        <v>0</v>
      </c>
      <c r="L2072" s="9">
        <f>Table1[[#This Row],[CurrentStock]]*Table1[[#This Row],[UnitPrice]]</f>
        <v>33656</v>
      </c>
      <c r="M2072" t="str">
        <f>IF(Table1[[#This Row],[ReorderLevel]]-Table1[[#This Row],[CurrentStock]]&gt;0,Table1[[#This Row],[ReorderLevel]]-Table1[[#This Row],[CurrentStock]],"")</f>
        <v/>
      </c>
      <c r="N2072" t="str">
        <f>IF(Table1[[#This Row],[CurrentStock]]&gt;Table1[[#This Row],[ReorderLevel]]*3,"Over Stock","Okay")</f>
        <v>Over Stock</v>
      </c>
      <c r="O2072" t="str">
        <f>IF(Table1[[#This Row],[CurrentStock]]&lt;Table1[[#This Row],[ReorderLevel]],"Reorder","Okay")</f>
        <v>Okay</v>
      </c>
    </row>
    <row r="2073" spans="1:15" x14ac:dyDescent="0.3">
      <c r="A2073">
        <v>15888</v>
      </c>
      <c r="B2073" t="s">
        <v>16</v>
      </c>
      <c r="C2073" t="s">
        <v>30</v>
      </c>
      <c r="D2073">
        <v>85</v>
      </c>
      <c r="E2073">
        <v>40</v>
      </c>
      <c r="F2073">
        <v>293.39</v>
      </c>
      <c r="G2073" t="s">
        <v>34</v>
      </c>
      <c r="H2073" s="1">
        <v>45650</v>
      </c>
      <c r="I2073" s="1">
        <v>45656</v>
      </c>
      <c r="J2073" t="s">
        <v>38</v>
      </c>
      <c r="K2073" t="b">
        <f>Table1[[#This Row],[CurrentStock]]&lt;Table1[[#This Row],[ReorderLevel]]</f>
        <v>0</v>
      </c>
      <c r="L2073" s="9">
        <f>Table1[[#This Row],[CurrentStock]]*Table1[[#This Row],[UnitPrice]]</f>
        <v>24938.149999999998</v>
      </c>
      <c r="M2073" t="str">
        <f>IF(Table1[[#This Row],[ReorderLevel]]-Table1[[#This Row],[CurrentStock]]&gt;0,Table1[[#This Row],[ReorderLevel]]-Table1[[#This Row],[CurrentStock]],"")</f>
        <v/>
      </c>
      <c r="N2073" t="str">
        <f>IF(Table1[[#This Row],[CurrentStock]]&gt;Table1[[#This Row],[ReorderLevel]]*3,"Over Stock","Okay")</f>
        <v>Okay</v>
      </c>
      <c r="O2073" t="str">
        <f>IF(Table1[[#This Row],[CurrentStock]]&lt;Table1[[#This Row],[ReorderLevel]],"Reorder","Okay")</f>
        <v>Okay</v>
      </c>
    </row>
    <row r="2074" spans="1:15" x14ac:dyDescent="0.3">
      <c r="A2074">
        <v>36691</v>
      </c>
      <c r="B2074" t="s">
        <v>22</v>
      </c>
      <c r="C2074" t="s">
        <v>27</v>
      </c>
      <c r="D2074">
        <v>251</v>
      </c>
      <c r="E2074">
        <v>80</v>
      </c>
      <c r="F2074">
        <v>30.89</v>
      </c>
      <c r="G2074" t="s">
        <v>32</v>
      </c>
      <c r="H2074" s="1">
        <v>45454</v>
      </c>
      <c r="I2074" s="1">
        <v>45466</v>
      </c>
      <c r="J2074" t="s">
        <v>38</v>
      </c>
      <c r="K2074" t="b">
        <f>Table1[[#This Row],[CurrentStock]]&lt;Table1[[#This Row],[ReorderLevel]]</f>
        <v>0</v>
      </c>
      <c r="L2074" s="9">
        <f>Table1[[#This Row],[CurrentStock]]*Table1[[#This Row],[UnitPrice]]</f>
        <v>7753.39</v>
      </c>
      <c r="M2074" t="str">
        <f>IF(Table1[[#This Row],[ReorderLevel]]-Table1[[#This Row],[CurrentStock]]&gt;0,Table1[[#This Row],[ReorderLevel]]-Table1[[#This Row],[CurrentStock]],"")</f>
        <v/>
      </c>
      <c r="N2074" t="str">
        <f>IF(Table1[[#This Row],[CurrentStock]]&gt;Table1[[#This Row],[ReorderLevel]]*3,"Over Stock","Okay")</f>
        <v>Over Stock</v>
      </c>
      <c r="O2074" t="str">
        <f>IF(Table1[[#This Row],[CurrentStock]]&lt;Table1[[#This Row],[ReorderLevel]],"Reorder","Okay")</f>
        <v>Okay</v>
      </c>
    </row>
    <row r="2075" spans="1:15" x14ac:dyDescent="0.3">
      <c r="A2075">
        <v>91499</v>
      </c>
      <c r="B2075" t="s">
        <v>24</v>
      </c>
      <c r="C2075" t="s">
        <v>31</v>
      </c>
      <c r="D2075">
        <v>441</v>
      </c>
      <c r="E2075">
        <v>20</v>
      </c>
      <c r="F2075">
        <v>59.44</v>
      </c>
      <c r="G2075" t="s">
        <v>33</v>
      </c>
      <c r="H2075" s="1">
        <v>45379</v>
      </c>
      <c r="I2075" s="1">
        <v>45388</v>
      </c>
      <c r="J2075" t="s">
        <v>39</v>
      </c>
      <c r="K2075" t="b">
        <f>Table1[[#This Row],[CurrentStock]]&lt;Table1[[#This Row],[ReorderLevel]]</f>
        <v>0</v>
      </c>
      <c r="L2075" s="9">
        <f>Table1[[#This Row],[CurrentStock]]*Table1[[#This Row],[UnitPrice]]</f>
        <v>26213.039999999997</v>
      </c>
      <c r="M2075" t="str">
        <f>IF(Table1[[#This Row],[ReorderLevel]]-Table1[[#This Row],[CurrentStock]]&gt;0,Table1[[#This Row],[ReorderLevel]]-Table1[[#This Row],[CurrentStock]],"")</f>
        <v/>
      </c>
      <c r="N2075" t="str">
        <f>IF(Table1[[#This Row],[CurrentStock]]&gt;Table1[[#This Row],[ReorderLevel]]*3,"Over Stock","Okay")</f>
        <v>Over Stock</v>
      </c>
      <c r="O2075" t="str">
        <f>IF(Table1[[#This Row],[CurrentStock]]&lt;Table1[[#This Row],[ReorderLevel]],"Reorder","Okay")</f>
        <v>Okay</v>
      </c>
    </row>
    <row r="2076" spans="1:15" x14ac:dyDescent="0.3">
      <c r="A2076">
        <v>47462</v>
      </c>
      <c r="B2076" t="s">
        <v>26</v>
      </c>
      <c r="C2076" t="s">
        <v>30</v>
      </c>
      <c r="D2076">
        <v>457</v>
      </c>
      <c r="E2076">
        <v>20</v>
      </c>
      <c r="F2076">
        <v>74.650000000000006</v>
      </c>
      <c r="G2076" t="s">
        <v>36</v>
      </c>
      <c r="H2076" s="1">
        <v>45487</v>
      </c>
      <c r="I2076" s="1">
        <v>45519</v>
      </c>
      <c r="J2076" t="s">
        <v>39</v>
      </c>
      <c r="K2076" t="b">
        <f>Table1[[#This Row],[CurrentStock]]&lt;Table1[[#This Row],[ReorderLevel]]</f>
        <v>0</v>
      </c>
      <c r="L2076" s="9">
        <f>Table1[[#This Row],[CurrentStock]]*Table1[[#This Row],[UnitPrice]]</f>
        <v>34115.050000000003</v>
      </c>
      <c r="M2076" t="str">
        <f>IF(Table1[[#This Row],[ReorderLevel]]-Table1[[#This Row],[CurrentStock]]&gt;0,Table1[[#This Row],[ReorderLevel]]-Table1[[#This Row],[CurrentStock]],"")</f>
        <v/>
      </c>
      <c r="N2076" t="str">
        <f>IF(Table1[[#This Row],[CurrentStock]]&gt;Table1[[#This Row],[ReorderLevel]]*3,"Over Stock","Okay")</f>
        <v>Over Stock</v>
      </c>
      <c r="O2076" t="str">
        <f>IF(Table1[[#This Row],[CurrentStock]]&lt;Table1[[#This Row],[ReorderLevel]],"Reorder","Okay")</f>
        <v>Okay</v>
      </c>
    </row>
    <row r="2077" spans="1:15" x14ac:dyDescent="0.3">
      <c r="A2077">
        <v>12792</v>
      </c>
      <c r="B2077" t="s">
        <v>21</v>
      </c>
      <c r="C2077" t="s">
        <v>31</v>
      </c>
      <c r="D2077">
        <v>358</v>
      </c>
      <c r="E2077">
        <v>50</v>
      </c>
      <c r="F2077">
        <v>94.25</v>
      </c>
      <c r="G2077" t="s">
        <v>36</v>
      </c>
      <c r="H2077" s="1">
        <v>45437</v>
      </c>
      <c r="I2077" s="1">
        <v>45457</v>
      </c>
      <c r="J2077" t="s">
        <v>37</v>
      </c>
      <c r="K2077" t="b">
        <f>Table1[[#This Row],[CurrentStock]]&lt;Table1[[#This Row],[ReorderLevel]]</f>
        <v>0</v>
      </c>
      <c r="L2077" s="9">
        <f>Table1[[#This Row],[CurrentStock]]*Table1[[#This Row],[UnitPrice]]</f>
        <v>33741.5</v>
      </c>
      <c r="M2077" t="str">
        <f>IF(Table1[[#This Row],[ReorderLevel]]-Table1[[#This Row],[CurrentStock]]&gt;0,Table1[[#This Row],[ReorderLevel]]-Table1[[#This Row],[CurrentStock]],"")</f>
        <v/>
      </c>
      <c r="N2077" t="str">
        <f>IF(Table1[[#This Row],[CurrentStock]]&gt;Table1[[#This Row],[ReorderLevel]]*3,"Over Stock","Okay")</f>
        <v>Over Stock</v>
      </c>
      <c r="O2077" t="str">
        <f>IF(Table1[[#This Row],[CurrentStock]]&lt;Table1[[#This Row],[ReorderLevel]],"Reorder","Okay")</f>
        <v>Okay</v>
      </c>
    </row>
    <row r="2078" spans="1:15" x14ac:dyDescent="0.3">
      <c r="A2078">
        <v>28243</v>
      </c>
      <c r="B2078" t="s">
        <v>12</v>
      </c>
      <c r="C2078" t="s">
        <v>28</v>
      </c>
      <c r="D2078">
        <v>7</v>
      </c>
      <c r="E2078">
        <v>50</v>
      </c>
      <c r="F2078">
        <v>63.98</v>
      </c>
      <c r="G2078" t="s">
        <v>34</v>
      </c>
      <c r="H2078" s="1">
        <v>45631</v>
      </c>
      <c r="I2078" s="1">
        <v>45653</v>
      </c>
      <c r="J2078" t="s">
        <v>39</v>
      </c>
      <c r="K2078" t="b">
        <f>Table1[[#This Row],[CurrentStock]]&lt;Table1[[#This Row],[ReorderLevel]]</f>
        <v>1</v>
      </c>
      <c r="L2078" s="9">
        <f>Table1[[#This Row],[CurrentStock]]*Table1[[#This Row],[UnitPrice]]</f>
        <v>447.85999999999996</v>
      </c>
      <c r="M2078">
        <f>IF(Table1[[#This Row],[ReorderLevel]]-Table1[[#This Row],[CurrentStock]]&gt;0,Table1[[#This Row],[ReorderLevel]]-Table1[[#This Row],[CurrentStock]],"")</f>
        <v>43</v>
      </c>
      <c r="N2078" t="str">
        <f>IF(Table1[[#This Row],[CurrentStock]]&gt;Table1[[#This Row],[ReorderLevel]]*3,"Over Stock","Okay")</f>
        <v>Okay</v>
      </c>
      <c r="O2078" t="str">
        <f>IF(Table1[[#This Row],[CurrentStock]]&lt;Table1[[#This Row],[ReorderLevel]],"Reorder","Okay")</f>
        <v>Reorder</v>
      </c>
    </row>
    <row r="2079" spans="1:15" x14ac:dyDescent="0.3">
      <c r="A2079">
        <v>16773</v>
      </c>
      <c r="B2079" t="s">
        <v>15</v>
      </c>
      <c r="C2079" t="s">
        <v>29</v>
      </c>
      <c r="D2079">
        <v>366</v>
      </c>
      <c r="E2079">
        <v>30</v>
      </c>
      <c r="F2079">
        <v>116.86</v>
      </c>
      <c r="G2079" t="s">
        <v>33</v>
      </c>
      <c r="H2079" s="1">
        <v>45326</v>
      </c>
      <c r="I2079" s="1">
        <v>45336</v>
      </c>
      <c r="J2079" t="s">
        <v>39</v>
      </c>
      <c r="K2079" t="b">
        <f>Table1[[#This Row],[CurrentStock]]&lt;Table1[[#This Row],[ReorderLevel]]</f>
        <v>0</v>
      </c>
      <c r="L2079" s="9">
        <f>Table1[[#This Row],[CurrentStock]]*Table1[[#This Row],[UnitPrice]]</f>
        <v>42770.76</v>
      </c>
      <c r="M2079" t="str">
        <f>IF(Table1[[#This Row],[ReorderLevel]]-Table1[[#This Row],[CurrentStock]]&gt;0,Table1[[#This Row],[ReorderLevel]]-Table1[[#This Row],[CurrentStock]],"")</f>
        <v/>
      </c>
      <c r="N2079" t="str">
        <f>IF(Table1[[#This Row],[CurrentStock]]&gt;Table1[[#This Row],[ReorderLevel]]*3,"Over Stock","Okay")</f>
        <v>Over Stock</v>
      </c>
      <c r="O2079" t="str">
        <f>IF(Table1[[#This Row],[CurrentStock]]&lt;Table1[[#This Row],[ReorderLevel]],"Reorder","Okay")</f>
        <v>Okay</v>
      </c>
    </row>
    <row r="2080" spans="1:15" x14ac:dyDescent="0.3">
      <c r="A2080">
        <v>99343</v>
      </c>
      <c r="B2080" t="s">
        <v>26</v>
      </c>
      <c r="C2080" t="s">
        <v>30</v>
      </c>
      <c r="D2080">
        <v>87</v>
      </c>
      <c r="E2080">
        <v>150</v>
      </c>
      <c r="F2080">
        <v>468.26</v>
      </c>
      <c r="G2080" t="s">
        <v>32</v>
      </c>
      <c r="H2080" s="1">
        <v>45424</v>
      </c>
      <c r="I2080" s="1">
        <v>45435</v>
      </c>
      <c r="J2080" t="s">
        <v>38</v>
      </c>
      <c r="K2080" t="b">
        <f>Table1[[#This Row],[CurrentStock]]&lt;Table1[[#This Row],[ReorderLevel]]</f>
        <v>1</v>
      </c>
      <c r="L2080" s="9">
        <f>Table1[[#This Row],[CurrentStock]]*Table1[[#This Row],[UnitPrice]]</f>
        <v>40738.620000000003</v>
      </c>
      <c r="M2080">
        <f>IF(Table1[[#This Row],[ReorderLevel]]-Table1[[#This Row],[CurrentStock]]&gt;0,Table1[[#This Row],[ReorderLevel]]-Table1[[#This Row],[CurrentStock]],"")</f>
        <v>63</v>
      </c>
      <c r="N2080" t="str">
        <f>IF(Table1[[#This Row],[CurrentStock]]&gt;Table1[[#This Row],[ReorderLevel]]*3,"Over Stock","Okay")</f>
        <v>Okay</v>
      </c>
      <c r="O2080" t="str">
        <f>IF(Table1[[#This Row],[CurrentStock]]&lt;Table1[[#This Row],[ReorderLevel]],"Reorder","Okay")</f>
        <v>Reorder</v>
      </c>
    </row>
    <row r="2081" spans="1:15" x14ac:dyDescent="0.3">
      <c r="A2081">
        <v>40875</v>
      </c>
      <c r="B2081" t="s">
        <v>26</v>
      </c>
      <c r="C2081" t="s">
        <v>30</v>
      </c>
      <c r="D2081">
        <v>34</v>
      </c>
      <c r="E2081">
        <v>30</v>
      </c>
      <c r="F2081">
        <v>406.99</v>
      </c>
      <c r="G2081" t="s">
        <v>34</v>
      </c>
      <c r="H2081" s="1">
        <v>45576</v>
      </c>
      <c r="I2081" s="1">
        <v>45582</v>
      </c>
      <c r="J2081" t="s">
        <v>37</v>
      </c>
      <c r="K2081" t="b">
        <f>Table1[[#This Row],[CurrentStock]]&lt;Table1[[#This Row],[ReorderLevel]]</f>
        <v>0</v>
      </c>
      <c r="L2081" s="9">
        <f>Table1[[#This Row],[CurrentStock]]*Table1[[#This Row],[UnitPrice]]</f>
        <v>13837.66</v>
      </c>
      <c r="M2081" t="str">
        <f>IF(Table1[[#This Row],[ReorderLevel]]-Table1[[#This Row],[CurrentStock]]&gt;0,Table1[[#This Row],[ReorderLevel]]-Table1[[#This Row],[CurrentStock]],"")</f>
        <v/>
      </c>
      <c r="N2081" t="str">
        <f>IF(Table1[[#This Row],[CurrentStock]]&gt;Table1[[#This Row],[ReorderLevel]]*3,"Over Stock","Okay")</f>
        <v>Okay</v>
      </c>
      <c r="O2081" t="str">
        <f>IF(Table1[[#This Row],[CurrentStock]]&lt;Table1[[#This Row],[ReorderLevel]],"Reorder","Okay")</f>
        <v>Okay</v>
      </c>
    </row>
    <row r="2082" spans="1:15" x14ac:dyDescent="0.3">
      <c r="A2082">
        <v>50533</v>
      </c>
      <c r="B2082" t="s">
        <v>15</v>
      </c>
      <c r="C2082" t="s">
        <v>29</v>
      </c>
      <c r="D2082">
        <v>373</v>
      </c>
      <c r="E2082">
        <v>30</v>
      </c>
      <c r="F2082">
        <v>245.04</v>
      </c>
      <c r="G2082" t="s">
        <v>36</v>
      </c>
      <c r="H2082" s="1">
        <v>45655</v>
      </c>
      <c r="I2082" s="1">
        <v>45693</v>
      </c>
      <c r="J2082" t="s">
        <v>39</v>
      </c>
      <c r="K2082" t="b">
        <f>Table1[[#This Row],[CurrentStock]]&lt;Table1[[#This Row],[ReorderLevel]]</f>
        <v>0</v>
      </c>
      <c r="L2082" s="9">
        <f>Table1[[#This Row],[CurrentStock]]*Table1[[#This Row],[UnitPrice]]</f>
        <v>91399.92</v>
      </c>
      <c r="M2082" t="str">
        <f>IF(Table1[[#This Row],[ReorderLevel]]-Table1[[#This Row],[CurrentStock]]&gt;0,Table1[[#This Row],[ReorderLevel]]-Table1[[#This Row],[CurrentStock]],"")</f>
        <v/>
      </c>
      <c r="N2082" t="str">
        <f>IF(Table1[[#This Row],[CurrentStock]]&gt;Table1[[#This Row],[ReorderLevel]]*3,"Over Stock","Okay")</f>
        <v>Over Stock</v>
      </c>
      <c r="O2082" t="str">
        <f>IF(Table1[[#This Row],[CurrentStock]]&lt;Table1[[#This Row],[ReorderLevel]],"Reorder","Okay")</f>
        <v>Okay</v>
      </c>
    </row>
    <row r="2083" spans="1:15" x14ac:dyDescent="0.3">
      <c r="A2083">
        <v>24538</v>
      </c>
      <c r="B2083" t="s">
        <v>26</v>
      </c>
      <c r="C2083" t="s">
        <v>30</v>
      </c>
      <c r="D2083">
        <v>457</v>
      </c>
      <c r="E2083">
        <v>30</v>
      </c>
      <c r="F2083">
        <v>33.299999999999997</v>
      </c>
      <c r="G2083" t="s">
        <v>34</v>
      </c>
      <c r="H2083" s="1">
        <v>45504</v>
      </c>
      <c r="I2083" s="1">
        <v>45521</v>
      </c>
      <c r="J2083" t="s">
        <v>39</v>
      </c>
      <c r="K2083" t="b">
        <f>Table1[[#This Row],[CurrentStock]]&lt;Table1[[#This Row],[ReorderLevel]]</f>
        <v>0</v>
      </c>
      <c r="L2083" s="9">
        <f>Table1[[#This Row],[CurrentStock]]*Table1[[#This Row],[UnitPrice]]</f>
        <v>15218.099999999999</v>
      </c>
      <c r="M2083" t="str">
        <f>IF(Table1[[#This Row],[ReorderLevel]]-Table1[[#This Row],[CurrentStock]]&gt;0,Table1[[#This Row],[ReorderLevel]]-Table1[[#This Row],[CurrentStock]],"")</f>
        <v/>
      </c>
      <c r="N2083" t="str">
        <f>IF(Table1[[#This Row],[CurrentStock]]&gt;Table1[[#This Row],[ReorderLevel]]*3,"Over Stock","Okay")</f>
        <v>Over Stock</v>
      </c>
      <c r="O2083" t="str">
        <f>IF(Table1[[#This Row],[CurrentStock]]&lt;Table1[[#This Row],[ReorderLevel]],"Reorder","Okay")</f>
        <v>Okay</v>
      </c>
    </row>
    <row r="2084" spans="1:15" x14ac:dyDescent="0.3">
      <c r="A2084">
        <v>54191</v>
      </c>
      <c r="B2084" t="s">
        <v>12</v>
      </c>
      <c r="C2084" t="s">
        <v>28</v>
      </c>
      <c r="D2084">
        <v>361</v>
      </c>
      <c r="E2084">
        <v>40</v>
      </c>
      <c r="F2084">
        <v>107.52</v>
      </c>
      <c r="G2084" t="s">
        <v>35</v>
      </c>
      <c r="H2084" s="1">
        <v>45452</v>
      </c>
      <c r="I2084" s="1">
        <v>45464</v>
      </c>
      <c r="J2084" t="s">
        <v>39</v>
      </c>
      <c r="K2084" t="b">
        <f>Table1[[#This Row],[CurrentStock]]&lt;Table1[[#This Row],[ReorderLevel]]</f>
        <v>0</v>
      </c>
      <c r="L2084" s="9">
        <f>Table1[[#This Row],[CurrentStock]]*Table1[[#This Row],[UnitPrice]]</f>
        <v>38814.720000000001</v>
      </c>
      <c r="M2084" t="str">
        <f>IF(Table1[[#This Row],[ReorderLevel]]-Table1[[#This Row],[CurrentStock]]&gt;0,Table1[[#This Row],[ReorderLevel]]-Table1[[#This Row],[CurrentStock]],"")</f>
        <v/>
      </c>
      <c r="N2084" t="str">
        <f>IF(Table1[[#This Row],[CurrentStock]]&gt;Table1[[#This Row],[ReorderLevel]]*3,"Over Stock","Okay")</f>
        <v>Over Stock</v>
      </c>
      <c r="O2084" t="str">
        <f>IF(Table1[[#This Row],[CurrentStock]]&lt;Table1[[#This Row],[ReorderLevel]],"Reorder","Okay")</f>
        <v>Okay</v>
      </c>
    </row>
    <row r="2085" spans="1:15" x14ac:dyDescent="0.3">
      <c r="A2085">
        <v>89946</v>
      </c>
      <c r="B2085" t="s">
        <v>25</v>
      </c>
      <c r="C2085" t="s">
        <v>31</v>
      </c>
      <c r="D2085">
        <v>105</v>
      </c>
      <c r="E2085">
        <v>150</v>
      </c>
      <c r="F2085">
        <v>59.62</v>
      </c>
      <c r="G2085" t="s">
        <v>33</v>
      </c>
      <c r="H2085" s="1">
        <v>45568</v>
      </c>
      <c r="I2085" s="1">
        <v>45604</v>
      </c>
      <c r="J2085" t="s">
        <v>39</v>
      </c>
      <c r="K2085" t="b">
        <f>Table1[[#This Row],[CurrentStock]]&lt;Table1[[#This Row],[ReorderLevel]]</f>
        <v>1</v>
      </c>
      <c r="L2085" s="9">
        <f>Table1[[#This Row],[CurrentStock]]*Table1[[#This Row],[UnitPrice]]</f>
        <v>6260.0999999999995</v>
      </c>
      <c r="M2085">
        <f>IF(Table1[[#This Row],[ReorderLevel]]-Table1[[#This Row],[CurrentStock]]&gt;0,Table1[[#This Row],[ReorderLevel]]-Table1[[#This Row],[CurrentStock]],"")</f>
        <v>45</v>
      </c>
      <c r="N2085" t="str">
        <f>IF(Table1[[#This Row],[CurrentStock]]&gt;Table1[[#This Row],[ReorderLevel]]*3,"Over Stock","Okay")</f>
        <v>Okay</v>
      </c>
      <c r="O2085" t="str">
        <f>IF(Table1[[#This Row],[CurrentStock]]&lt;Table1[[#This Row],[ReorderLevel]],"Reorder","Okay")</f>
        <v>Reorder</v>
      </c>
    </row>
    <row r="2086" spans="1:15" x14ac:dyDescent="0.3">
      <c r="A2086">
        <v>93247</v>
      </c>
      <c r="B2086" t="s">
        <v>15</v>
      </c>
      <c r="C2086" t="s">
        <v>29</v>
      </c>
      <c r="D2086">
        <v>481</v>
      </c>
      <c r="E2086">
        <v>80</v>
      </c>
      <c r="F2086">
        <v>490.9</v>
      </c>
      <c r="G2086" t="s">
        <v>32</v>
      </c>
      <c r="H2086" s="1">
        <v>45625</v>
      </c>
      <c r="I2086" s="1">
        <v>45654</v>
      </c>
      <c r="J2086" t="s">
        <v>37</v>
      </c>
      <c r="K2086" t="b">
        <f>Table1[[#This Row],[CurrentStock]]&lt;Table1[[#This Row],[ReorderLevel]]</f>
        <v>0</v>
      </c>
      <c r="L2086" s="9">
        <f>Table1[[#This Row],[CurrentStock]]*Table1[[#This Row],[UnitPrice]]</f>
        <v>236122.9</v>
      </c>
      <c r="M2086" t="str">
        <f>IF(Table1[[#This Row],[ReorderLevel]]-Table1[[#This Row],[CurrentStock]]&gt;0,Table1[[#This Row],[ReorderLevel]]-Table1[[#This Row],[CurrentStock]],"")</f>
        <v/>
      </c>
      <c r="N2086" t="str">
        <f>IF(Table1[[#This Row],[CurrentStock]]&gt;Table1[[#This Row],[ReorderLevel]]*3,"Over Stock","Okay")</f>
        <v>Over Stock</v>
      </c>
      <c r="O2086" t="str">
        <f>IF(Table1[[#This Row],[CurrentStock]]&lt;Table1[[#This Row],[ReorderLevel]],"Reorder","Okay")</f>
        <v>Okay</v>
      </c>
    </row>
    <row r="2087" spans="1:15" x14ac:dyDescent="0.3">
      <c r="A2087">
        <v>98232</v>
      </c>
      <c r="B2087" t="s">
        <v>17</v>
      </c>
      <c r="C2087" t="s">
        <v>30</v>
      </c>
      <c r="D2087">
        <v>165</v>
      </c>
      <c r="E2087">
        <v>150</v>
      </c>
      <c r="F2087">
        <v>469.49</v>
      </c>
      <c r="G2087" t="s">
        <v>33</v>
      </c>
      <c r="H2087" s="1">
        <v>45328</v>
      </c>
      <c r="I2087" s="1">
        <v>45338</v>
      </c>
      <c r="J2087" t="s">
        <v>37</v>
      </c>
      <c r="K2087" t="b">
        <f>Table1[[#This Row],[CurrentStock]]&lt;Table1[[#This Row],[ReorderLevel]]</f>
        <v>0</v>
      </c>
      <c r="L2087" s="9">
        <f>Table1[[#This Row],[CurrentStock]]*Table1[[#This Row],[UnitPrice]]</f>
        <v>77465.850000000006</v>
      </c>
      <c r="M2087" t="str">
        <f>IF(Table1[[#This Row],[ReorderLevel]]-Table1[[#This Row],[CurrentStock]]&gt;0,Table1[[#This Row],[ReorderLevel]]-Table1[[#This Row],[CurrentStock]],"")</f>
        <v/>
      </c>
      <c r="N2087" t="str">
        <f>IF(Table1[[#This Row],[CurrentStock]]&gt;Table1[[#This Row],[ReorderLevel]]*3,"Over Stock","Okay")</f>
        <v>Okay</v>
      </c>
      <c r="O2087" t="str">
        <f>IF(Table1[[#This Row],[CurrentStock]]&lt;Table1[[#This Row],[ReorderLevel]],"Reorder","Okay")</f>
        <v>Okay</v>
      </c>
    </row>
    <row r="2088" spans="1:15" x14ac:dyDescent="0.3">
      <c r="A2088">
        <v>34336</v>
      </c>
      <c r="B2088" t="s">
        <v>23</v>
      </c>
      <c r="C2088" t="s">
        <v>30</v>
      </c>
      <c r="D2088">
        <v>498</v>
      </c>
      <c r="E2088">
        <v>50</v>
      </c>
      <c r="F2088">
        <v>247.57</v>
      </c>
      <c r="G2088" t="s">
        <v>35</v>
      </c>
      <c r="H2088" s="1">
        <v>45433</v>
      </c>
      <c r="I2088" s="1">
        <v>45438</v>
      </c>
      <c r="J2088" t="s">
        <v>38</v>
      </c>
      <c r="K2088" t="b">
        <f>Table1[[#This Row],[CurrentStock]]&lt;Table1[[#This Row],[ReorderLevel]]</f>
        <v>0</v>
      </c>
      <c r="L2088" s="9">
        <f>Table1[[#This Row],[CurrentStock]]*Table1[[#This Row],[UnitPrice]]</f>
        <v>123289.86</v>
      </c>
      <c r="M2088" t="str">
        <f>IF(Table1[[#This Row],[ReorderLevel]]-Table1[[#This Row],[CurrentStock]]&gt;0,Table1[[#This Row],[ReorderLevel]]-Table1[[#This Row],[CurrentStock]],"")</f>
        <v/>
      </c>
      <c r="N2088" t="str">
        <f>IF(Table1[[#This Row],[CurrentStock]]&gt;Table1[[#This Row],[ReorderLevel]]*3,"Over Stock","Okay")</f>
        <v>Over Stock</v>
      </c>
      <c r="O2088" t="str">
        <f>IF(Table1[[#This Row],[CurrentStock]]&lt;Table1[[#This Row],[ReorderLevel]],"Reorder","Okay")</f>
        <v>Okay</v>
      </c>
    </row>
    <row r="2089" spans="1:15" x14ac:dyDescent="0.3">
      <c r="A2089">
        <v>36447</v>
      </c>
      <c r="B2089" t="s">
        <v>26</v>
      </c>
      <c r="C2089" t="s">
        <v>30</v>
      </c>
      <c r="D2089">
        <v>117</v>
      </c>
      <c r="E2089">
        <v>80</v>
      </c>
      <c r="F2089">
        <v>223.55</v>
      </c>
      <c r="G2089" t="s">
        <v>33</v>
      </c>
      <c r="H2089" s="1">
        <v>45427</v>
      </c>
      <c r="I2089" s="1">
        <v>45461</v>
      </c>
      <c r="J2089" t="s">
        <v>37</v>
      </c>
      <c r="K2089" t="b">
        <f>Table1[[#This Row],[CurrentStock]]&lt;Table1[[#This Row],[ReorderLevel]]</f>
        <v>0</v>
      </c>
      <c r="L2089" s="9">
        <f>Table1[[#This Row],[CurrentStock]]*Table1[[#This Row],[UnitPrice]]</f>
        <v>26155.350000000002</v>
      </c>
      <c r="M2089" t="str">
        <f>IF(Table1[[#This Row],[ReorderLevel]]-Table1[[#This Row],[CurrentStock]]&gt;0,Table1[[#This Row],[ReorderLevel]]-Table1[[#This Row],[CurrentStock]],"")</f>
        <v/>
      </c>
      <c r="N2089" t="str">
        <f>IF(Table1[[#This Row],[CurrentStock]]&gt;Table1[[#This Row],[ReorderLevel]]*3,"Over Stock","Okay")</f>
        <v>Okay</v>
      </c>
      <c r="O2089" t="str">
        <f>IF(Table1[[#This Row],[CurrentStock]]&lt;Table1[[#This Row],[ReorderLevel]],"Reorder","Okay")</f>
        <v>Okay</v>
      </c>
    </row>
    <row r="2090" spans="1:15" x14ac:dyDescent="0.3">
      <c r="A2090">
        <v>26945</v>
      </c>
      <c r="B2090" t="s">
        <v>25</v>
      </c>
      <c r="C2090" t="s">
        <v>31</v>
      </c>
      <c r="D2090">
        <v>428</v>
      </c>
      <c r="E2090">
        <v>40</v>
      </c>
      <c r="F2090">
        <v>28.44</v>
      </c>
      <c r="G2090" t="s">
        <v>35</v>
      </c>
      <c r="H2090" s="1">
        <v>45615</v>
      </c>
      <c r="I2090" s="1">
        <v>45638</v>
      </c>
      <c r="J2090" t="s">
        <v>39</v>
      </c>
      <c r="K2090" t="b">
        <f>Table1[[#This Row],[CurrentStock]]&lt;Table1[[#This Row],[ReorderLevel]]</f>
        <v>0</v>
      </c>
      <c r="L2090" s="9">
        <f>Table1[[#This Row],[CurrentStock]]*Table1[[#This Row],[UnitPrice]]</f>
        <v>12172.32</v>
      </c>
      <c r="M2090" t="str">
        <f>IF(Table1[[#This Row],[ReorderLevel]]-Table1[[#This Row],[CurrentStock]]&gt;0,Table1[[#This Row],[ReorderLevel]]-Table1[[#This Row],[CurrentStock]],"")</f>
        <v/>
      </c>
      <c r="N2090" t="str">
        <f>IF(Table1[[#This Row],[CurrentStock]]&gt;Table1[[#This Row],[ReorderLevel]]*3,"Over Stock","Okay")</f>
        <v>Over Stock</v>
      </c>
      <c r="O2090" t="str">
        <f>IF(Table1[[#This Row],[CurrentStock]]&lt;Table1[[#This Row],[ReorderLevel]],"Reorder","Okay")</f>
        <v>Okay</v>
      </c>
    </row>
    <row r="2091" spans="1:15" x14ac:dyDescent="0.3">
      <c r="A2091">
        <v>45449</v>
      </c>
      <c r="B2091" t="s">
        <v>20</v>
      </c>
      <c r="C2091" t="s">
        <v>29</v>
      </c>
      <c r="D2091">
        <v>478</v>
      </c>
      <c r="E2091">
        <v>50</v>
      </c>
      <c r="F2091">
        <v>243.82</v>
      </c>
      <c r="G2091" t="s">
        <v>33</v>
      </c>
      <c r="H2091" s="1">
        <v>45330</v>
      </c>
      <c r="I2091" s="1">
        <v>45341</v>
      </c>
      <c r="J2091" t="s">
        <v>38</v>
      </c>
      <c r="K2091" t="b">
        <f>Table1[[#This Row],[CurrentStock]]&lt;Table1[[#This Row],[ReorderLevel]]</f>
        <v>0</v>
      </c>
      <c r="L2091" s="9">
        <f>Table1[[#This Row],[CurrentStock]]*Table1[[#This Row],[UnitPrice]]</f>
        <v>116545.95999999999</v>
      </c>
      <c r="M2091" t="str">
        <f>IF(Table1[[#This Row],[ReorderLevel]]-Table1[[#This Row],[CurrentStock]]&gt;0,Table1[[#This Row],[ReorderLevel]]-Table1[[#This Row],[CurrentStock]],"")</f>
        <v/>
      </c>
      <c r="N2091" t="str">
        <f>IF(Table1[[#This Row],[CurrentStock]]&gt;Table1[[#This Row],[ReorderLevel]]*3,"Over Stock","Okay")</f>
        <v>Over Stock</v>
      </c>
      <c r="O2091" t="str">
        <f>IF(Table1[[#This Row],[CurrentStock]]&lt;Table1[[#This Row],[ReorderLevel]],"Reorder","Okay")</f>
        <v>Okay</v>
      </c>
    </row>
    <row r="2092" spans="1:15" x14ac:dyDescent="0.3">
      <c r="A2092">
        <v>28706</v>
      </c>
      <c r="B2092" t="s">
        <v>16</v>
      </c>
      <c r="C2092" t="s">
        <v>30</v>
      </c>
      <c r="D2092">
        <v>214</v>
      </c>
      <c r="E2092">
        <v>50</v>
      </c>
      <c r="F2092">
        <v>282.01</v>
      </c>
      <c r="G2092" t="s">
        <v>34</v>
      </c>
      <c r="H2092" s="1">
        <v>45316</v>
      </c>
      <c r="I2092" s="1">
        <v>45348</v>
      </c>
      <c r="J2092" t="s">
        <v>39</v>
      </c>
      <c r="K2092" t="b">
        <f>Table1[[#This Row],[CurrentStock]]&lt;Table1[[#This Row],[ReorderLevel]]</f>
        <v>0</v>
      </c>
      <c r="L2092" s="9">
        <f>Table1[[#This Row],[CurrentStock]]*Table1[[#This Row],[UnitPrice]]</f>
        <v>60350.14</v>
      </c>
      <c r="M2092" t="str">
        <f>IF(Table1[[#This Row],[ReorderLevel]]-Table1[[#This Row],[CurrentStock]]&gt;0,Table1[[#This Row],[ReorderLevel]]-Table1[[#This Row],[CurrentStock]],"")</f>
        <v/>
      </c>
      <c r="N2092" t="str">
        <f>IF(Table1[[#This Row],[CurrentStock]]&gt;Table1[[#This Row],[ReorderLevel]]*3,"Over Stock","Okay")</f>
        <v>Over Stock</v>
      </c>
      <c r="O2092" t="str">
        <f>IF(Table1[[#This Row],[CurrentStock]]&lt;Table1[[#This Row],[ReorderLevel]],"Reorder","Okay")</f>
        <v>Okay</v>
      </c>
    </row>
    <row r="2093" spans="1:15" x14ac:dyDescent="0.3">
      <c r="A2093">
        <v>37924</v>
      </c>
      <c r="B2093" t="s">
        <v>18</v>
      </c>
      <c r="C2093" t="s">
        <v>28</v>
      </c>
      <c r="D2093">
        <v>65</v>
      </c>
      <c r="E2093">
        <v>150</v>
      </c>
      <c r="F2093">
        <v>82.08</v>
      </c>
      <c r="G2093" t="s">
        <v>34</v>
      </c>
      <c r="H2093" s="1">
        <v>45437</v>
      </c>
      <c r="I2093" s="1">
        <v>45442</v>
      </c>
      <c r="J2093" t="s">
        <v>39</v>
      </c>
      <c r="K2093" t="b">
        <f>Table1[[#This Row],[CurrentStock]]&lt;Table1[[#This Row],[ReorderLevel]]</f>
        <v>1</v>
      </c>
      <c r="L2093" s="9">
        <f>Table1[[#This Row],[CurrentStock]]*Table1[[#This Row],[UnitPrice]]</f>
        <v>5335.2</v>
      </c>
      <c r="M2093">
        <f>IF(Table1[[#This Row],[ReorderLevel]]-Table1[[#This Row],[CurrentStock]]&gt;0,Table1[[#This Row],[ReorderLevel]]-Table1[[#This Row],[CurrentStock]],"")</f>
        <v>85</v>
      </c>
      <c r="N2093" t="str">
        <f>IF(Table1[[#This Row],[CurrentStock]]&gt;Table1[[#This Row],[ReorderLevel]]*3,"Over Stock","Okay")</f>
        <v>Okay</v>
      </c>
      <c r="O2093" t="str">
        <f>IF(Table1[[#This Row],[CurrentStock]]&lt;Table1[[#This Row],[ReorderLevel]],"Reorder","Okay")</f>
        <v>Reorder</v>
      </c>
    </row>
    <row r="2094" spans="1:15" x14ac:dyDescent="0.3">
      <c r="A2094">
        <v>82575</v>
      </c>
      <c r="B2094" t="s">
        <v>15</v>
      </c>
      <c r="C2094" t="s">
        <v>29</v>
      </c>
      <c r="D2094">
        <v>110</v>
      </c>
      <c r="E2094">
        <v>80</v>
      </c>
      <c r="F2094">
        <v>393.57</v>
      </c>
      <c r="G2094" t="s">
        <v>36</v>
      </c>
      <c r="H2094" s="1">
        <v>45449</v>
      </c>
      <c r="I2094" s="1">
        <v>45477</v>
      </c>
      <c r="J2094" t="s">
        <v>38</v>
      </c>
      <c r="K2094" t="b">
        <f>Table1[[#This Row],[CurrentStock]]&lt;Table1[[#This Row],[ReorderLevel]]</f>
        <v>0</v>
      </c>
      <c r="L2094" s="9">
        <f>Table1[[#This Row],[CurrentStock]]*Table1[[#This Row],[UnitPrice]]</f>
        <v>43292.7</v>
      </c>
      <c r="M2094" t="str">
        <f>IF(Table1[[#This Row],[ReorderLevel]]-Table1[[#This Row],[CurrentStock]]&gt;0,Table1[[#This Row],[ReorderLevel]]-Table1[[#This Row],[CurrentStock]],"")</f>
        <v/>
      </c>
      <c r="N2094" t="str">
        <f>IF(Table1[[#This Row],[CurrentStock]]&gt;Table1[[#This Row],[ReorderLevel]]*3,"Over Stock","Okay")</f>
        <v>Okay</v>
      </c>
      <c r="O2094" t="str">
        <f>IF(Table1[[#This Row],[CurrentStock]]&lt;Table1[[#This Row],[ReorderLevel]],"Reorder","Okay")</f>
        <v>Okay</v>
      </c>
    </row>
    <row r="2095" spans="1:15" x14ac:dyDescent="0.3">
      <c r="A2095">
        <v>10360</v>
      </c>
      <c r="B2095" t="s">
        <v>14</v>
      </c>
      <c r="C2095" t="s">
        <v>27</v>
      </c>
      <c r="D2095">
        <v>358</v>
      </c>
      <c r="E2095">
        <v>40</v>
      </c>
      <c r="F2095">
        <v>100.03</v>
      </c>
      <c r="G2095" t="s">
        <v>35</v>
      </c>
      <c r="H2095" s="1">
        <v>45455</v>
      </c>
      <c r="I2095" s="1">
        <v>45472</v>
      </c>
      <c r="J2095" t="s">
        <v>38</v>
      </c>
      <c r="K2095" t="b">
        <f>Table1[[#This Row],[CurrentStock]]&lt;Table1[[#This Row],[ReorderLevel]]</f>
        <v>0</v>
      </c>
      <c r="L2095" s="9">
        <f>Table1[[#This Row],[CurrentStock]]*Table1[[#This Row],[UnitPrice]]</f>
        <v>35810.74</v>
      </c>
      <c r="M2095" t="str">
        <f>IF(Table1[[#This Row],[ReorderLevel]]-Table1[[#This Row],[CurrentStock]]&gt;0,Table1[[#This Row],[ReorderLevel]]-Table1[[#This Row],[CurrentStock]],"")</f>
        <v/>
      </c>
      <c r="N2095" t="str">
        <f>IF(Table1[[#This Row],[CurrentStock]]&gt;Table1[[#This Row],[ReorderLevel]]*3,"Over Stock","Okay")</f>
        <v>Over Stock</v>
      </c>
      <c r="O2095" t="str">
        <f>IF(Table1[[#This Row],[CurrentStock]]&lt;Table1[[#This Row],[ReorderLevel]],"Reorder","Okay")</f>
        <v>Okay</v>
      </c>
    </row>
    <row r="2096" spans="1:15" x14ac:dyDescent="0.3">
      <c r="A2096">
        <v>80655</v>
      </c>
      <c r="B2096" t="s">
        <v>16</v>
      </c>
      <c r="C2096" t="s">
        <v>30</v>
      </c>
      <c r="D2096">
        <v>194</v>
      </c>
      <c r="E2096">
        <v>20</v>
      </c>
      <c r="F2096">
        <v>48.82</v>
      </c>
      <c r="G2096" t="s">
        <v>34</v>
      </c>
      <c r="H2096" s="1">
        <v>45512</v>
      </c>
      <c r="I2096" s="1">
        <v>45527</v>
      </c>
      <c r="J2096" t="s">
        <v>38</v>
      </c>
      <c r="K2096" t="b">
        <f>Table1[[#This Row],[CurrentStock]]&lt;Table1[[#This Row],[ReorderLevel]]</f>
        <v>0</v>
      </c>
      <c r="L2096" s="9">
        <f>Table1[[#This Row],[CurrentStock]]*Table1[[#This Row],[UnitPrice]]</f>
        <v>9471.08</v>
      </c>
      <c r="M2096" t="str">
        <f>IF(Table1[[#This Row],[ReorderLevel]]-Table1[[#This Row],[CurrentStock]]&gt;0,Table1[[#This Row],[ReorderLevel]]-Table1[[#This Row],[CurrentStock]],"")</f>
        <v/>
      </c>
      <c r="N2096" t="str">
        <f>IF(Table1[[#This Row],[CurrentStock]]&gt;Table1[[#This Row],[ReorderLevel]]*3,"Over Stock","Okay")</f>
        <v>Over Stock</v>
      </c>
      <c r="O2096" t="str">
        <f>IF(Table1[[#This Row],[CurrentStock]]&lt;Table1[[#This Row],[ReorderLevel]],"Reorder","Okay")</f>
        <v>Okay</v>
      </c>
    </row>
    <row r="2097" spans="1:15" x14ac:dyDescent="0.3">
      <c r="A2097">
        <v>45081</v>
      </c>
      <c r="B2097" t="s">
        <v>18</v>
      </c>
      <c r="C2097" t="s">
        <v>28</v>
      </c>
      <c r="D2097">
        <v>153</v>
      </c>
      <c r="E2097">
        <v>80</v>
      </c>
      <c r="F2097">
        <v>404</v>
      </c>
      <c r="G2097" t="s">
        <v>33</v>
      </c>
      <c r="H2097" s="1">
        <v>45322</v>
      </c>
      <c r="I2097" s="1">
        <v>45357</v>
      </c>
      <c r="J2097" t="s">
        <v>37</v>
      </c>
      <c r="K2097" t="b">
        <f>Table1[[#This Row],[CurrentStock]]&lt;Table1[[#This Row],[ReorderLevel]]</f>
        <v>0</v>
      </c>
      <c r="L2097" s="9">
        <f>Table1[[#This Row],[CurrentStock]]*Table1[[#This Row],[UnitPrice]]</f>
        <v>61812</v>
      </c>
      <c r="M2097" t="str">
        <f>IF(Table1[[#This Row],[ReorderLevel]]-Table1[[#This Row],[CurrentStock]]&gt;0,Table1[[#This Row],[ReorderLevel]]-Table1[[#This Row],[CurrentStock]],"")</f>
        <v/>
      </c>
      <c r="N2097" t="str">
        <f>IF(Table1[[#This Row],[CurrentStock]]&gt;Table1[[#This Row],[ReorderLevel]]*3,"Over Stock","Okay")</f>
        <v>Okay</v>
      </c>
      <c r="O2097" t="str">
        <f>IF(Table1[[#This Row],[CurrentStock]]&lt;Table1[[#This Row],[ReorderLevel]],"Reorder","Okay")</f>
        <v>Okay</v>
      </c>
    </row>
    <row r="2098" spans="1:15" x14ac:dyDescent="0.3">
      <c r="A2098">
        <v>22427</v>
      </c>
      <c r="B2098" t="s">
        <v>14</v>
      </c>
      <c r="C2098" t="s">
        <v>27</v>
      </c>
      <c r="D2098">
        <v>200</v>
      </c>
      <c r="E2098">
        <v>150</v>
      </c>
      <c r="F2098">
        <v>485.9</v>
      </c>
      <c r="G2098" t="s">
        <v>34</v>
      </c>
      <c r="H2098" s="1">
        <v>45381</v>
      </c>
      <c r="I2098" s="1">
        <v>45409</v>
      </c>
      <c r="J2098" t="s">
        <v>39</v>
      </c>
      <c r="K2098" t="b">
        <f>Table1[[#This Row],[CurrentStock]]&lt;Table1[[#This Row],[ReorderLevel]]</f>
        <v>0</v>
      </c>
      <c r="L2098" s="9">
        <f>Table1[[#This Row],[CurrentStock]]*Table1[[#This Row],[UnitPrice]]</f>
        <v>97180</v>
      </c>
      <c r="M2098" t="str">
        <f>IF(Table1[[#This Row],[ReorderLevel]]-Table1[[#This Row],[CurrentStock]]&gt;0,Table1[[#This Row],[ReorderLevel]]-Table1[[#This Row],[CurrentStock]],"")</f>
        <v/>
      </c>
      <c r="N2098" t="str">
        <f>IF(Table1[[#This Row],[CurrentStock]]&gt;Table1[[#This Row],[ReorderLevel]]*3,"Over Stock","Okay")</f>
        <v>Okay</v>
      </c>
      <c r="O2098" t="str">
        <f>IF(Table1[[#This Row],[CurrentStock]]&lt;Table1[[#This Row],[ReorderLevel]],"Reorder","Okay")</f>
        <v>Okay</v>
      </c>
    </row>
    <row r="2099" spans="1:15" x14ac:dyDescent="0.3">
      <c r="A2099">
        <v>83586</v>
      </c>
      <c r="B2099" t="s">
        <v>17</v>
      </c>
      <c r="C2099" t="s">
        <v>30</v>
      </c>
      <c r="D2099">
        <v>466</v>
      </c>
      <c r="E2099">
        <v>150</v>
      </c>
      <c r="F2099">
        <v>97.48</v>
      </c>
      <c r="G2099" t="s">
        <v>34</v>
      </c>
      <c r="H2099" s="1">
        <v>45643</v>
      </c>
      <c r="I2099" s="1">
        <v>45667</v>
      </c>
      <c r="J2099" t="s">
        <v>39</v>
      </c>
      <c r="K2099" t="b">
        <f>Table1[[#This Row],[CurrentStock]]&lt;Table1[[#This Row],[ReorderLevel]]</f>
        <v>0</v>
      </c>
      <c r="L2099" s="9">
        <f>Table1[[#This Row],[CurrentStock]]*Table1[[#This Row],[UnitPrice]]</f>
        <v>45425.68</v>
      </c>
      <c r="M2099" t="str">
        <f>IF(Table1[[#This Row],[ReorderLevel]]-Table1[[#This Row],[CurrentStock]]&gt;0,Table1[[#This Row],[ReorderLevel]]-Table1[[#This Row],[CurrentStock]],"")</f>
        <v/>
      </c>
      <c r="N2099" t="str">
        <f>IF(Table1[[#This Row],[CurrentStock]]&gt;Table1[[#This Row],[ReorderLevel]]*3,"Over Stock","Okay")</f>
        <v>Over Stock</v>
      </c>
      <c r="O2099" t="str">
        <f>IF(Table1[[#This Row],[CurrentStock]]&lt;Table1[[#This Row],[ReorderLevel]],"Reorder","Okay")</f>
        <v>Okay</v>
      </c>
    </row>
    <row r="2100" spans="1:15" x14ac:dyDescent="0.3">
      <c r="A2100">
        <v>51644</v>
      </c>
      <c r="B2100" t="s">
        <v>15</v>
      </c>
      <c r="C2100" t="s">
        <v>29</v>
      </c>
      <c r="D2100">
        <v>332</v>
      </c>
      <c r="E2100">
        <v>20</v>
      </c>
      <c r="F2100">
        <v>397.54</v>
      </c>
      <c r="G2100" t="s">
        <v>32</v>
      </c>
      <c r="H2100" s="1">
        <v>45307</v>
      </c>
      <c r="I2100" s="1">
        <v>45316</v>
      </c>
      <c r="J2100" t="s">
        <v>39</v>
      </c>
      <c r="K2100" t="b">
        <f>Table1[[#This Row],[CurrentStock]]&lt;Table1[[#This Row],[ReorderLevel]]</f>
        <v>0</v>
      </c>
      <c r="L2100" s="9">
        <f>Table1[[#This Row],[CurrentStock]]*Table1[[#This Row],[UnitPrice]]</f>
        <v>131983.28</v>
      </c>
      <c r="M2100" t="str">
        <f>IF(Table1[[#This Row],[ReorderLevel]]-Table1[[#This Row],[CurrentStock]]&gt;0,Table1[[#This Row],[ReorderLevel]]-Table1[[#This Row],[CurrentStock]],"")</f>
        <v/>
      </c>
      <c r="N2100" t="str">
        <f>IF(Table1[[#This Row],[CurrentStock]]&gt;Table1[[#This Row],[ReorderLevel]]*3,"Over Stock","Okay")</f>
        <v>Over Stock</v>
      </c>
      <c r="O2100" t="str">
        <f>IF(Table1[[#This Row],[CurrentStock]]&lt;Table1[[#This Row],[ReorderLevel]],"Reorder","Okay")</f>
        <v>Okay</v>
      </c>
    </row>
    <row r="2101" spans="1:15" x14ac:dyDescent="0.3">
      <c r="A2101">
        <v>13571</v>
      </c>
      <c r="B2101" t="s">
        <v>20</v>
      </c>
      <c r="C2101" t="s">
        <v>29</v>
      </c>
      <c r="D2101">
        <v>462</v>
      </c>
      <c r="E2101">
        <v>150</v>
      </c>
      <c r="F2101">
        <v>82.15</v>
      </c>
      <c r="G2101" t="s">
        <v>35</v>
      </c>
      <c r="H2101" s="1">
        <v>45354</v>
      </c>
      <c r="I2101" s="1">
        <v>45363</v>
      </c>
      <c r="J2101" t="s">
        <v>39</v>
      </c>
      <c r="K2101" t="b">
        <f>Table1[[#This Row],[CurrentStock]]&lt;Table1[[#This Row],[ReorderLevel]]</f>
        <v>0</v>
      </c>
      <c r="L2101" s="9">
        <f>Table1[[#This Row],[CurrentStock]]*Table1[[#This Row],[UnitPrice]]</f>
        <v>37953.300000000003</v>
      </c>
      <c r="M2101" t="str">
        <f>IF(Table1[[#This Row],[ReorderLevel]]-Table1[[#This Row],[CurrentStock]]&gt;0,Table1[[#This Row],[ReorderLevel]]-Table1[[#This Row],[CurrentStock]],"")</f>
        <v/>
      </c>
      <c r="N2101" t="str">
        <f>IF(Table1[[#This Row],[CurrentStock]]&gt;Table1[[#This Row],[ReorderLevel]]*3,"Over Stock","Okay")</f>
        <v>Over Stock</v>
      </c>
      <c r="O2101" t="str">
        <f>IF(Table1[[#This Row],[CurrentStock]]&lt;Table1[[#This Row],[ReorderLevel]],"Reorder","Okay")</f>
        <v>Okay</v>
      </c>
    </row>
    <row r="2102" spans="1:15" x14ac:dyDescent="0.3">
      <c r="A2102">
        <v>26972</v>
      </c>
      <c r="B2102" t="s">
        <v>19</v>
      </c>
      <c r="C2102" t="s">
        <v>28</v>
      </c>
      <c r="D2102">
        <v>494</v>
      </c>
      <c r="E2102">
        <v>50</v>
      </c>
      <c r="F2102">
        <v>21.43</v>
      </c>
      <c r="G2102" t="s">
        <v>35</v>
      </c>
      <c r="H2102" s="1">
        <v>45600</v>
      </c>
      <c r="I2102" s="1">
        <v>45627</v>
      </c>
      <c r="J2102" t="s">
        <v>37</v>
      </c>
      <c r="K2102" t="b">
        <f>Table1[[#This Row],[CurrentStock]]&lt;Table1[[#This Row],[ReorderLevel]]</f>
        <v>0</v>
      </c>
      <c r="L2102" s="9">
        <f>Table1[[#This Row],[CurrentStock]]*Table1[[#This Row],[UnitPrice]]</f>
        <v>10586.42</v>
      </c>
      <c r="M2102" t="str">
        <f>IF(Table1[[#This Row],[ReorderLevel]]-Table1[[#This Row],[CurrentStock]]&gt;0,Table1[[#This Row],[ReorderLevel]]-Table1[[#This Row],[CurrentStock]],"")</f>
        <v/>
      </c>
      <c r="N2102" t="str">
        <f>IF(Table1[[#This Row],[CurrentStock]]&gt;Table1[[#This Row],[ReorderLevel]]*3,"Over Stock","Okay")</f>
        <v>Over Stock</v>
      </c>
      <c r="O2102" t="str">
        <f>IF(Table1[[#This Row],[CurrentStock]]&lt;Table1[[#This Row],[ReorderLevel]],"Reorder","Okay")</f>
        <v>Okay</v>
      </c>
    </row>
    <row r="2103" spans="1:15" x14ac:dyDescent="0.3">
      <c r="A2103">
        <v>67602</v>
      </c>
      <c r="B2103" t="s">
        <v>23</v>
      </c>
      <c r="C2103" t="s">
        <v>30</v>
      </c>
      <c r="D2103">
        <v>353</v>
      </c>
      <c r="E2103">
        <v>30</v>
      </c>
      <c r="F2103">
        <v>392.58</v>
      </c>
      <c r="G2103" t="s">
        <v>34</v>
      </c>
      <c r="H2103" s="1">
        <v>45606</v>
      </c>
      <c r="I2103" s="1">
        <v>45619</v>
      </c>
      <c r="J2103" t="s">
        <v>38</v>
      </c>
      <c r="K2103" t="b">
        <f>Table1[[#This Row],[CurrentStock]]&lt;Table1[[#This Row],[ReorderLevel]]</f>
        <v>0</v>
      </c>
      <c r="L2103" s="9">
        <f>Table1[[#This Row],[CurrentStock]]*Table1[[#This Row],[UnitPrice]]</f>
        <v>138580.74</v>
      </c>
      <c r="M2103" t="str">
        <f>IF(Table1[[#This Row],[ReorderLevel]]-Table1[[#This Row],[CurrentStock]]&gt;0,Table1[[#This Row],[ReorderLevel]]-Table1[[#This Row],[CurrentStock]],"")</f>
        <v/>
      </c>
      <c r="N2103" t="str">
        <f>IF(Table1[[#This Row],[CurrentStock]]&gt;Table1[[#This Row],[ReorderLevel]]*3,"Over Stock","Okay")</f>
        <v>Over Stock</v>
      </c>
      <c r="O2103" t="str">
        <f>IF(Table1[[#This Row],[CurrentStock]]&lt;Table1[[#This Row],[ReorderLevel]],"Reorder","Okay")</f>
        <v>Okay</v>
      </c>
    </row>
    <row r="2104" spans="1:15" x14ac:dyDescent="0.3">
      <c r="A2104">
        <v>71483</v>
      </c>
      <c r="B2104" t="s">
        <v>23</v>
      </c>
      <c r="C2104" t="s">
        <v>30</v>
      </c>
      <c r="D2104">
        <v>467</v>
      </c>
      <c r="E2104">
        <v>50</v>
      </c>
      <c r="F2104">
        <v>419.94</v>
      </c>
      <c r="G2104" t="s">
        <v>35</v>
      </c>
      <c r="H2104" s="1">
        <v>45627</v>
      </c>
      <c r="I2104" s="1">
        <v>45656</v>
      </c>
      <c r="J2104" t="s">
        <v>39</v>
      </c>
      <c r="K2104" t="b">
        <f>Table1[[#This Row],[CurrentStock]]&lt;Table1[[#This Row],[ReorderLevel]]</f>
        <v>0</v>
      </c>
      <c r="L2104" s="9">
        <f>Table1[[#This Row],[CurrentStock]]*Table1[[#This Row],[UnitPrice]]</f>
        <v>196111.98</v>
      </c>
      <c r="M2104" t="str">
        <f>IF(Table1[[#This Row],[ReorderLevel]]-Table1[[#This Row],[CurrentStock]]&gt;0,Table1[[#This Row],[ReorderLevel]]-Table1[[#This Row],[CurrentStock]],"")</f>
        <v/>
      </c>
      <c r="N2104" t="str">
        <f>IF(Table1[[#This Row],[CurrentStock]]&gt;Table1[[#This Row],[ReorderLevel]]*3,"Over Stock","Okay")</f>
        <v>Over Stock</v>
      </c>
      <c r="O2104" t="str">
        <f>IF(Table1[[#This Row],[CurrentStock]]&lt;Table1[[#This Row],[ReorderLevel]],"Reorder","Okay")</f>
        <v>Okay</v>
      </c>
    </row>
    <row r="2105" spans="1:15" x14ac:dyDescent="0.3">
      <c r="A2105">
        <v>96113</v>
      </c>
      <c r="B2105" t="s">
        <v>15</v>
      </c>
      <c r="C2105" t="s">
        <v>29</v>
      </c>
      <c r="D2105">
        <v>274</v>
      </c>
      <c r="E2105">
        <v>100</v>
      </c>
      <c r="F2105">
        <v>5.27</v>
      </c>
      <c r="G2105" t="s">
        <v>35</v>
      </c>
      <c r="H2105" s="1">
        <v>45505</v>
      </c>
      <c r="I2105" s="1">
        <v>45524</v>
      </c>
      <c r="J2105" t="s">
        <v>39</v>
      </c>
      <c r="K2105" t="b">
        <f>Table1[[#This Row],[CurrentStock]]&lt;Table1[[#This Row],[ReorderLevel]]</f>
        <v>0</v>
      </c>
      <c r="L2105" s="9">
        <f>Table1[[#This Row],[CurrentStock]]*Table1[[#This Row],[UnitPrice]]</f>
        <v>1443.9799999999998</v>
      </c>
      <c r="M2105" t="str">
        <f>IF(Table1[[#This Row],[ReorderLevel]]-Table1[[#This Row],[CurrentStock]]&gt;0,Table1[[#This Row],[ReorderLevel]]-Table1[[#This Row],[CurrentStock]],"")</f>
        <v/>
      </c>
      <c r="N2105" t="str">
        <f>IF(Table1[[#This Row],[CurrentStock]]&gt;Table1[[#This Row],[ReorderLevel]]*3,"Over Stock","Okay")</f>
        <v>Okay</v>
      </c>
      <c r="O2105" t="str">
        <f>IF(Table1[[#This Row],[CurrentStock]]&lt;Table1[[#This Row],[ReorderLevel]],"Reorder","Okay")</f>
        <v>Okay</v>
      </c>
    </row>
    <row r="2106" spans="1:15" x14ac:dyDescent="0.3">
      <c r="A2106">
        <v>97097</v>
      </c>
      <c r="B2106" t="s">
        <v>12</v>
      </c>
      <c r="C2106" t="s">
        <v>28</v>
      </c>
      <c r="D2106">
        <v>478</v>
      </c>
      <c r="E2106">
        <v>50</v>
      </c>
      <c r="F2106">
        <v>181.29</v>
      </c>
      <c r="G2106" t="s">
        <v>33</v>
      </c>
      <c r="H2106" s="1">
        <v>45301</v>
      </c>
      <c r="I2106" s="1">
        <v>45326</v>
      </c>
      <c r="J2106" t="s">
        <v>38</v>
      </c>
      <c r="K2106" t="b">
        <f>Table1[[#This Row],[CurrentStock]]&lt;Table1[[#This Row],[ReorderLevel]]</f>
        <v>0</v>
      </c>
      <c r="L2106" s="9">
        <f>Table1[[#This Row],[CurrentStock]]*Table1[[#This Row],[UnitPrice]]</f>
        <v>86656.62</v>
      </c>
      <c r="M2106" t="str">
        <f>IF(Table1[[#This Row],[ReorderLevel]]-Table1[[#This Row],[CurrentStock]]&gt;0,Table1[[#This Row],[ReorderLevel]]-Table1[[#This Row],[CurrentStock]],"")</f>
        <v/>
      </c>
      <c r="N2106" t="str">
        <f>IF(Table1[[#This Row],[CurrentStock]]&gt;Table1[[#This Row],[ReorderLevel]]*3,"Over Stock","Okay")</f>
        <v>Over Stock</v>
      </c>
      <c r="O2106" t="str">
        <f>IF(Table1[[#This Row],[CurrentStock]]&lt;Table1[[#This Row],[ReorderLevel]],"Reorder","Okay")</f>
        <v>Okay</v>
      </c>
    </row>
    <row r="2107" spans="1:15" x14ac:dyDescent="0.3">
      <c r="A2107">
        <v>38564</v>
      </c>
      <c r="B2107" t="s">
        <v>16</v>
      </c>
      <c r="C2107" t="s">
        <v>30</v>
      </c>
      <c r="D2107">
        <v>426</v>
      </c>
      <c r="E2107">
        <v>40</v>
      </c>
      <c r="F2107">
        <v>272.13</v>
      </c>
      <c r="G2107" t="s">
        <v>35</v>
      </c>
      <c r="H2107" s="1">
        <v>45337</v>
      </c>
      <c r="I2107" s="1">
        <v>45342</v>
      </c>
      <c r="J2107" t="s">
        <v>37</v>
      </c>
      <c r="K2107" t="b">
        <f>Table1[[#This Row],[CurrentStock]]&lt;Table1[[#This Row],[ReorderLevel]]</f>
        <v>0</v>
      </c>
      <c r="L2107" s="9">
        <f>Table1[[#This Row],[CurrentStock]]*Table1[[#This Row],[UnitPrice]]</f>
        <v>115927.38</v>
      </c>
      <c r="M2107" t="str">
        <f>IF(Table1[[#This Row],[ReorderLevel]]-Table1[[#This Row],[CurrentStock]]&gt;0,Table1[[#This Row],[ReorderLevel]]-Table1[[#This Row],[CurrentStock]],"")</f>
        <v/>
      </c>
      <c r="N2107" t="str">
        <f>IF(Table1[[#This Row],[CurrentStock]]&gt;Table1[[#This Row],[ReorderLevel]]*3,"Over Stock","Okay")</f>
        <v>Over Stock</v>
      </c>
      <c r="O2107" t="str">
        <f>IF(Table1[[#This Row],[CurrentStock]]&lt;Table1[[#This Row],[ReorderLevel]],"Reorder","Okay")</f>
        <v>Okay</v>
      </c>
    </row>
    <row r="2108" spans="1:15" x14ac:dyDescent="0.3">
      <c r="A2108">
        <v>88579</v>
      </c>
      <c r="B2108" t="s">
        <v>18</v>
      </c>
      <c r="C2108" t="s">
        <v>28</v>
      </c>
      <c r="D2108">
        <v>277</v>
      </c>
      <c r="E2108">
        <v>100</v>
      </c>
      <c r="F2108">
        <v>350.33</v>
      </c>
      <c r="G2108" t="s">
        <v>34</v>
      </c>
      <c r="H2108" s="1">
        <v>45493</v>
      </c>
      <c r="I2108" s="1">
        <v>45512</v>
      </c>
      <c r="J2108" t="s">
        <v>37</v>
      </c>
      <c r="K2108" t="b">
        <f>Table1[[#This Row],[CurrentStock]]&lt;Table1[[#This Row],[ReorderLevel]]</f>
        <v>0</v>
      </c>
      <c r="L2108" s="9">
        <f>Table1[[#This Row],[CurrentStock]]*Table1[[#This Row],[UnitPrice]]</f>
        <v>97041.409999999989</v>
      </c>
      <c r="M2108" t="str">
        <f>IF(Table1[[#This Row],[ReorderLevel]]-Table1[[#This Row],[CurrentStock]]&gt;0,Table1[[#This Row],[ReorderLevel]]-Table1[[#This Row],[CurrentStock]],"")</f>
        <v/>
      </c>
      <c r="N2108" t="str">
        <f>IF(Table1[[#This Row],[CurrentStock]]&gt;Table1[[#This Row],[ReorderLevel]]*3,"Over Stock","Okay")</f>
        <v>Okay</v>
      </c>
      <c r="O2108" t="str">
        <f>IF(Table1[[#This Row],[CurrentStock]]&lt;Table1[[#This Row],[ReorderLevel]],"Reorder","Okay")</f>
        <v>Okay</v>
      </c>
    </row>
    <row r="2109" spans="1:15" x14ac:dyDescent="0.3">
      <c r="A2109">
        <v>61599</v>
      </c>
      <c r="B2109" t="s">
        <v>14</v>
      </c>
      <c r="C2109" t="s">
        <v>27</v>
      </c>
      <c r="D2109">
        <v>324</v>
      </c>
      <c r="E2109">
        <v>80</v>
      </c>
      <c r="F2109">
        <v>177.75</v>
      </c>
      <c r="G2109" t="s">
        <v>34</v>
      </c>
      <c r="H2109" s="1">
        <v>45444</v>
      </c>
      <c r="I2109" s="1">
        <v>45464</v>
      </c>
      <c r="J2109" t="s">
        <v>37</v>
      </c>
      <c r="K2109" t="b">
        <f>Table1[[#This Row],[CurrentStock]]&lt;Table1[[#This Row],[ReorderLevel]]</f>
        <v>0</v>
      </c>
      <c r="L2109" s="9">
        <f>Table1[[#This Row],[CurrentStock]]*Table1[[#This Row],[UnitPrice]]</f>
        <v>57591</v>
      </c>
      <c r="M2109" t="str">
        <f>IF(Table1[[#This Row],[ReorderLevel]]-Table1[[#This Row],[CurrentStock]]&gt;0,Table1[[#This Row],[ReorderLevel]]-Table1[[#This Row],[CurrentStock]],"")</f>
        <v/>
      </c>
      <c r="N2109" t="str">
        <f>IF(Table1[[#This Row],[CurrentStock]]&gt;Table1[[#This Row],[ReorderLevel]]*3,"Over Stock","Okay")</f>
        <v>Over Stock</v>
      </c>
      <c r="O2109" t="str">
        <f>IF(Table1[[#This Row],[CurrentStock]]&lt;Table1[[#This Row],[ReorderLevel]],"Reorder","Okay")</f>
        <v>Okay</v>
      </c>
    </row>
    <row r="2110" spans="1:15" x14ac:dyDescent="0.3">
      <c r="A2110">
        <v>64457</v>
      </c>
      <c r="B2110" t="s">
        <v>18</v>
      </c>
      <c r="C2110" t="s">
        <v>28</v>
      </c>
      <c r="D2110">
        <v>452</v>
      </c>
      <c r="E2110">
        <v>20</v>
      </c>
      <c r="F2110">
        <v>84.38</v>
      </c>
      <c r="G2110" t="s">
        <v>33</v>
      </c>
      <c r="H2110" s="1">
        <v>45531</v>
      </c>
      <c r="I2110" s="1">
        <v>45569</v>
      </c>
      <c r="J2110" t="s">
        <v>39</v>
      </c>
      <c r="K2110" t="b">
        <f>Table1[[#This Row],[CurrentStock]]&lt;Table1[[#This Row],[ReorderLevel]]</f>
        <v>0</v>
      </c>
      <c r="L2110" s="9">
        <f>Table1[[#This Row],[CurrentStock]]*Table1[[#This Row],[UnitPrice]]</f>
        <v>38139.759999999995</v>
      </c>
      <c r="M2110" t="str">
        <f>IF(Table1[[#This Row],[ReorderLevel]]-Table1[[#This Row],[CurrentStock]]&gt;0,Table1[[#This Row],[ReorderLevel]]-Table1[[#This Row],[CurrentStock]],"")</f>
        <v/>
      </c>
      <c r="N2110" t="str">
        <f>IF(Table1[[#This Row],[CurrentStock]]&gt;Table1[[#This Row],[ReorderLevel]]*3,"Over Stock","Okay")</f>
        <v>Over Stock</v>
      </c>
      <c r="O2110" t="str">
        <f>IF(Table1[[#This Row],[CurrentStock]]&lt;Table1[[#This Row],[ReorderLevel]],"Reorder","Okay")</f>
        <v>Okay</v>
      </c>
    </row>
    <row r="2111" spans="1:15" x14ac:dyDescent="0.3">
      <c r="A2111">
        <v>61331</v>
      </c>
      <c r="B2111" t="s">
        <v>26</v>
      </c>
      <c r="C2111" t="s">
        <v>30</v>
      </c>
      <c r="D2111">
        <v>143</v>
      </c>
      <c r="E2111">
        <v>40</v>
      </c>
      <c r="F2111">
        <v>85.33</v>
      </c>
      <c r="G2111" t="s">
        <v>35</v>
      </c>
      <c r="H2111" s="1">
        <v>45654</v>
      </c>
      <c r="I2111" s="1">
        <v>45675</v>
      </c>
      <c r="J2111" t="s">
        <v>38</v>
      </c>
      <c r="K2111" t="b">
        <f>Table1[[#This Row],[CurrentStock]]&lt;Table1[[#This Row],[ReorderLevel]]</f>
        <v>0</v>
      </c>
      <c r="L2111" s="9">
        <f>Table1[[#This Row],[CurrentStock]]*Table1[[#This Row],[UnitPrice]]</f>
        <v>12202.19</v>
      </c>
      <c r="M2111" t="str">
        <f>IF(Table1[[#This Row],[ReorderLevel]]-Table1[[#This Row],[CurrentStock]]&gt;0,Table1[[#This Row],[ReorderLevel]]-Table1[[#This Row],[CurrentStock]],"")</f>
        <v/>
      </c>
      <c r="N2111" t="str">
        <f>IF(Table1[[#This Row],[CurrentStock]]&gt;Table1[[#This Row],[ReorderLevel]]*3,"Over Stock","Okay")</f>
        <v>Over Stock</v>
      </c>
      <c r="O2111" t="str">
        <f>IF(Table1[[#This Row],[CurrentStock]]&lt;Table1[[#This Row],[ReorderLevel]],"Reorder","Okay")</f>
        <v>Okay</v>
      </c>
    </row>
    <row r="2112" spans="1:15" x14ac:dyDescent="0.3">
      <c r="A2112">
        <v>23936</v>
      </c>
      <c r="B2112" t="s">
        <v>18</v>
      </c>
      <c r="C2112" t="s">
        <v>28</v>
      </c>
      <c r="D2112">
        <v>333</v>
      </c>
      <c r="E2112">
        <v>40</v>
      </c>
      <c r="F2112">
        <v>295.12</v>
      </c>
      <c r="G2112" t="s">
        <v>34</v>
      </c>
      <c r="H2112" s="1">
        <v>45298</v>
      </c>
      <c r="I2112" s="1">
        <v>45312</v>
      </c>
      <c r="J2112" t="s">
        <v>38</v>
      </c>
      <c r="K2112" t="b">
        <f>Table1[[#This Row],[CurrentStock]]&lt;Table1[[#This Row],[ReorderLevel]]</f>
        <v>0</v>
      </c>
      <c r="L2112" s="9">
        <f>Table1[[#This Row],[CurrentStock]]*Table1[[#This Row],[UnitPrice]]</f>
        <v>98274.96</v>
      </c>
      <c r="M2112" t="str">
        <f>IF(Table1[[#This Row],[ReorderLevel]]-Table1[[#This Row],[CurrentStock]]&gt;0,Table1[[#This Row],[ReorderLevel]]-Table1[[#This Row],[CurrentStock]],"")</f>
        <v/>
      </c>
      <c r="N2112" t="str">
        <f>IF(Table1[[#This Row],[CurrentStock]]&gt;Table1[[#This Row],[ReorderLevel]]*3,"Over Stock","Okay")</f>
        <v>Over Stock</v>
      </c>
      <c r="O2112" t="str">
        <f>IF(Table1[[#This Row],[CurrentStock]]&lt;Table1[[#This Row],[ReorderLevel]],"Reorder","Okay")</f>
        <v>Okay</v>
      </c>
    </row>
    <row r="2113" spans="1:15" x14ac:dyDescent="0.3">
      <c r="A2113">
        <v>29112</v>
      </c>
      <c r="B2113" t="s">
        <v>15</v>
      </c>
      <c r="C2113" t="s">
        <v>29</v>
      </c>
      <c r="D2113">
        <v>240</v>
      </c>
      <c r="E2113">
        <v>100</v>
      </c>
      <c r="F2113">
        <v>14.91</v>
      </c>
      <c r="G2113" t="s">
        <v>33</v>
      </c>
      <c r="H2113" s="1">
        <v>45393</v>
      </c>
      <c r="I2113" s="1">
        <v>45409</v>
      </c>
      <c r="J2113" t="s">
        <v>38</v>
      </c>
      <c r="K2113" t="b">
        <f>Table1[[#This Row],[CurrentStock]]&lt;Table1[[#This Row],[ReorderLevel]]</f>
        <v>0</v>
      </c>
      <c r="L2113" s="9">
        <f>Table1[[#This Row],[CurrentStock]]*Table1[[#This Row],[UnitPrice]]</f>
        <v>3578.4</v>
      </c>
      <c r="M2113" t="str">
        <f>IF(Table1[[#This Row],[ReorderLevel]]-Table1[[#This Row],[CurrentStock]]&gt;0,Table1[[#This Row],[ReorderLevel]]-Table1[[#This Row],[CurrentStock]],"")</f>
        <v/>
      </c>
      <c r="N2113" t="str">
        <f>IF(Table1[[#This Row],[CurrentStock]]&gt;Table1[[#This Row],[ReorderLevel]]*3,"Over Stock","Okay")</f>
        <v>Okay</v>
      </c>
      <c r="O2113" t="str">
        <f>IF(Table1[[#This Row],[CurrentStock]]&lt;Table1[[#This Row],[ReorderLevel]],"Reorder","Okay")</f>
        <v>Okay</v>
      </c>
    </row>
    <row r="2114" spans="1:15" x14ac:dyDescent="0.3">
      <c r="A2114">
        <v>75729</v>
      </c>
      <c r="B2114" t="s">
        <v>24</v>
      </c>
      <c r="C2114" t="s">
        <v>31</v>
      </c>
      <c r="D2114">
        <v>464</v>
      </c>
      <c r="E2114">
        <v>80</v>
      </c>
      <c r="F2114">
        <v>295.2</v>
      </c>
      <c r="G2114" t="s">
        <v>35</v>
      </c>
      <c r="H2114" s="1">
        <v>45620</v>
      </c>
      <c r="I2114" s="1">
        <v>45630</v>
      </c>
      <c r="J2114" t="s">
        <v>38</v>
      </c>
      <c r="K2114" t="b">
        <f>Table1[[#This Row],[CurrentStock]]&lt;Table1[[#This Row],[ReorderLevel]]</f>
        <v>0</v>
      </c>
      <c r="L2114" s="9">
        <f>Table1[[#This Row],[CurrentStock]]*Table1[[#This Row],[UnitPrice]]</f>
        <v>136972.79999999999</v>
      </c>
      <c r="M2114" t="str">
        <f>IF(Table1[[#This Row],[ReorderLevel]]-Table1[[#This Row],[CurrentStock]]&gt;0,Table1[[#This Row],[ReorderLevel]]-Table1[[#This Row],[CurrentStock]],"")</f>
        <v/>
      </c>
      <c r="N2114" t="str">
        <f>IF(Table1[[#This Row],[CurrentStock]]&gt;Table1[[#This Row],[ReorderLevel]]*3,"Over Stock","Okay")</f>
        <v>Over Stock</v>
      </c>
      <c r="O2114" t="str">
        <f>IF(Table1[[#This Row],[CurrentStock]]&lt;Table1[[#This Row],[ReorderLevel]],"Reorder","Okay")</f>
        <v>Okay</v>
      </c>
    </row>
    <row r="2115" spans="1:15" x14ac:dyDescent="0.3">
      <c r="A2115">
        <v>82131</v>
      </c>
      <c r="B2115" t="s">
        <v>19</v>
      </c>
      <c r="C2115" t="s">
        <v>28</v>
      </c>
      <c r="D2115">
        <v>348</v>
      </c>
      <c r="E2115">
        <v>50</v>
      </c>
      <c r="F2115">
        <v>172.41</v>
      </c>
      <c r="G2115" t="s">
        <v>32</v>
      </c>
      <c r="H2115" s="1">
        <v>45573</v>
      </c>
      <c r="I2115" s="1">
        <v>45612</v>
      </c>
      <c r="J2115" t="s">
        <v>39</v>
      </c>
      <c r="K2115" t="b">
        <f>Table1[[#This Row],[CurrentStock]]&lt;Table1[[#This Row],[ReorderLevel]]</f>
        <v>0</v>
      </c>
      <c r="L2115" s="9">
        <f>Table1[[#This Row],[CurrentStock]]*Table1[[#This Row],[UnitPrice]]</f>
        <v>59998.68</v>
      </c>
      <c r="M2115" t="str">
        <f>IF(Table1[[#This Row],[ReorderLevel]]-Table1[[#This Row],[CurrentStock]]&gt;0,Table1[[#This Row],[ReorderLevel]]-Table1[[#This Row],[CurrentStock]],"")</f>
        <v/>
      </c>
      <c r="N2115" t="str">
        <f>IF(Table1[[#This Row],[CurrentStock]]&gt;Table1[[#This Row],[ReorderLevel]]*3,"Over Stock","Okay")</f>
        <v>Over Stock</v>
      </c>
      <c r="O2115" t="str">
        <f>IF(Table1[[#This Row],[CurrentStock]]&lt;Table1[[#This Row],[ReorderLevel]],"Reorder","Okay")</f>
        <v>Okay</v>
      </c>
    </row>
    <row r="2116" spans="1:15" x14ac:dyDescent="0.3">
      <c r="A2116">
        <v>32593</v>
      </c>
      <c r="B2116" t="s">
        <v>17</v>
      </c>
      <c r="C2116" t="s">
        <v>30</v>
      </c>
      <c r="D2116">
        <v>430</v>
      </c>
      <c r="E2116">
        <v>150</v>
      </c>
      <c r="F2116">
        <v>87.7</v>
      </c>
      <c r="G2116" t="s">
        <v>35</v>
      </c>
      <c r="H2116" s="1">
        <v>45333</v>
      </c>
      <c r="I2116" s="1">
        <v>45356</v>
      </c>
      <c r="J2116" t="s">
        <v>39</v>
      </c>
      <c r="K2116" t="b">
        <f>Table1[[#This Row],[CurrentStock]]&lt;Table1[[#This Row],[ReorderLevel]]</f>
        <v>0</v>
      </c>
      <c r="L2116" s="9">
        <f>Table1[[#This Row],[CurrentStock]]*Table1[[#This Row],[UnitPrice]]</f>
        <v>37711</v>
      </c>
      <c r="M2116" t="str">
        <f>IF(Table1[[#This Row],[ReorderLevel]]-Table1[[#This Row],[CurrentStock]]&gt;0,Table1[[#This Row],[ReorderLevel]]-Table1[[#This Row],[CurrentStock]],"")</f>
        <v/>
      </c>
      <c r="N2116" t="str">
        <f>IF(Table1[[#This Row],[CurrentStock]]&gt;Table1[[#This Row],[ReorderLevel]]*3,"Over Stock","Okay")</f>
        <v>Okay</v>
      </c>
      <c r="O2116" t="str">
        <f>IF(Table1[[#This Row],[CurrentStock]]&lt;Table1[[#This Row],[ReorderLevel]],"Reorder","Okay")</f>
        <v>Okay</v>
      </c>
    </row>
    <row r="2117" spans="1:15" x14ac:dyDescent="0.3">
      <c r="A2117">
        <v>15193</v>
      </c>
      <c r="B2117" t="s">
        <v>23</v>
      </c>
      <c r="C2117" t="s">
        <v>30</v>
      </c>
      <c r="D2117">
        <v>427</v>
      </c>
      <c r="E2117">
        <v>100</v>
      </c>
      <c r="F2117">
        <v>383.77</v>
      </c>
      <c r="G2117" t="s">
        <v>35</v>
      </c>
      <c r="H2117" s="1">
        <v>45388</v>
      </c>
      <c r="I2117" s="1">
        <v>45415</v>
      </c>
      <c r="J2117" t="s">
        <v>39</v>
      </c>
      <c r="K2117" t="b">
        <f>Table1[[#This Row],[CurrentStock]]&lt;Table1[[#This Row],[ReorderLevel]]</f>
        <v>0</v>
      </c>
      <c r="L2117" s="9">
        <f>Table1[[#This Row],[CurrentStock]]*Table1[[#This Row],[UnitPrice]]</f>
        <v>163869.78999999998</v>
      </c>
      <c r="M2117" t="str">
        <f>IF(Table1[[#This Row],[ReorderLevel]]-Table1[[#This Row],[CurrentStock]]&gt;0,Table1[[#This Row],[ReorderLevel]]-Table1[[#This Row],[CurrentStock]],"")</f>
        <v/>
      </c>
      <c r="N2117" t="str">
        <f>IF(Table1[[#This Row],[CurrentStock]]&gt;Table1[[#This Row],[ReorderLevel]]*3,"Over Stock","Okay")</f>
        <v>Over Stock</v>
      </c>
      <c r="O2117" t="str">
        <f>IF(Table1[[#This Row],[CurrentStock]]&lt;Table1[[#This Row],[ReorderLevel]],"Reorder","Okay")</f>
        <v>Okay</v>
      </c>
    </row>
    <row r="2118" spans="1:15" x14ac:dyDescent="0.3">
      <c r="A2118">
        <v>93408</v>
      </c>
      <c r="B2118" t="s">
        <v>22</v>
      </c>
      <c r="C2118" t="s">
        <v>27</v>
      </c>
      <c r="D2118">
        <v>291</v>
      </c>
      <c r="E2118">
        <v>20</v>
      </c>
      <c r="F2118">
        <v>288.11</v>
      </c>
      <c r="G2118" t="s">
        <v>33</v>
      </c>
      <c r="H2118" s="1">
        <v>45550</v>
      </c>
      <c r="I2118" s="1">
        <v>45568</v>
      </c>
      <c r="J2118" t="s">
        <v>38</v>
      </c>
      <c r="K2118" t="b">
        <f>Table1[[#This Row],[CurrentStock]]&lt;Table1[[#This Row],[ReorderLevel]]</f>
        <v>0</v>
      </c>
      <c r="L2118" s="9">
        <f>Table1[[#This Row],[CurrentStock]]*Table1[[#This Row],[UnitPrice]]</f>
        <v>83840.010000000009</v>
      </c>
      <c r="M2118" t="str">
        <f>IF(Table1[[#This Row],[ReorderLevel]]-Table1[[#This Row],[CurrentStock]]&gt;0,Table1[[#This Row],[ReorderLevel]]-Table1[[#This Row],[CurrentStock]],"")</f>
        <v/>
      </c>
      <c r="N2118" t="str">
        <f>IF(Table1[[#This Row],[CurrentStock]]&gt;Table1[[#This Row],[ReorderLevel]]*3,"Over Stock","Okay")</f>
        <v>Over Stock</v>
      </c>
      <c r="O2118" t="str">
        <f>IF(Table1[[#This Row],[CurrentStock]]&lt;Table1[[#This Row],[ReorderLevel]],"Reorder","Okay")</f>
        <v>Okay</v>
      </c>
    </row>
    <row r="2119" spans="1:15" x14ac:dyDescent="0.3">
      <c r="A2119">
        <v>86519</v>
      </c>
      <c r="B2119" t="s">
        <v>23</v>
      </c>
      <c r="C2119" t="s">
        <v>30</v>
      </c>
      <c r="D2119">
        <v>178</v>
      </c>
      <c r="E2119">
        <v>20</v>
      </c>
      <c r="F2119">
        <v>78.040000000000006</v>
      </c>
      <c r="G2119" t="s">
        <v>36</v>
      </c>
      <c r="H2119" s="1">
        <v>45518</v>
      </c>
      <c r="I2119" s="1">
        <v>45540</v>
      </c>
      <c r="J2119" t="s">
        <v>38</v>
      </c>
      <c r="K2119" t="b">
        <f>Table1[[#This Row],[CurrentStock]]&lt;Table1[[#This Row],[ReorderLevel]]</f>
        <v>0</v>
      </c>
      <c r="L2119" s="9">
        <f>Table1[[#This Row],[CurrentStock]]*Table1[[#This Row],[UnitPrice]]</f>
        <v>13891.12</v>
      </c>
      <c r="M2119" t="str">
        <f>IF(Table1[[#This Row],[ReorderLevel]]-Table1[[#This Row],[CurrentStock]]&gt;0,Table1[[#This Row],[ReorderLevel]]-Table1[[#This Row],[CurrentStock]],"")</f>
        <v/>
      </c>
      <c r="N2119" t="str">
        <f>IF(Table1[[#This Row],[CurrentStock]]&gt;Table1[[#This Row],[ReorderLevel]]*3,"Over Stock","Okay")</f>
        <v>Over Stock</v>
      </c>
      <c r="O2119" t="str">
        <f>IF(Table1[[#This Row],[CurrentStock]]&lt;Table1[[#This Row],[ReorderLevel]],"Reorder","Okay")</f>
        <v>Okay</v>
      </c>
    </row>
    <row r="2120" spans="1:15" x14ac:dyDescent="0.3">
      <c r="A2120">
        <v>23898</v>
      </c>
      <c r="B2120" t="s">
        <v>18</v>
      </c>
      <c r="C2120" t="s">
        <v>28</v>
      </c>
      <c r="D2120">
        <v>137</v>
      </c>
      <c r="E2120">
        <v>40</v>
      </c>
      <c r="F2120">
        <v>361.56</v>
      </c>
      <c r="G2120" t="s">
        <v>35</v>
      </c>
      <c r="H2120" s="1">
        <v>45614</v>
      </c>
      <c r="I2120" s="1">
        <v>45622</v>
      </c>
      <c r="J2120" t="s">
        <v>37</v>
      </c>
      <c r="K2120" t="b">
        <f>Table1[[#This Row],[CurrentStock]]&lt;Table1[[#This Row],[ReorderLevel]]</f>
        <v>0</v>
      </c>
      <c r="L2120" s="9">
        <f>Table1[[#This Row],[CurrentStock]]*Table1[[#This Row],[UnitPrice]]</f>
        <v>49533.72</v>
      </c>
      <c r="M2120" t="str">
        <f>IF(Table1[[#This Row],[ReorderLevel]]-Table1[[#This Row],[CurrentStock]]&gt;0,Table1[[#This Row],[ReorderLevel]]-Table1[[#This Row],[CurrentStock]],"")</f>
        <v/>
      </c>
      <c r="N2120" t="str">
        <f>IF(Table1[[#This Row],[CurrentStock]]&gt;Table1[[#This Row],[ReorderLevel]]*3,"Over Stock","Okay")</f>
        <v>Over Stock</v>
      </c>
      <c r="O2120" t="str">
        <f>IF(Table1[[#This Row],[CurrentStock]]&lt;Table1[[#This Row],[ReorderLevel]],"Reorder","Okay")</f>
        <v>Okay</v>
      </c>
    </row>
    <row r="2121" spans="1:15" x14ac:dyDescent="0.3">
      <c r="A2121">
        <v>53386</v>
      </c>
      <c r="B2121" t="s">
        <v>11</v>
      </c>
      <c r="C2121" t="s">
        <v>27</v>
      </c>
      <c r="D2121">
        <v>376</v>
      </c>
      <c r="E2121">
        <v>150</v>
      </c>
      <c r="F2121">
        <v>422.48</v>
      </c>
      <c r="G2121" t="s">
        <v>35</v>
      </c>
      <c r="H2121" s="1">
        <v>45494</v>
      </c>
      <c r="I2121" s="1">
        <v>45504</v>
      </c>
      <c r="J2121" t="s">
        <v>38</v>
      </c>
      <c r="K2121" t="b">
        <f>Table1[[#This Row],[CurrentStock]]&lt;Table1[[#This Row],[ReorderLevel]]</f>
        <v>0</v>
      </c>
      <c r="L2121" s="9">
        <f>Table1[[#This Row],[CurrentStock]]*Table1[[#This Row],[UnitPrice]]</f>
        <v>158852.48000000001</v>
      </c>
      <c r="M2121" t="str">
        <f>IF(Table1[[#This Row],[ReorderLevel]]-Table1[[#This Row],[CurrentStock]]&gt;0,Table1[[#This Row],[ReorderLevel]]-Table1[[#This Row],[CurrentStock]],"")</f>
        <v/>
      </c>
      <c r="N2121" t="str">
        <f>IF(Table1[[#This Row],[CurrentStock]]&gt;Table1[[#This Row],[ReorderLevel]]*3,"Over Stock","Okay")</f>
        <v>Okay</v>
      </c>
      <c r="O2121" t="str">
        <f>IF(Table1[[#This Row],[CurrentStock]]&lt;Table1[[#This Row],[ReorderLevel]],"Reorder","Okay")</f>
        <v>Okay</v>
      </c>
    </row>
    <row r="2122" spans="1:15" x14ac:dyDescent="0.3">
      <c r="A2122">
        <v>63812</v>
      </c>
      <c r="B2122" t="s">
        <v>17</v>
      </c>
      <c r="C2122" t="s">
        <v>30</v>
      </c>
      <c r="D2122">
        <v>149</v>
      </c>
      <c r="E2122">
        <v>80</v>
      </c>
      <c r="F2122">
        <v>317.79000000000002</v>
      </c>
      <c r="G2122" t="s">
        <v>33</v>
      </c>
      <c r="H2122" s="1">
        <v>45475</v>
      </c>
      <c r="I2122" s="1">
        <v>45508</v>
      </c>
      <c r="J2122" t="s">
        <v>39</v>
      </c>
      <c r="K2122" t="b">
        <f>Table1[[#This Row],[CurrentStock]]&lt;Table1[[#This Row],[ReorderLevel]]</f>
        <v>0</v>
      </c>
      <c r="L2122" s="9">
        <f>Table1[[#This Row],[CurrentStock]]*Table1[[#This Row],[UnitPrice]]</f>
        <v>47350.710000000006</v>
      </c>
      <c r="M2122" t="str">
        <f>IF(Table1[[#This Row],[ReorderLevel]]-Table1[[#This Row],[CurrentStock]]&gt;0,Table1[[#This Row],[ReorderLevel]]-Table1[[#This Row],[CurrentStock]],"")</f>
        <v/>
      </c>
      <c r="N2122" t="str">
        <f>IF(Table1[[#This Row],[CurrentStock]]&gt;Table1[[#This Row],[ReorderLevel]]*3,"Over Stock","Okay")</f>
        <v>Okay</v>
      </c>
      <c r="O2122" t="str">
        <f>IF(Table1[[#This Row],[CurrentStock]]&lt;Table1[[#This Row],[ReorderLevel]],"Reorder","Okay")</f>
        <v>Okay</v>
      </c>
    </row>
    <row r="2123" spans="1:15" x14ac:dyDescent="0.3">
      <c r="A2123">
        <v>13477</v>
      </c>
      <c r="B2123" t="s">
        <v>10</v>
      </c>
      <c r="C2123" t="s">
        <v>27</v>
      </c>
      <c r="D2123">
        <v>410</v>
      </c>
      <c r="E2123">
        <v>100</v>
      </c>
      <c r="F2123">
        <v>202.48</v>
      </c>
      <c r="G2123" t="s">
        <v>32</v>
      </c>
      <c r="H2123" s="1">
        <v>45652</v>
      </c>
      <c r="I2123" s="1">
        <v>45659</v>
      </c>
      <c r="J2123" t="s">
        <v>38</v>
      </c>
      <c r="K2123" t="b">
        <f>Table1[[#This Row],[CurrentStock]]&lt;Table1[[#This Row],[ReorderLevel]]</f>
        <v>0</v>
      </c>
      <c r="L2123" s="9">
        <f>Table1[[#This Row],[CurrentStock]]*Table1[[#This Row],[UnitPrice]]</f>
        <v>83016.800000000003</v>
      </c>
      <c r="M2123" t="str">
        <f>IF(Table1[[#This Row],[ReorderLevel]]-Table1[[#This Row],[CurrentStock]]&gt;0,Table1[[#This Row],[ReorderLevel]]-Table1[[#This Row],[CurrentStock]],"")</f>
        <v/>
      </c>
      <c r="N2123" t="str">
        <f>IF(Table1[[#This Row],[CurrentStock]]&gt;Table1[[#This Row],[ReorderLevel]]*3,"Over Stock","Okay")</f>
        <v>Over Stock</v>
      </c>
      <c r="O2123" t="str">
        <f>IF(Table1[[#This Row],[CurrentStock]]&lt;Table1[[#This Row],[ReorderLevel]],"Reorder","Okay")</f>
        <v>Okay</v>
      </c>
    </row>
    <row r="2124" spans="1:15" x14ac:dyDescent="0.3">
      <c r="A2124">
        <v>10185</v>
      </c>
      <c r="B2124" t="s">
        <v>20</v>
      </c>
      <c r="C2124" t="s">
        <v>29</v>
      </c>
      <c r="D2124">
        <v>257</v>
      </c>
      <c r="E2124">
        <v>40</v>
      </c>
      <c r="F2124">
        <v>398.21</v>
      </c>
      <c r="G2124" t="s">
        <v>33</v>
      </c>
      <c r="H2124" s="1">
        <v>45522</v>
      </c>
      <c r="I2124" s="1">
        <v>45559</v>
      </c>
      <c r="J2124" t="s">
        <v>38</v>
      </c>
      <c r="K2124" t="b">
        <f>Table1[[#This Row],[CurrentStock]]&lt;Table1[[#This Row],[ReorderLevel]]</f>
        <v>0</v>
      </c>
      <c r="L2124" s="9">
        <f>Table1[[#This Row],[CurrentStock]]*Table1[[#This Row],[UnitPrice]]</f>
        <v>102339.97</v>
      </c>
      <c r="M2124" t="str">
        <f>IF(Table1[[#This Row],[ReorderLevel]]-Table1[[#This Row],[CurrentStock]]&gt;0,Table1[[#This Row],[ReorderLevel]]-Table1[[#This Row],[CurrentStock]],"")</f>
        <v/>
      </c>
      <c r="N2124" t="str">
        <f>IF(Table1[[#This Row],[CurrentStock]]&gt;Table1[[#This Row],[ReorderLevel]]*3,"Over Stock","Okay")</f>
        <v>Over Stock</v>
      </c>
      <c r="O2124" t="str">
        <f>IF(Table1[[#This Row],[CurrentStock]]&lt;Table1[[#This Row],[ReorderLevel]],"Reorder","Okay")</f>
        <v>Okay</v>
      </c>
    </row>
    <row r="2125" spans="1:15" x14ac:dyDescent="0.3">
      <c r="A2125">
        <v>37655</v>
      </c>
      <c r="B2125" t="s">
        <v>15</v>
      </c>
      <c r="C2125" t="s">
        <v>29</v>
      </c>
      <c r="D2125">
        <v>486</v>
      </c>
      <c r="E2125">
        <v>150</v>
      </c>
      <c r="F2125">
        <v>280.62</v>
      </c>
      <c r="G2125" t="s">
        <v>32</v>
      </c>
      <c r="H2125" s="1">
        <v>45312</v>
      </c>
      <c r="I2125" s="1">
        <v>45331</v>
      </c>
      <c r="J2125" t="s">
        <v>38</v>
      </c>
      <c r="K2125" t="b">
        <f>Table1[[#This Row],[CurrentStock]]&lt;Table1[[#This Row],[ReorderLevel]]</f>
        <v>0</v>
      </c>
      <c r="L2125" s="9">
        <f>Table1[[#This Row],[CurrentStock]]*Table1[[#This Row],[UnitPrice]]</f>
        <v>136381.32</v>
      </c>
      <c r="M2125" t="str">
        <f>IF(Table1[[#This Row],[ReorderLevel]]-Table1[[#This Row],[CurrentStock]]&gt;0,Table1[[#This Row],[ReorderLevel]]-Table1[[#This Row],[CurrentStock]],"")</f>
        <v/>
      </c>
      <c r="N2125" t="str">
        <f>IF(Table1[[#This Row],[CurrentStock]]&gt;Table1[[#This Row],[ReorderLevel]]*3,"Over Stock","Okay")</f>
        <v>Over Stock</v>
      </c>
      <c r="O2125" t="str">
        <f>IF(Table1[[#This Row],[CurrentStock]]&lt;Table1[[#This Row],[ReorderLevel]],"Reorder","Okay")</f>
        <v>Okay</v>
      </c>
    </row>
    <row r="2126" spans="1:15" x14ac:dyDescent="0.3">
      <c r="A2126">
        <v>76865</v>
      </c>
      <c r="B2126" t="s">
        <v>14</v>
      </c>
      <c r="C2126" t="s">
        <v>27</v>
      </c>
      <c r="D2126">
        <v>376</v>
      </c>
      <c r="E2126">
        <v>30</v>
      </c>
      <c r="F2126">
        <v>181.07</v>
      </c>
      <c r="G2126" t="s">
        <v>36</v>
      </c>
      <c r="H2126" s="1">
        <v>45437</v>
      </c>
      <c r="I2126" s="1">
        <v>45460</v>
      </c>
      <c r="J2126" t="s">
        <v>38</v>
      </c>
      <c r="K2126" t="b">
        <f>Table1[[#This Row],[CurrentStock]]&lt;Table1[[#This Row],[ReorderLevel]]</f>
        <v>0</v>
      </c>
      <c r="L2126" s="9">
        <f>Table1[[#This Row],[CurrentStock]]*Table1[[#This Row],[UnitPrice]]</f>
        <v>68082.319999999992</v>
      </c>
      <c r="M2126" t="str">
        <f>IF(Table1[[#This Row],[ReorderLevel]]-Table1[[#This Row],[CurrentStock]]&gt;0,Table1[[#This Row],[ReorderLevel]]-Table1[[#This Row],[CurrentStock]],"")</f>
        <v/>
      </c>
      <c r="N2126" t="str">
        <f>IF(Table1[[#This Row],[CurrentStock]]&gt;Table1[[#This Row],[ReorderLevel]]*3,"Over Stock","Okay")</f>
        <v>Over Stock</v>
      </c>
      <c r="O2126" t="str">
        <f>IF(Table1[[#This Row],[CurrentStock]]&lt;Table1[[#This Row],[ReorderLevel]],"Reorder","Okay")</f>
        <v>Okay</v>
      </c>
    </row>
    <row r="2127" spans="1:15" x14ac:dyDescent="0.3">
      <c r="A2127">
        <v>33459</v>
      </c>
      <c r="B2127" t="s">
        <v>11</v>
      </c>
      <c r="C2127" t="s">
        <v>27</v>
      </c>
      <c r="D2127">
        <v>225</v>
      </c>
      <c r="E2127">
        <v>40</v>
      </c>
      <c r="F2127">
        <v>307.66000000000003</v>
      </c>
      <c r="G2127" t="s">
        <v>33</v>
      </c>
      <c r="H2127" s="1">
        <v>45507</v>
      </c>
      <c r="I2127" s="1">
        <v>45515</v>
      </c>
      <c r="J2127" t="s">
        <v>39</v>
      </c>
      <c r="K2127" t="b">
        <f>Table1[[#This Row],[CurrentStock]]&lt;Table1[[#This Row],[ReorderLevel]]</f>
        <v>0</v>
      </c>
      <c r="L2127" s="9">
        <f>Table1[[#This Row],[CurrentStock]]*Table1[[#This Row],[UnitPrice]]</f>
        <v>69223.5</v>
      </c>
      <c r="M2127" t="str">
        <f>IF(Table1[[#This Row],[ReorderLevel]]-Table1[[#This Row],[CurrentStock]]&gt;0,Table1[[#This Row],[ReorderLevel]]-Table1[[#This Row],[CurrentStock]],"")</f>
        <v/>
      </c>
      <c r="N2127" t="str">
        <f>IF(Table1[[#This Row],[CurrentStock]]&gt;Table1[[#This Row],[ReorderLevel]]*3,"Over Stock","Okay")</f>
        <v>Over Stock</v>
      </c>
      <c r="O2127" t="str">
        <f>IF(Table1[[#This Row],[CurrentStock]]&lt;Table1[[#This Row],[ReorderLevel]],"Reorder","Okay")</f>
        <v>Okay</v>
      </c>
    </row>
    <row r="2128" spans="1:15" x14ac:dyDescent="0.3">
      <c r="A2128">
        <v>18912</v>
      </c>
      <c r="B2128" t="s">
        <v>18</v>
      </c>
      <c r="C2128" t="s">
        <v>28</v>
      </c>
      <c r="D2128">
        <v>66</v>
      </c>
      <c r="E2128">
        <v>100</v>
      </c>
      <c r="F2128">
        <v>299.77</v>
      </c>
      <c r="G2128" t="s">
        <v>32</v>
      </c>
      <c r="H2128" s="1">
        <v>45568</v>
      </c>
      <c r="I2128" s="1">
        <v>45580</v>
      </c>
      <c r="J2128" t="s">
        <v>38</v>
      </c>
      <c r="K2128" t="b">
        <f>Table1[[#This Row],[CurrentStock]]&lt;Table1[[#This Row],[ReorderLevel]]</f>
        <v>1</v>
      </c>
      <c r="L2128" s="9">
        <f>Table1[[#This Row],[CurrentStock]]*Table1[[#This Row],[UnitPrice]]</f>
        <v>19784.82</v>
      </c>
      <c r="M2128">
        <f>IF(Table1[[#This Row],[ReorderLevel]]-Table1[[#This Row],[CurrentStock]]&gt;0,Table1[[#This Row],[ReorderLevel]]-Table1[[#This Row],[CurrentStock]],"")</f>
        <v>34</v>
      </c>
      <c r="N2128" t="str">
        <f>IF(Table1[[#This Row],[CurrentStock]]&gt;Table1[[#This Row],[ReorderLevel]]*3,"Over Stock","Okay")</f>
        <v>Okay</v>
      </c>
      <c r="O2128" t="str">
        <f>IF(Table1[[#This Row],[CurrentStock]]&lt;Table1[[#This Row],[ReorderLevel]],"Reorder","Okay")</f>
        <v>Reorder</v>
      </c>
    </row>
    <row r="2129" spans="1:15" x14ac:dyDescent="0.3">
      <c r="A2129">
        <v>62716</v>
      </c>
      <c r="B2129" t="s">
        <v>12</v>
      </c>
      <c r="C2129" t="s">
        <v>28</v>
      </c>
      <c r="D2129">
        <v>307</v>
      </c>
      <c r="E2129">
        <v>100</v>
      </c>
      <c r="F2129">
        <v>83.03</v>
      </c>
      <c r="G2129" t="s">
        <v>35</v>
      </c>
      <c r="H2129" s="1">
        <v>45457</v>
      </c>
      <c r="I2129" s="1">
        <v>45481</v>
      </c>
      <c r="J2129" t="s">
        <v>39</v>
      </c>
      <c r="K2129" t="b">
        <f>Table1[[#This Row],[CurrentStock]]&lt;Table1[[#This Row],[ReorderLevel]]</f>
        <v>0</v>
      </c>
      <c r="L2129" s="9">
        <f>Table1[[#This Row],[CurrentStock]]*Table1[[#This Row],[UnitPrice]]</f>
        <v>25490.21</v>
      </c>
      <c r="M2129" t="str">
        <f>IF(Table1[[#This Row],[ReorderLevel]]-Table1[[#This Row],[CurrentStock]]&gt;0,Table1[[#This Row],[ReorderLevel]]-Table1[[#This Row],[CurrentStock]],"")</f>
        <v/>
      </c>
      <c r="N2129" t="str">
        <f>IF(Table1[[#This Row],[CurrentStock]]&gt;Table1[[#This Row],[ReorderLevel]]*3,"Over Stock","Okay")</f>
        <v>Over Stock</v>
      </c>
      <c r="O2129" t="str">
        <f>IF(Table1[[#This Row],[CurrentStock]]&lt;Table1[[#This Row],[ReorderLevel]],"Reorder","Okay")</f>
        <v>Okay</v>
      </c>
    </row>
    <row r="2130" spans="1:15" x14ac:dyDescent="0.3">
      <c r="A2130">
        <v>49177</v>
      </c>
      <c r="B2130" t="s">
        <v>20</v>
      </c>
      <c r="C2130" t="s">
        <v>29</v>
      </c>
      <c r="D2130">
        <v>66</v>
      </c>
      <c r="E2130">
        <v>30</v>
      </c>
      <c r="F2130">
        <v>10.55</v>
      </c>
      <c r="G2130" t="s">
        <v>35</v>
      </c>
      <c r="H2130" s="1">
        <v>45446</v>
      </c>
      <c r="I2130" s="1">
        <v>45482</v>
      </c>
      <c r="J2130" t="s">
        <v>39</v>
      </c>
      <c r="K2130" t="b">
        <f>Table1[[#This Row],[CurrentStock]]&lt;Table1[[#This Row],[ReorderLevel]]</f>
        <v>0</v>
      </c>
      <c r="L2130" s="9">
        <f>Table1[[#This Row],[CurrentStock]]*Table1[[#This Row],[UnitPrice]]</f>
        <v>696.30000000000007</v>
      </c>
      <c r="M2130" t="str">
        <f>IF(Table1[[#This Row],[ReorderLevel]]-Table1[[#This Row],[CurrentStock]]&gt;0,Table1[[#This Row],[ReorderLevel]]-Table1[[#This Row],[CurrentStock]],"")</f>
        <v/>
      </c>
      <c r="N2130" t="str">
        <f>IF(Table1[[#This Row],[CurrentStock]]&gt;Table1[[#This Row],[ReorderLevel]]*3,"Over Stock","Okay")</f>
        <v>Okay</v>
      </c>
      <c r="O2130" t="str">
        <f>IF(Table1[[#This Row],[CurrentStock]]&lt;Table1[[#This Row],[ReorderLevel]],"Reorder","Okay")</f>
        <v>Okay</v>
      </c>
    </row>
    <row r="2131" spans="1:15" x14ac:dyDescent="0.3">
      <c r="A2131">
        <v>25070</v>
      </c>
      <c r="B2131" t="s">
        <v>12</v>
      </c>
      <c r="C2131" t="s">
        <v>28</v>
      </c>
      <c r="D2131">
        <v>422</v>
      </c>
      <c r="E2131">
        <v>150</v>
      </c>
      <c r="F2131">
        <v>119.48</v>
      </c>
      <c r="G2131" t="s">
        <v>33</v>
      </c>
      <c r="H2131" s="1">
        <v>45619</v>
      </c>
      <c r="I2131" s="1">
        <v>45648</v>
      </c>
      <c r="J2131" t="s">
        <v>37</v>
      </c>
      <c r="K2131" t="b">
        <f>Table1[[#This Row],[CurrentStock]]&lt;Table1[[#This Row],[ReorderLevel]]</f>
        <v>0</v>
      </c>
      <c r="L2131" s="9">
        <f>Table1[[#This Row],[CurrentStock]]*Table1[[#This Row],[UnitPrice]]</f>
        <v>50420.560000000005</v>
      </c>
      <c r="M2131" t="str">
        <f>IF(Table1[[#This Row],[ReorderLevel]]-Table1[[#This Row],[CurrentStock]]&gt;0,Table1[[#This Row],[ReorderLevel]]-Table1[[#This Row],[CurrentStock]],"")</f>
        <v/>
      </c>
      <c r="N2131" t="str">
        <f>IF(Table1[[#This Row],[CurrentStock]]&gt;Table1[[#This Row],[ReorderLevel]]*3,"Over Stock","Okay")</f>
        <v>Okay</v>
      </c>
      <c r="O2131" t="str">
        <f>IF(Table1[[#This Row],[CurrentStock]]&lt;Table1[[#This Row],[ReorderLevel]],"Reorder","Okay")</f>
        <v>Okay</v>
      </c>
    </row>
    <row r="2132" spans="1:15" x14ac:dyDescent="0.3">
      <c r="A2132">
        <v>51912</v>
      </c>
      <c r="B2132" t="s">
        <v>11</v>
      </c>
      <c r="C2132" t="s">
        <v>27</v>
      </c>
      <c r="D2132">
        <v>283</v>
      </c>
      <c r="E2132">
        <v>20</v>
      </c>
      <c r="F2132">
        <v>191.63</v>
      </c>
      <c r="G2132" t="s">
        <v>36</v>
      </c>
      <c r="H2132" s="1">
        <v>45591</v>
      </c>
      <c r="I2132" s="1">
        <v>45618</v>
      </c>
      <c r="J2132" t="s">
        <v>39</v>
      </c>
      <c r="K2132" t="b">
        <f>Table1[[#This Row],[CurrentStock]]&lt;Table1[[#This Row],[ReorderLevel]]</f>
        <v>0</v>
      </c>
      <c r="L2132" s="9">
        <f>Table1[[#This Row],[CurrentStock]]*Table1[[#This Row],[UnitPrice]]</f>
        <v>54231.29</v>
      </c>
      <c r="M2132" t="str">
        <f>IF(Table1[[#This Row],[ReorderLevel]]-Table1[[#This Row],[CurrentStock]]&gt;0,Table1[[#This Row],[ReorderLevel]]-Table1[[#This Row],[CurrentStock]],"")</f>
        <v/>
      </c>
      <c r="N2132" t="str">
        <f>IF(Table1[[#This Row],[CurrentStock]]&gt;Table1[[#This Row],[ReorderLevel]]*3,"Over Stock","Okay")</f>
        <v>Over Stock</v>
      </c>
      <c r="O2132" t="str">
        <f>IF(Table1[[#This Row],[CurrentStock]]&lt;Table1[[#This Row],[ReorderLevel]],"Reorder","Okay")</f>
        <v>Okay</v>
      </c>
    </row>
    <row r="2133" spans="1:15" x14ac:dyDescent="0.3">
      <c r="A2133">
        <v>58505</v>
      </c>
      <c r="B2133" t="s">
        <v>24</v>
      </c>
      <c r="C2133" t="s">
        <v>31</v>
      </c>
      <c r="D2133">
        <v>464</v>
      </c>
      <c r="E2133">
        <v>150</v>
      </c>
      <c r="F2133">
        <v>396.49</v>
      </c>
      <c r="G2133" t="s">
        <v>34</v>
      </c>
      <c r="H2133" s="1">
        <v>45408</v>
      </c>
      <c r="I2133" s="1">
        <v>45422</v>
      </c>
      <c r="J2133" t="s">
        <v>38</v>
      </c>
      <c r="K2133" t="b">
        <f>Table1[[#This Row],[CurrentStock]]&lt;Table1[[#This Row],[ReorderLevel]]</f>
        <v>0</v>
      </c>
      <c r="L2133" s="9">
        <f>Table1[[#This Row],[CurrentStock]]*Table1[[#This Row],[UnitPrice]]</f>
        <v>183971.36000000002</v>
      </c>
      <c r="M2133" t="str">
        <f>IF(Table1[[#This Row],[ReorderLevel]]-Table1[[#This Row],[CurrentStock]]&gt;0,Table1[[#This Row],[ReorderLevel]]-Table1[[#This Row],[CurrentStock]],"")</f>
        <v/>
      </c>
      <c r="N2133" t="str">
        <f>IF(Table1[[#This Row],[CurrentStock]]&gt;Table1[[#This Row],[ReorderLevel]]*3,"Over Stock","Okay")</f>
        <v>Over Stock</v>
      </c>
      <c r="O2133" t="str">
        <f>IF(Table1[[#This Row],[CurrentStock]]&lt;Table1[[#This Row],[ReorderLevel]],"Reorder","Okay")</f>
        <v>Okay</v>
      </c>
    </row>
    <row r="2134" spans="1:15" x14ac:dyDescent="0.3">
      <c r="A2134">
        <v>43292</v>
      </c>
      <c r="B2134" t="s">
        <v>21</v>
      </c>
      <c r="C2134" t="s">
        <v>31</v>
      </c>
      <c r="D2134">
        <v>368</v>
      </c>
      <c r="E2134">
        <v>30</v>
      </c>
      <c r="F2134">
        <v>441.72</v>
      </c>
      <c r="G2134" t="s">
        <v>35</v>
      </c>
      <c r="H2134" s="1">
        <v>45639</v>
      </c>
      <c r="I2134" s="1">
        <v>45671</v>
      </c>
      <c r="J2134" t="s">
        <v>39</v>
      </c>
      <c r="K2134" t="b">
        <f>Table1[[#This Row],[CurrentStock]]&lt;Table1[[#This Row],[ReorderLevel]]</f>
        <v>0</v>
      </c>
      <c r="L2134" s="9">
        <f>Table1[[#This Row],[CurrentStock]]*Table1[[#This Row],[UnitPrice]]</f>
        <v>162552.96000000002</v>
      </c>
      <c r="M2134" t="str">
        <f>IF(Table1[[#This Row],[ReorderLevel]]-Table1[[#This Row],[CurrentStock]]&gt;0,Table1[[#This Row],[ReorderLevel]]-Table1[[#This Row],[CurrentStock]],"")</f>
        <v/>
      </c>
      <c r="N2134" t="str">
        <f>IF(Table1[[#This Row],[CurrentStock]]&gt;Table1[[#This Row],[ReorderLevel]]*3,"Over Stock","Okay")</f>
        <v>Over Stock</v>
      </c>
      <c r="O2134" t="str">
        <f>IF(Table1[[#This Row],[CurrentStock]]&lt;Table1[[#This Row],[ReorderLevel]],"Reorder","Okay")</f>
        <v>Okay</v>
      </c>
    </row>
    <row r="2135" spans="1:15" x14ac:dyDescent="0.3">
      <c r="A2135">
        <v>22987</v>
      </c>
      <c r="B2135" t="s">
        <v>12</v>
      </c>
      <c r="C2135" t="s">
        <v>28</v>
      </c>
      <c r="D2135">
        <v>248</v>
      </c>
      <c r="E2135">
        <v>150</v>
      </c>
      <c r="F2135">
        <v>362.71</v>
      </c>
      <c r="G2135" t="s">
        <v>33</v>
      </c>
      <c r="H2135" s="1">
        <v>45555</v>
      </c>
      <c r="I2135" s="1">
        <v>45568</v>
      </c>
      <c r="J2135" t="s">
        <v>38</v>
      </c>
      <c r="K2135" t="b">
        <f>Table1[[#This Row],[CurrentStock]]&lt;Table1[[#This Row],[ReorderLevel]]</f>
        <v>0</v>
      </c>
      <c r="L2135" s="9">
        <f>Table1[[#This Row],[CurrentStock]]*Table1[[#This Row],[UnitPrice]]</f>
        <v>89952.08</v>
      </c>
      <c r="M2135" t="str">
        <f>IF(Table1[[#This Row],[ReorderLevel]]-Table1[[#This Row],[CurrentStock]]&gt;0,Table1[[#This Row],[ReorderLevel]]-Table1[[#This Row],[CurrentStock]],"")</f>
        <v/>
      </c>
      <c r="N2135" t="str">
        <f>IF(Table1[[#This Row],[CurrentStock]]&gt;Table1[[#This Row],[ReorderLevel]]*3,"Over Stock","Okay")</f>
        <v>Okay</v>
      </c>
      <c r="O2135" t="str">
        <f>IF(Table1[[#This Row],[CurrentStock]]&lt;Table1[[#This Row],[ReorderLevel]],"Reorder","Okay")</f>
        <v>Okay</v>
      </c>
    </row>
    <row r="2136" spans="1:15" x14ac:dyDescent="0.3">
      <c r="A2136">
        <v>64510</v>
      </c>
      <c r="B2136" t="s">
        <v>13</v>
      </c>
      <c r="C2136" t="s">
        <v>29</v>
      </c>
      <c r="D2136">
        <v>456</v>
      </c>
      <c r="E2136">
        <v>80</v>
      </c>
      <c r="F2136">
        <v>99.38</v>
      </c>
      <c r="G2136" t="s">
        <v>36</v>
      </c>
      <c r="H2136" s="1">
        <v>45343</v>
      </c>
      <c r="I2136" s="1">
        <v>45355</v>
      </c>
      <c r="J2136" t="s">
        <v>38</v>
      </c>
      <c r="K2136" t="b">
        <f>Table1[[#This Row],[CurrentStock]]&lt;Table1[[#This Row],[ReorderLevel]]</f>
        <v>0</v>
      </c>
      <c r="L2136" s="9">
        <f>Table1[[#This Row],[CurrentStock]]*Table1[[#This Row],[UnitPrice]]</f>
        <v>45317.279999999999</v>
      </c>
      <c r="M2136" t="str">
        <f>IF(Table1[[#This Row],[ReorderLevel]]-Table1[[#This Row],[CurrentStock]]&gt;0,Table1[[#This Row],[ReorderLevel]]-Table1[[#This Row],[CurrentStock]],"")</f>
        <v/>
      </c>
      <c r="N2136" t="str">
        <f>IF(Table1[[#This Row],[CurrentStock]]&gt;Table1[[#This Row],[ReorderLevel]]*3,"Over Stock","Okay")</f>
        <v>Over Stock</v>
      </c>
      <c r="O2136" t="str">
        <f>IF(Table1[[#This Row],[CurrentStock]]&lt;Table1[[#This Row],[ReorderLevel]],"Reorder","Okay")</f>
        <v>Okay</v>
      </c>
    </row>
    <row r="2137" spans="1:15" x14ac:dyDescent="0.3">
      <c r="A2137">
        <v>17213</v>
      </c>
      <c r="B2137" t="s">
        <v>26</v>
      </c>
      <c r="C2137" t="s">
        <v>30</v>
      </c>
      <c r="D2137">
        <v>236</v>
      </c>
      <c r="E2137">
        <v>150</v>
      </c>
      <c r="F2137">
        <v>445.25</v>
      </c>
      <c r="G2137" t="s">
        <v>33</v>
      </c>
      <c r="H2137" s="1">
        <v>45348</v>
      </c>
      <c r="I2137" s="1">
        <v>45371</v>
      </c>
      <c r="J2137" t="s">
        <v>37</v>
      </c>
      <c r="K2137" t="b">
        <f>Table1[[#This Row],[CurrentStock]]&lt;Table1[[#This Row],[ReorderLevel]]</f>
        <v>0</v>
      </c>
      <c r="L2137" s="9">
        <f>Table1[[#This Row],[CurrentStock]]*Table1[[#This Row],[UnitPrice]]</f>
        <v>105079</v>
      </c>
      <c r="M2137" t="str">
        <f>IF(Table1[[#This Row],[ReorderLevel]]-Table1[[#This Row],[CurrentStock]]&gt;0,Table1[[#This Row],[ReorderLevel]]-Table1[[#This Row],[CurrentStock]],"")</f>
        <v/>
      </c>
      <c r="N2137" t="str">
        <f>IF(Table1[[#This Row],[CurrentStock]]&gt;Table1[[#This Row],[ReorderLevel]]*3,"Over Stock","Okay")</f>
        <v>Okay</v>
      </c>
      <c r="O2137" t="str">
        <f>IF(Table1[[#This Row],[CurrentStock]]&lt;Table1[[#This Row],[ReorderLevel]],"Reorder","Okay")</f>
        <v>Okay</v>
      </c>
    </row>
    <row r="2138" spans="1:15" x14ac:dyDescent="0.3">
      <c r="A2138">
        <v>33368</v>
      </c>
      <c r="B2138" t="s">
        <v>17</v>
      </c>
      <c r="C2138" t="s">
        <v>30</v>
      </c>
      <c r="D2138">
        <v>401</v>
      </c>
      <c r="E2138">
        <v>50</v>
      </c>
      <c r="F2138">
        <v>192.67</v>
      </c>
      <c r="G2138" t="s">
        <v>35</v>
      </c>
      <c r="H2138" s="1">
        <v>45353</v>
      </c>
      <c r="I2138" s="1">
        <v>45368</v>
      </c>
      <c r="J2138" t="s">
        <v>38</v>
      </c>
      <c r="K2138" t="b">
        <f>Table1[[#This Row],[CurrentStock]]&lt;Table1[[#This Row],[ReorderLevel]]</f>
        <v>0</v>
      </c>
      <c r="L2138" s="9">
        <f>Table1[[#This Row],[CurrentStock]]*Table1[[#This Row],[UnitPrice]]</f>
        <v>77260.67</v>
      </c>
      <c r="M2138" t="str">
        <f>IF(Table1[[#This Row],[ReorderLevel]]-Table1[[#This Row],[CurrentStock]]&gt;0,Table1[[#This Row],[ReorderLevel]]-Table1[[#This Row],[CurrentStock]],"")</f>
        <v/>
      </c>
      <c r="N2138" t="str">
        <f>IF(Table1[[#This Row],[CurrentStock]]&gt;Table1[[#This Row],[ReorderLevel]]*3,"Over Stock","Okay")</f>
        <v>Over Stock</v>
      </c>
      <c r="O2138" t="str">
        <f>IF(Table1[[#This Row],[CurrentStock]]&lt;Table1[[#This Row],[ReorderLevel]],"Reorder","Okay")</f>
        <v>Okay</v>
      </c>
    </row>
    <row r="2139" spans="1:15" x14ac:dyDescent="0.3">
      <c r="A2139">
        <v>19223</v>
      </c>
      <c r="B2139" t="s">
        <v>19</v>
      </c>
      <c r="C2139" t="s">
        <v>28</v>
      </c>
      <c r="D2139">
        <v>264</v>
      </c>
      <c r="E2139">
        <v>50</v>
      </c>
      <c r="F2139">
        <v>235.26</v>
      </c>
      <c r="G2139" t="s">
        <v>33</v>
      </c>
      <c r="H2139" s="1">
        <v>45457</v>
      </c>
      <c r="I2139" s="1">
        <v>45489</v>
      </c>
      <c r="J2139" t="s">
        <v>37</v>
      </c>
      <c r="K2139" t="b">
        <f>Table1[[#This Row],[CurrentStock]]&lt;Table1[[#This Row],[ReorderLevel]]</f>
        <v>0</v>
      </c>
      <c r="L2139" s="9">
        <f>Table1[[#This Row],[CurrentStock]]*Table1[[#This Row],[UnitPrice]]</f>
        <v>62108.639999999999</v>
      </c>
      <c r="M2139" t="str">
        <f>IF(Table1[[#This Row],[ReorderLevel]]-Table1[[#This Row],[CurrentStock]]&gt;0,Table1[[#This Row],[ReorderLevel]]-Table1[[#This Row],[CurrentStock]],"")</f>
        <v/>
      </c>
      <c r="N2139" t="str">
        <f>IF(Table1[[#This Row],[CurrentStock]]&gt;Table1[[#This Row],[ReorderLevel]]*3,"Over Stock","Okay")</f>
        <v>Over Stock</v>
      </c>
      <c r="O2139" t="str">
        <f>IF(Table1[[#This Row],[CurrentStock]]&lt;Table1[[#This Row],[ReorderLevel]],"Reorder","Okay")</f>
        <v>Okay</v>
      </c>
    </row>
    <row r="2140" spans="1:15" x14ac:dyDescent="0.3">
      <c r="A2140">
        <v>82002</v>
      </c>
      <c r="B2140" t="s">
        <v>10</v>
      </c>
      <c r="C2140" t="s">
        <v>27</v>
      </c>
      <c r="D2140">
        <v>49</v>
      </c>
      <c r="E2140">
        <v>40</v>
      </c>
      <c r="F2140">
        <v>8.2100000000000009</v>
      </c>
      <c r="G2140" t="s">
        <v>36</v>
      </c>
      <c r="H2140" s="1">
        <v>45479</v>
      </c>
      <c r="I2140" s="1">
        <v>45491</v>
      </c>
      <c r="J2140" t="s">
        <v>39</v>
      </c>
      <c r="K2140" t="b">
        <f>Table1[[#This Row],[CurrentStock]]&lt;Table1[[#This Row],[ReorderLevel]]</f>
        <v>0</v>
      </c>
      <c r="L2140" s="9">
        <f>Table1[[#This Row],[CurrentStock]]*Table1[[#This Row],[UnitPrice]]</f>
        <v>402.29</v>
      </c>
      <c r="M2140" t="str">
        <f>IF(Table1[[#This Row],[ReorderLevel]]-Table1[[#This Row],[CurrentStock]]&gt;0,Table1[[#This Row],[ReorderLevel]]-Table1[[#This Row],[CurrentStock]],"")</f>
        <v/>
      </c>
      <c r="N2140" t="str">
        <f>IF(Table1[[#This Row],[CurrentStock]]&gt;Table1[[#This Row],[ReorderLevel]]*3,"Over Stock","Okay")</f>
        <v>Okay</v>
      </c>
      <c r="O2140" t="str">
        <f>IF(Table1[[#This Row],[CurrentStock]]&lt;Table1[[#This Row],[ReorderLevel]],"Reorder","Okay")</f>
        <v>Okay</v>
      </c>
    </row>
    <row r="2141" spans="1:15" x14ac:dyDescent="0.3">
      <c r="A2141">
        <v>13346</v>
      </c>
      <c r="B2141" t="s">
        <v>20</v>
      </c>
      <c r="C2141" t="s">
        <v>29</v>
      </c>
      <c r="D2141">
        <v>227</v>
      </c>
      <c r="E2141">
        <v>80</v>
      </c>
      <c r="F2141">
        <v>399.79</v>
      </c>
      <c r="G2141" t="s">
        <v>34</v>
      </c>
      <c r="H2141" s="1">
        <v>45354</v>
      </c>
      <c r="I2141" s="1">
        <v>45373</v>
      </c>
      <c r="J2141" t="s">
        <v>39</v>
      </c>
      <c r="K2141" t="b">
        <f>Table1[[#This Row],[CurrentStock]]&lt;Table1[[#This Row],[ReorderLevel]]</f>
        <v>0</v>
      </c>
      <c r="L2141" s="9">
        <f>Table1[[#This Row],[CurrentStock]]*Table1[[#This Row],[UnitPrice]]</f>
        <v>90752.33</v>
      </c>
      <c r="M2141" t="str">
        <f>IF(Table1[[#This Row],[ReorderLevel]]-Table1[[#This Row],[CurrentStock]]&gt;0,Table1[[#This Row],[ReorderLevel]]-Table1[[#This Row],[CurrentStock]],"")</f>
        <v/>
      </c>
      <c r="N2141" t="str">
        <f>IF(Table1[[#This Row],[CurrentStock]]&gt;Table1[[#This Row],[ReorderLevel]]*3,"Over Stock","Okay")</f>
        <v>Okay</v>
      </c>
      <c r="O2141" t="str">
        <f>IF(Table1[[#This Row],[CurrentStock]]&lt;Table1[[#This Row],[ReorderLevel]],"Reorder","Okay")</f>
        <v>Okay</v>
      </c>
    </row>
    <row r="2142" spans="1:15" x14ac:dyDescent="0.3">
      <c r="A2142">
        <v>55039</v>
      </c>
      <c r="B2142" t="s">
        <v>11</v>
      </c>
      <c r="C2142" t="s">
        <v>27</v>
      </c>
      <c r="D2142">
        <v>200</v>
      </c>
      <c r="E2142">
        <v>50</v>
      </c>
      <c r="F2142">
        <v>51.16</v>
      </c>
      <c r="G2142" t="s">
        <v>34</v>
      </c>
      <c r="H2142" s="1">
        <v>45421</v>
      </c>
      <c r="I2142" s="1">
        <v>45447</v>
      </c>
      <c r="J2142" t="s">
        <v>37</v>
      </c>
      <c r="K2142" t="b">
        <f>Table1[[#This Row],[CurrentStock]]&lt;Table1[[#This Row],[ReorderLevel]]</f>
        <v>0</v>
      </c>
      <c r="L2142" s="9">
        <f>Table1[[#This Row],[CurrentStock]]*Table1[[#This Row],[UnitPrice]]</f>
        <v>10232</v>
      </c>
      <c r="M2142" t="str">
        <f>IF(Table1[[#This Row],[ReorderLevel]]-Table1[[#This Row],[CurrentStock]]&gt;0,Table1[[#This Row],[ReorderLevel]]-Table1[[#This Row],[CurrentStock]],"")</f>
        <v/>
      </c>
      <c r="N2142" t="str">
        <f>IF(Table1[[#This Row],[CurrentStock]]&gt;Table1[[#This Row],[ReorderLevel]]*3,"Over Stock","Okay")</f>
        <v>Over Stock</v>
      </c>
      <c r="O2142" t="str">
        <f>IF(Table1[[#This Row],[CurrentStock]]&lt;Table1[[#This Row],[ReorderLevel]],"Reorder","Okay")</f>
        <v>Okay</v>
      </c>
    </row>
    <row r="2143" spans="1:15" x14ac:dyDescent="0.3">
      <c r="A2143">
        <v>54700</v>
      </c>
      <c r="B2143" t="s">
        <v>21</v>
      </c>
      <c r="C2143" t="s">
        <v>31</v>
      </c>
      <c r="D2143">
        <v>167</v>
      </c>
      <c r="E2143">
        <v>80</v>
      </c>
      <c r="F2143">
        <v>300.56</v>
      </c>
      <c r="G2143" t="s">
        <v>35</v>
      </c>
      <c r="H2143" s="1">
        <v>45503</v>
      </c>
      <c r="I2143" s="1">
        <v>45535</v>
      </c>
      <c r="J2143" t="s">
        <v>37</v>
      </c>
      <c r="K2143" t="b">
        <f>Table1[[#This Row],[CurrentStock]]&lt;Table1[[#This Row],[ReorderLevel]]</f>
        <v>0</v>
      </c>
      <c r="L2143" s="9">
        <f>Table1[[#This Row],[CurrentStock]]*Table1[[#This Row],[UnitPrice]]</f>
        <v>50193.52</v>
      </c>
      <c r="M2143" t="str">
        <f>IF(Table1[[#This Row],[ReorderLevel]]-Table1[[#This Row],[CurrentStock]]&gt;0,Table1[[#This Row],[ReorderLevel]]-Table1[[#This Row],[CurrentStock]],"")</f>
        <v/>
      </c>
      <c r="N2143" t="str">
        <f>IF(Table1[[#This Row],[CurrentStock]]&gt;Table1[[#This Row],[ReorderLevel]]*3,"Over Stock","Okay")</f>
        <v>Okay</v>
      </c>
      <c r="O2143" t="str">
        <f>IF(Table1[[#This Row],[CurrentStock]]&lt;Table1[[#This Row],[ReorderLevel]],"Reorder","Okay")</f>
        <v>Okay</v>
      </c>
    </row>
    <row r="2144" spans="1:15" x14ac:dyDescent="0.3">
      <c r="A2144">
        <v>84683</v>
      </c>
      <c r="B2144" t="s">
        <v>21</v>
      </c>
      <c r="C2144" t="s">
        <v>31</v>
      </c>
      <c r="D2144">
        <v>325</v>
      </c>
      <c r="E2144">
        <v>150</v>
      </c>
      <c r="F2144">
        <v>156.88</v>
      </c>
      <c r="G2144" t="s">
        <v>34</v>
      </c>
      <c r="H2144" s="1">
        <v>45493</v>
      </c>
      <c r="I2144" s="1">
        <v>45498</v>
      </c>
      <c r="J2144" t="s">
        <v>38</v>
      </c>
      <c r="K2144" t="b">
        <f>Table1[[#This Row],[CurrentStock]]&lt;Table1[[#This Row],[ReorderLevel]]</f>
        <v>0</v>
      </c>
      <c r="L2144" s="9">
        <f>Table1[[#This Row],[CurrentStock]]*Table1[[#This Row],[UnitPrice]]</f>
        <v>50986</v>
      </c>
      <c r="M2144" t="str">
        <f>IF(Table1[[#This Row],[ReorderLevel]]-Table1[[#This Row],[CurrentStock]]&gt;0,Table1[[#This Row],[ReorderLevel]]-Table1[[#This Row],[CurrentStock]],"")</f>
        <v/>
      </c>
      <c r="N2144" t="str">
        <f>IF(Table1[[#This Row],[CurrentStock]]&gt;Table1[[#This Row],[ReorderLevel]]*3,"Over Stock","Okay")</f>
        <v>Okay</v>
      </c>
      <c r="O2144" t="str">
        <f>IF(Table1[[#This Row],[CurrentStock]]&lt;Table1[[#This Row],[ReorderLevel]],"Reorder","Okay")</f>
        <v>Okay</v>
      </c>
    </row>
    <row r="2145" spans="1:15" x14ac:dyDescent="0.3">
      <c r="A2145">
        <v>23188</v>
      </c>
      <c r="B2145" t="s">
        <v>26</v>
      </c>
      <c r="C2145" t="s">
        <v>30</v>
      </c>
      <c r="D2145">
        <v>323</v>
      </c>
      <c r="E2145">
        <v>80</v>
      </c>
      <c r="F2145">
        <v>460.4</v>
      </c>
      <c r="G2145" t="s">
        <v>34</v>
      </c>
      <c r="H2145" s="1">
        <v>45335</v>
      </c>
      <c r="I2145" s="1">
        <v>45352</v>
      </c>
      <c r="J2145" t="s">
        <v>39</v>
      </c>
      <c r="K2145" t="b">
        <f>Table1[[#This Row],[CurrentStock]]&lt;Table1[[#This Row],[ReorderLevel]]</f>
        <v>0</v>
      </c>
      <c r="L2145" s="9">
        <f>Table1[[#This Row],[CurrentStock]]*Table1[[#This Row],[UnitPrice]]</f>
        <v>148709.19999999998</v>
      </c>
      <c r="M2145" t="str">
        <f>IF(Table1[[#This Row],[ReorderLevel]]-Table1[[#This Row],[CurrentStock]]&gt;0,Table1[[#This Row],[ReorderLevel]]-Table1[[#This Row],[CurrentStock]],"")</f>
        <v/>
      </c>
      <c r="N2145" t="str">
        <f>IF(Table1[[#This Row],[CurrentStock]]&gt;Table1[[#This Row],[ReorderLevel]]*3,"Over Stock","Okay")</f>
        <v>Over Stock</v>
      </c>
      <c r="O2145" t="str">
        <f>IF(Table1[[#This Row],[CurrentStock]]&lt;Table1[[#This Row],[ReorderLevel]],"Reorder","Okay")</f>
        <v>Okay</v>
      </c>
    </row>
    <row r="2146" spans="1:15" x14ac:dyDescent="0.3">
      <c r="A2146">
        <v>48082</v>
      </c>
      <c r="B2146" t="s">
        <v>24</v>
      </c>
      <c r="C2146" t="s">
        <v>31</v>
      </c>
      <c r="D2146">
        <v>262</v>
      </c>
      <c r="E2146">
        <v>100</v>
      </c>
      <c r="F2146">
        <v>464.77</v>
      </c>
      <c r="G2146" t="s">
        <v>35</v>
      </c>
      <c r="H2146" s="1">
        <v>45511</v>
      </c>
      <c r="I2146" s="1">
        <v>45525</v>
      </c>
      <c r="J2146" t="s">
        <v>38</v>
      </c>
      <c r="K2146" t="b">
        <f>Table1[[#This Row],[CurrentStock]]&lt;Table1[[#This Row],[ReorderLevel]]</f>
        <v>0</v>
      </c>
      <c r="L2146" s="9">
        <f>Table1[[#This Row],[CurrentStock]]*Table1[[#This Row],[UnitPrice]]</f>
        <v>121769.73999999999</v>
      </c>
      <c r="M2146" t="str">
        <f>IF(Table1[[#This Row],[ReorderLevel]]-Table1[[#This Row],[CurrentStock]]&gt;0,Table1[[#This Row],[ReorderLevel]]-Table1[[#This Row],[CurrentStock]],"")</f>
        <v/>
      </c>
      <c r="N2146" t="str">
        <f>IF(Table1[[#This Row],[CurrentStock]]&gt;Table1[[#This Row],[ReorderLevel]]*3,"Over Stock","Okay")</f>
        <v>Okay</v>
      </c>
      <c r="O2146" t="str">
        <f>IF(Table1[[#This Row],[CurrentStock]]&lt;Table1[[#This Row],[ReorderLevel]],"Reorder","Okay")</f>
        <v>Okay</v>
      </c>
    </row>
    <row r="2147" spans="1:15" x14ac:dyDescent="0.3">
      <c r="A2147">
        <v>54514</v>
      </c>
      <c r="B2147" t="s">
        <v>15</v>
      </c>
      <c r="C2147" t="s">
        <v>29</v>
      </c>
      <c r="D2147">
        <v>60</v>
      </c>
      <c r="E2147">
        <v>100</v>
      </c>
      <c r="F2147">
        <v>437.58</v>
      </c>
      <c r="G2147" t="s">
        <v>36</v>
      </c>
      <c r="H2147" s="1">
        <v>45402</v>
      </c>
      <c r="I2147" s="1">
        <v>45409</v>
      </c>
      <c r="J2147" t="s">
        <v>39</v>
      </c>
      <c r="K2147" t="b">
        <f>Table1[[#This Row],[CurrentStock]]&lt;Table1[[#This Row],[ReorderLevel]]</f>
        <v>1</v>
      </c>
      <c r="L2147" s="9">
        <f>Table1[[#This Row],[CurrentStock]]*Table1[[#This Row],[UnitPrice]]</f>
        <v>26254.799999999999</v>
      </c>
      <c r="M2147">
        <f>IF(Table1[[#This Row],[ReorderLevel]]-Table1[[#This Row],[CurrentStock]]&gt;0,Table1[[#This Row],[ReorderLevel]]-Table1[[#This Row],[CurrentStock]],"")</f>
        <v>40</v>
      </c>
      <c r="N2147" t="str">
        <f>IF(Table1[[#This Row],[CurrentStock]]&gt;Table1[[#This Row],[ReorderLevel]]*3,"Over Stock","Okay")</f>
        <v>Okay</v>
      </c>
      <c r="O2147" t="str">
        <f>IF(Table1[[#This Row],[CurrentStock]]&lt;Table1[[#This Row],[ReorderLevel]],"Reorder","Okay")</f>
        <v>Reorder</v>
      </c>
    </row>
    <row r="2148" spans="1:15" x14ac:dyDescent="0.3">
      <c r="A2148">
        <v>11833</v>
      </c>
      <c r="B2148" t="s">
        <v>19</v>
      </c>
      <c r="C2148" t="s">
        <v>28</v>
      </c>
      <c r="D2148">
        <v>264</v>
      </c>
      <c r="E2148">
        <v>50</v>
      </c>
      <c r="F2148">
        <v>398.34</v>
      </c>
      <c r="G2148" t="s">
        <v>35</v>
      </c>
      <c r="H2148" s="1">
        <v>45510</v>
      </c>
      <c r="I2148" s="1">
        <v>45532</v>
      </c>
      <c r="J2148" t="s">
        <v>39</v>
      </c>
      <c r="K2148" t="b">
        <f>Table1[[#This Row],[CurrentStock]]&lt;Table1[[#This Row],[ReorderLevel]]</f>
        <v>0</v>
      </c>
      <c r="L2148" s="9">
        <f>Table1[[#This Row],[CurrentStock]]*Table1[[#This Row],[UnitPrice]]</f>
        <v>105161.76</v>
      </c>
      <c r="M2148" t="str">
        <f>IF(Table1[[#This Row],[ReorderLevel]]-Table1[[#This Row],[CurrentStock]]&gt;0,Table1[[#This Row],[ReorderLevel]]-Table1[[#This Row],[CurrentStock]],"")</f>
        <v/>
      </c>
      <c r="N2148" t="str">
        <f>IF(Table1[[#This Row],[CurrentStock]]&gt;Table1[[#This Row],[ReorderLevel]]*3,"Over Stock","Okay")</f>
        <v>Over Stock</v>
      </c>
      <c r="O2148" t="str">
        <f>IF(Table1[[#This Row],[CurrentStock]]&lt;Table1[[#This Row],[ReorderLevel]],"Reorder","Okay")</f>
        <v>Okay</v>
      </c>
    </row>
    <row r="2149" spans="1:15" x14ac:dyDescent="0.3">
      <c r="A2149">
        <v>19940</v>
      </c>
      <c r="B2149" t="s">
        <v>18</v>
      </c>
      <c r="C2149" t="s">
        <v>28</v>
      </c>
      <c r="D2149">
        <v>233</v>
      </c>
      <c r="E2149">
        <v>20</v>
      </c>
      <c r="F2149">
        <v>430.84</v>
      </c>
      <c r="G2149" t="s">
        <v>33</v>
      </c>
      <c r="H2149" s="1">
        <v>45506</v>
      </c>
      <c r="I2149" s="1">
        <v>45543</v>
      </c>
      <c r="J2149" t="s">
        <v>37</v>
      </c>
      <c r="K2149" t="b">
        <f>Table1[[#This Row],[CurrentStock]]&lt;Table1[[#This Row],[ReorderLevel]]</f>
        <v>0</v>
      </c>
      <c r="L2149" s="9">
        <f>Table1[[#This Row],[CurrentStock]]*Table1[[#This Row],[UnitPrice]]</f>
        <v>100385.72</v>
      </c>
      <c r="M2149" t="str">
        <f>IF(Table1[[#This Row],[ReorderLevel]]-Table1[[#This Row],[CurrentStock]]&gt;0,Table1[[#This Row],[ReorderLevel]]-Table1[[#This Row],[CurrentStock]],"")</f>
        <v/>
      </c>
      <c r="N2149" t="str">
        <f>IF(Table1[[#This Row],[CurrentStock]]&gt;Table1[[#This Row],[ReorderLevel]]*3,"Over Stock","Okay")</f>
        <v>Over Stock</v>
      </c>
      <c r="O2149" t="str">
        <f>IF(Table1[[#This Row],[CurrentStock]]&lt;Table1[[#This Row],[ReorderLevel]],"Reorder","Okay")</f>
        <v>Okay</v>
      </c>
    </row>
    <row r="2150" spans="1:15" x14ac:dyDescent="0.3">
      <c r="A2150">
        <v>10530</v>
      </c>
      <c r="B2150" t="s">
        <v>25</v>
      </c>
      <c r="C2150" t="s">
        <v>31</v>
      </c>
      <c r="D2150">
        <v>43</v>
      </c>
      <c r="E2150">
        <v>40</v>
      </c>
      <c r="F2150">
        <v>37.4</v>
      </c>
      <c r="G2150" t="s">
        <v>32</v>
      </c>
      <c r="H2150" s="1">
        <v>45540</v>
      </c>
      <c r="I2150" s="1">
        <v>45546</v>
      </c>
      <c r="J2150" t="s">
        <v>37</v>
      </c>
      <c r="K2150" t="b">
        <f>Table1[[#This Row],[CurrentStock]]&lt;Table1[[#This Row],[ReorderLevel]]</f>
        <v>0</v>
      </c>
      <c r="L2150" s="9">
        <f>Table1[[#This Row],[CurrentStock]]*Table1[[#This Row],[UnitPrice]]</f>
        <v>1608.2</v>
      </c>
      <c r="M2150" t="str">
        <f>IF(Table1[[#This Row],[ReorderLevel]]-Table1[[#This Row],[CurrentStock]]&gt;0,Table1[[#This Row],[ReorderLevel]]-Table1[[#This Row],[CurrentStock]],"")</f>
        <v/>
      </c>
      <c r="N2150" t="str">
        <f>IF(Table1[[#This Row],[CurrentStock]]&gt;Table1[[#This Row],[ReorderLevel]]*3,"Over Stock","Okay")</f>
        <v>Okay</v>
      </c>
      <c r="O2150" t="str">
        <f>IF(Table1[[#This Row],[CurrentStock]]&lt;Table1[[#This Row],[ReorderLevel]],"Reorder","Okay")</f>
        <v>Okay</v>
      </c>
    </row>
    <row r="2151" spans="1:15" x14ac:dyDescent="0.3">
      <c r="A2151">
        <v>68642</v>
      </c>
      <c r="B2151" t="s">
        <v>12</v>
      </c>
      <c r="C2151" t="s">
        <v>28</v>
      </c>
      <c r="D2151">
        <v>495</v>
      </c>
      <c r="E2151">
        <v>40</v>
      </c>
      <c r="F2151">
        <v>104.76</v>
      </c>
      <c r="G2151" t="s">
        <v>33</v>
      </c>
      <c r="H2151" s="1">
        <v>45513</v>
      </c>
      <c r="I2151" s="1">
        <v>45527</v>
      </c>
      <c r="J2151" t="s">
        <v>37</v>
      </c>
      <c r="K2151" t="b">
        <f>Table1[[#This Row],[CurrentStock]]&lt;Table1[[#This Row],[ReorderLevel]]</f>
        <v>0</v>
      </c>
      <c r="L2151" s="9">
        <f>Table1[[#This Row],[CurrentStock]]*Table1[[#This Row],[UnitPrice]]</f>
        <v>51856.200000000004</v>
      </c>
      <c r="M2151" t="str">
        <f>IF(Table1[[#This Row],[ReorderLevel]]-Table1[[#This Row],[CurrentStock]]&gt;0,Table1[[#This Row],[ReorderLevel]]-Table1[[#This Row],[CurrentStock]],"")</f>
        <v/>
      </c>
      <c r="N2151" t="str">
        <f>IF(Table1[[#This Row],[CurrentStock]]&gt;Table1[[#This Row],[ReorderLevel]]*3,"Over Stock","Okay")</f>
        <v>Over Stock</v>
      </c>
      <c r="O2151" t="str">
        <f>IF(Table1[[#This Row],[CurrentStock]]&lt;Table1[[#This Row],[ReorderLevel]],"Reorder","Okay")</f>
        <v>Okay</v>
      </c>
    </row>
    <row r="2152" spans="1:15" x14ac:dyDescent="0.3">
      <c r="A2152">
        <v>99937</v>
      </c>
      <c r="B2152" t="s">
        <v>21</v>
      </c>
      <c r="C2152" t="s">
        <v>31</v>
      </c>
      <c r="D2152">
        <v>94</v>
      </c>
      <c r="E2152">
        <v>80</v>
      </c>
      <c r="F2152">
        <v>342.08</v>
      </c>
      <c r="G2152" t="s">
        <v>35</v>
      </c>
      <c r="H2152" s="1">
        <v>45348</v>
      </c>
      <c r="I2152" s="1">
        <v>45381</v>
      </c>
      <c r="J2152" t="s">
        <v>38</v>
      </c>
      <c r="K2152" t="b">
        <f>Table1[[#This Row],[CurrentStock]]&lt;Table1[[#This Row],[ReorderLevel]]</f>
        <v>0</v>
      </c>
      <c r="L2152" s="9">
        <f>Table1[[#This Row],[CurrentStock]]*Table1[[#This Row],[UnitPrice]]</f>
        <v>32155.519999999997</v>
      </c>
      <c r="M2152" t="str">
        <f>IF(Table1[[#This Row],[ReorderLevel]]-Table1[[#This Row],[CurrentStock]]&gt;0,Table1[[#This Row],[ReorderLevel]]-Table1[[#This Row],[CurrentStock]],"")</f>
        <v/>
      </c>
      <c r="N2152" t="str">
        <f>IF(Table1[[#This Row],[CurrentStock]]&gt;Table1[[#This Row],[ReorderLevel]]*3,"Over Stock","Okay")</f>
        <v>Okay</v>
      </c>
      <c r="O2152" t="str">
        <f>IF(Table1[[#This Row],[CurrentStock]]&lt;Table1[[#This Row],[ReorderLevel]],"Reorder","Okay")</f>
        <v>Okay</v>
      </c>
    </row>
    <row r="2153" spans="1:15" x14ac:dyDescent="0.3">
      <c r="A2153">
        <v>11929</v>
      </c>
      <c r="B2153" t="s">
        <v>20</v>
      </c>
      <c r="C2153" t="s">
        <v>29</v>
      </c>
      <c r="D2153">
        <v>454</v>
      </c>
      <c r="E2153">
        <v>30</v>
      </c>
      <c r="F2153">
        <v>217.03</v>
      </c>
      <c r="G2153" t="s">
        <v>33</v>
      </c>
      <c r="H2153" s="1">
        <v>45348</v>
      </c>
      <c r="I2153" s="1">
        <v>45380</v>
      </c>
      <c r="J2153" t="s">
        <v>38</v>
      </c>
      <c r="K2153" t="b">
        <f>Table1[[#This Row],[CurrentStock]]&lt;Table1[[#This Row],[ReorderLevel]]</f>
        <v>0</v>
      </c>
      <c r="L2153" s="9">
        <f>Table1[[#This Row],[CurrentStock]]*Table1[[#This Row],[UnitPrice]]</f>
        <v>98531.62</v>
      </c>
      <c r="M2153" t="str">
        <f>IF(Table1[[#This Row],[ReorderLevel]]-Table1[[#This Row],[CurrentStock]]&gt;0,Table1[[#This Row],[ReorderLevel]]-Table1[[#This Row],[CurrentStock]],"")</f>
        <v/>
      </c>
      <c r="N2153" t="str">
        <f>IF(Table1[[#This Row],[CurrentStock]]&gt;Table1[[#This Row],[ReorderLevel]]*3,"Over Stock","Okay")</f>
        <v>Over Stock</v>
      </c>
      <c r="O2153" t="str">
        <f>IF(Table1[[#This Row],[CurrentStock]]&lt;Table1[[#This Row],[ReorderLevel]],"Reorder","Okay")</f>
        <v>Okay</v>
      </c>
    </row>
    <row r="2154" spans="1:15" x14ac:dyDescent="0.3">
      <c r="A2154">
        <v>91243</v>
      </c>
      <c r="B2154" t="s">
        <v>16</v>
      </c>
      <c r="C2154" t="s">
        <v>30</v>
      </c>
      <c r="D2154">
        <v>420</v>
      </c>
      <c r="E2154">
        <v>50</v>
      </c>
      <c r="F2154">
        <v>360.55</v>
      </c>
      <c r="G2154" t="s">
        <v>36</v>
      </c>
      <c r="H2154" s="1">
        <v>45656</v>
      </c>
      <c r="I2154" s="1">
        <v>45679</v>
      </c>
      <c r="J2154" t="s">
        <v>37</v>
      </c>
      <c r="K2154" t="b">
        <f>Table1[[#This Row],[CurrentStock]]&lt;Table1[[#This Row],[ReorderLevel]]</f>
        <v>0</v>
      </c>
      <c r="L2154" s="9">
        <f>Table1[[#This Row],[CurrentStock]]*Table1[[#This Row],[UnitPrice]]</f>
        <v>151431</v>
      </c>
      <c r="M2154" t="str">
        <f>IF(Table1[[#This Row],[ReorderLevel]]-Table1[[#This Row],[CurrentStock]]&gt;0,Table1[[#This Row],[ReorderLevel]]-Table1[[#This Row],[CurrentStock]],"")</f>
        <v/>
      </c>
      <c r="N2154" t="str">
        <f>IF(Table1[[#This Row],[CurrentStock]]&gt;Table1[[#This Row],[ReorderLevel]]*3,"Over Stock","Okay")</f>
        <v>Over Stock</v>
      </c>
      <c r="O2154" t="str">
        <f>IF(Table1[[#This Row],[CurrentStock]]&lt;Table1[[#This Row],[ReorderLevel]],"Reorder","Okay")</f>
        <v>Okay</v>
      </c>
    </row>
    <row r="2155" spans="1:15" x14ac:dyDescent="0.3">
      <c r="A2155">
        <v>43577</v>
      </c>
      <c r="B2155" t="s">
        <v>16</v>
      </c>
      <c r="C2155" t="s">
        <v>30</v>
      </c>
      <c r="D2155">
        <v>292</v>
      </c>
      <c r="E2155">
        <v>80</v>
      </c>
      <c r="F2155">
        <v>206.59</v>
      </c>
      <c r="G2155" t="s">
        <v>35</v>
      </c>
      <c r="H2155" s="1">
        <v>45511</v>
      </c>
      <c r="I2155" s="1">
        <v>45534</v>
      </c>
      <c r="J2155" t="s">
        <v>38</v>
      </c>
      <c r="K2155" t="b">
        <f>Table1[[#This Row],[CurrentStock]]&lt;Table1[[#This Row],[ReorderLevel]]</f>
        <v>0</v>
      </c>
      <c r="L2155" s="9">
        <f>Table1[[#This Row],[CurrentStock]]*Table1[[#This Row],[UnitPrice]]</f>
        <v>60324.28</v>
      </c>
      <c r="M2155" t="str">
        <f>IF(Table1[[#This Row],[ReorderLevel]]-Table1[[#This Row],[CurrentStock]]&gt;0,Table1[[#This Row],[ReorderLevel]]-Table1[[#This Row],[CurrentStock]],"")</f>
        <v/>
      </c>
      <c r="N2155" t="str">
        <f>IF(Table1[[#This Row],[CurrentStock]]&gt;Table1[[#This Row],[ReorderLevel]]*3,"Over Stock","Okay")</f>
        <v>Over Stock</v>
      </c>
      <c r="O2155" t="str">
        <f>IF(Table1[[#This Row],[CurrentStock]]&lt;Table1[[#This Row],[ReorderLevel]],"Reorder","Okay")</f>
        <v>Okay</v>
      </c>
    </row>
    <row r="2156" spans="1:15" x14ac:dyDescent="0.3">
      <c r="A2156">
        <v>44001</v>
      </c>
      <c r="B2156" t="s">
        <v>11</v>
      </c>
      <c r="C2156" t="s">
        <v>27</v>
      </c>
      <c r="D2156">
        <v>387</v>
      </c>
      <c r="E2156">
        <v>20</v>
      </c>
      <c r="F2156">
        <v>106.23</v>
      </c>
      <c r="G2156" t="s">
        <v>32</v>
      </c>
      <c r="H2156" s="1">
        <v>45340</v>
      </c>
      <c r="I2156" s="1">
        <v>45369</v>
      </c>
      <c r="J2156" t="s">
        <v>37</v>
      </c>
      <c r="K2156" t="b">
        <f>Table1[[#This Row],[CurrentStock]]&lt;Table1[[#This Row],[ReorderLevel]]</f>
        <v>0</v>
      </c>
      <c r="L2156" s="9">
        <f>Table1[[#This Row],[CurrentStock]]*Table1[[#This Row],[UnitPrice]]</f>
        <v>41111.01</v>
      </c>
      <c r="M2156" t="str">
        <f>IF(Table1[[#This Row],[ReorderLevel]]-Table1[[#This Row],[CurrentStock]]&gt;0,Table1[[#This Row],[ReorderLevel]]-Table1[[#This Row],[CurrentStock]],"")</f>
        <v/>
      </c>
      <c r="N2156" t="str">
        <f>IF(Table1[[#This Row],[CurrentStock]]&gt;Table1[[#This Row],[ReorderLevel]]*3,"Over Stock","Okay")</f>
        <v>Over Stock</v>
      </c>
      <c r="O2156" t="str">
        <f>IF(Table1[[#This Row],[CurrentStock]]&lt;Table1[[#This Row],[ReorderLevel]],"Reorder","Okay")</f>
        <v>Okay</v>
      </c>
    </row>
    <row r="2157" spans="1:15" x14ac:dyDescent="0.3">
      <c r="A2157">
        <v>79498</v>
      </c>
      <c r="B2157" t="s">
        <v>10</v>
      </c>
      <c r="C2157" t="s">
        <v>27</v>
      </c>
      <c r="D2157">
        <v>354</v>
      </c>
      <c r="E2157">
        <v>20</v>
      </c>
      <c r="F2157">
        <v>122.34</v>
      </c>
      <c r="G2157" t="s">
        <v>35</v>
      </c>
      <c r="H2157" s="1">
        <v>45555</v>
      </c>
      <c r="I2157" s="1">
        <v>45577</v>
      </c>
      <c r="J2157" t="s">
        <v>37</v>
      </c>
      <c r="K2157" t="b">
        <f>Table1[[#This Row],[CurrentStock]]&lt;Table1[[#This Row],[ReorderLevel]]</f>
        <v>0</v>
      </c>
      <c r="L2157" s="9">
        <f>Table1[[#This Row],[CurrentStock]]*Table1[[#This Row],[UnitPrice]]</f>
        <v>43308.36</v>
      </c>
      <c r="M2157" t="str">
        <f>IF(Table1[[#This Row],[ReorderLevel]]-Table1[[#This Row],[CurrentStock]]&gt;0,Table1[[#This Row],[ReorderLevel]]-Table1[[#This Row],[CurrentStock]],"")</f>
        <v/>
      </c>
      <c r="N2157" t="str">
        <f>IF(Table1[[#This Row],[CurrentStock]]&gt;Table1[[#This Row],[ReorderLevel]]*3,"Over Stock","Okay")</f>
        <v>Over Stock</v>
      </c>
      <c r="O2157" t="str">
        <f>IF(Table1[[#This Row],[CurrentStock]]&lt;Table1[[#This Row],[ReorderLevel]],"Reorder","Okay")</f>
        <v>Okay</v>
      </c>
    </row>
    <row r="2158" spans="1:15" x14ac:dyDescent="0.3">
      <c r="A2158">
        <v>35090</v>
      </c>
      <c r="B2158" t="s">
        <v>11</v>
      </c>
      <c r="C2158" t="s">
        <v>27</v>
      </c>
      <c r="D2158">
        <v>348</v>
      </c>
      <c r="E2158">
        <v>20</v>
      </c>
      <c r="F2158">
        <v>191.3</v>
      </c>
      <c r="G2158" t="s">
        <v>33</v>
      </c>
      <c r="H2158" s="1">
        <v>45464</v>
      </c>
      <c r="I2158" s="1">
        <v>45469</v>
      </c>
      <c r="J2158" t="s">
        <v>37</v>
      </c>
      <c r="K2158" t="b">
        <f>Table1[[#This Row],[CurrentStock]]&lt;Table1[[#This Row],[ReorderLevel]]</f>
        <v>0</v>
      </c>
      <c r="L2158" s="9">
        <f>Table1[[#This Row],[CurrentStock]]*Table1[[#This Row],[UnitPrice]]</f>
        <v>66572.400000000009</v>
      </c>
      <c r="M2158" t="str">
        <f>IF(Table1[[#This Row],[ReorderLevel]]-Table1[[#This Row],[CurrentStock]]&gt;0,Table1[[#This Row],[ReorderLevel]]-Table1[[#This Row],[CurrentStock]],"")</f>
        <v/>
      </c>
      <c r="N2158" t="str">
        <f>IF(Table1[[#This Row],[CurrentStock]]&gt;Table1[[#This Row],[ReorderLevel]]*3,"Over Stock","Okay")</f>
        <v>Over Stock</v>
      </c>
      <c r="O2158" t="str">
        <f>IF(Table1[[#This Row],[CurrentStock]]&lt;Table1[[#This Row],[ReorderLevel]],"Reorder","Okay")</f>
        <v>Okay</v>
      </c>
    </row>
    <row r="2159" spans="1:15" x14ac:dyDescent="0.3">
      <c r="A2159">
        <v>60374</v>
      </c>
      <c r="B2159" t="s">
        <v>11</v>
      </c>
      <c r="C2159" t="s">
        <v>27</v>
      </c>
      <c r="D2159">
        <v>158</v>
      </c>
      <c r="E2159">
        <v>100</v>
      </c>
      <c r="F2159">
        <v>76.41</v>
      </c>
      <c r="G2159" t="s">
        <v>32</v>
      </c>
      <c r="H2159" s="1">
        <v>45500</v>
      </c>
      <c r="I2159" s="1">
        <v>45514</v>
      </c>
      <c r="J2159" t="s">
        <v>39</v>
      </c>
      <c r="K2159" t="b">
        <f>Table1[[#This Row],[CurrentStock]]&lt;Table1[[#This Row],[ReorderLevel]]</f>
        <v>0</v>
      </c>
      <c r="L2159" s="9">
        <f>Table1[[#This Row],[CurrentStock]]*Table1[[#This Row],[UnitPrice]]</f>
        <v>12072.779999999999</v>
      </c>
      <c r="M2159" t="str">
        <f>IF(Table1[[#This Row],[ReorderLevel]]-Table1[[#This Row],[CurrentStock]]&gt;0,Table1[[#This Row],[ReorderLevel]]-Table1[[#This Row],[CurrentStock]],"")</f>
        <v/>
      </c>
      <c r="N2159" t="str">
        <f>IF(Table1[[#This Row],[CurrentStock]]&gt;Table1[[#This Row],[ReorderLevel]]*3,"Over Stock","Okay")</f>
        <v>Okay</v>
      </c>
      <c r="O2159" t="str">
        <f>IF(Table1[[#This Row],[CurrentStock]]&lt;Table1[[#This Row],[ReorderLevel]],"Reorder","Okay")</f>
        <v>Okay</v>
      </c>
    </row>
    <row r="2160" spans="1:15" x14ac:dyDescent="0.3">
      <c r="A2160">
        <v>11927</v>
      </c>
      <c r="B2160" t="s">
        <v>13</v>
      </c>
      <c r="C2160" t="s">
        <v>29</v>
      </c>
      <c r="D2160">
        <v>392</v>
      </c>
      <c r="E2160">
        <v>100</v>
      </c>
      <c r="F2160">
        <v>327.13</v>
      </c>
      <c r="G2160" t="s">
        <v>35</v>
      </c>
      <c r="H2160" s="1">
        <v>45300</v>
      </c>
      <c r="I2160" s="1">
        <v>45328</v>
      </c>
      <c r="J2160" t="s">
        <v>39</v>
      </c>
      <c r="K2160" t="b">
        <f>Table1[[#This Row],[CurrentStock]]&lt;Table1[[#This Row],[ReorderLevel]]</f>
        <v>0</v>
      </c>
      <c r="L2160" s="9">
        <f>Table1[[#This Row],[CurrentStock]]*Table1[[#This Row],[UnitPrice]]</f>
        <v>128234.95999999999</v>
      </c>
      <c r="M2160" t="str">
        <f>IF(Table1[[#This Row],[ReorderLevel]]-Table1[[#This Row],[CurrentStock]]&gt;0,Table1[[#This Row],[ReorderLevel]]-Table1[[#This Row],[CurrentStock]],"")</f>
        <v/>
      </c>
      <c r="N2160" t="str">
        <f>IF(Table1[[#This Row],[CurrentStock]]&gt;Table1[[#This Row],[ReorderLevel]]*3,"Over Stock","Okay")</f>
        <v>Over Stock</v>
      </c>
      <c r="O2160" t="str">
        <f>IF(Table1[[#This Row],[CurrentStock]]&lt;Table1[[#This Row],[ReorderLevel]],"Reorder","Okay")</f>
        <v>Okay</v>
      </c>
    </row>
    <row r="2161" spans="1:15" x14ac:dyDescent="0.3">
      <c r="A2161">
        <v>25007</v>
      </c>
      <c r="B2161" t="s">
        <v>21</v>
      </c>
      <c r="C2161" t="s">
        <v>31</v>
      </c>
      <c r="D2161">
        <v>372</v>
      </c>
      <c r="E2161">
        <v>40</v>
      </c>
      <c r="F2161">
        <v>297.27</v>
      </c>
      <c r="G2161" t="s">
        <v>36</v>
      </c>
      <c r="H2161" s="1">
        <v>45425</v>
      </c>
      <c r="I2161" s="1">
        <v>45435</v>
      </c>
      <c r="J2161" t="s">
        <v>38</v>
      </c>
      <c r="K2161" t="b">
        <f>Table1[[#This Row],[CurrentStock]]&lt;Table1[[#This Row],[ReorderLevel]]</f>
        <v>0</v>
      </c>
      <c r="L2161" s="9">
        <f>Table1[[#This Row],[CurrentStock]]*Table1[[#This Row],[UnitPrice]]</f>
        <v>110584.43999999999</v>
      </c>
      <c r="M2161" t="str">
        <f>IF(Table1[[#This Row],[ReorderLevel]]-Table1[[#This Row],[CurrentStock]]&gt;0,Table1[[#This Row],[ReorderLevel]]-Table1[[#This Row],[CurrentStock]],"")</f>
        <v/>
      </c>
      <c r="N2161" t="str">
        <f>IF(Table1[[#This Row],[CurrentStock]]&gt;Table1[[#This Row],[ReorderLevel]]*3,"Over Stock","Okay")</f>
        <v>Over Stock</v>
      </c>
      <c r="O2161" t="str">
        <f>IF(Table1[[#This Row],[CurrentStock]]&lt;Table1[[#This Row],[ReorderLevel]],"Reorder","Okay")</f>
        <v>Okay</v>
      </c>
    </row>
    <row r="2162" spans="1:15" x14ac:dyDescent="0.3">
      <c r="A2162">
        <v>40497</v>
      </c>
      <c r="B2162" t="s">
        <v>20</v>
      </c>
      <c r="C2162" t="s">
        <v>29</v>
      </c>
      <c r="D2162">
        <v>183</v>
      </c>
      <c r="E2162">
        <v>40</v>
      </c>
      <c r="F2162">
        <v>277.02999999999997</v>
      </c>
      <c r="G2162" t="s">
        <v>34</v>
      </c>
      <c r="H2162" s="1">
        <v>45628</v>
      </c>
      <c r="I2162" s="1">
        <v>45635</v>
      </c>
      <c r="J2162" t="s">
        <v>39</v>
      </c>
      <c r="K2162" t="b">
        <f>Table1[[#This Row],[CurrentStock]]&lt;Table1[[#This Row],[ReorderLevel]]</f>
        <v>0</v>
      </c>
      <c r="L2162" s="9">
        <f>Table1[[#This Row],[CurrentStock]]*Table1[[#This Row],[UnitPrice]]</f>
        <v>50696.49</v>
      </c>
      <c r="M2162" t="str">
        <f>IF(Table1[[#This Row],[ReorderLevel]]-Table1[[#This Row],[CurrentStock]]&gt;0,Table1[[#This Row],[ReorderLevel]]-Table1[[#This Row],[CurrentStock]],"")</f>
        <v/>
      </c>
      <c r="N2162" t="str">
        <f>IF(Table1[[#This Row],[CurrentStock]]&gt;Table1[[#This Row],[ReorderLevel]]*3,"Over Stock","Okay")</f>
        <v>Over Stock</v>
      </c>
      <c r="O2162" t="str">
        <f>IF(Table1[[#This Row],[CurrentStock]]&lt;Table1[[#This Row],[ReorderLevel]],"Reorder","Okay")</f>
        <v>Okay</v>
      </c>
    </row>
    <row r="2163" spans="1:15" x14ac:dyDescent="0.3">
      <c r="A2163">
        <v>89925</v>
      </c>
      <c r="B2163" t="s">
        <v>25</v>
      </c>
      <c r="C2163" t="s">
        <v>31</v>
      </c>
      <c r="D2163">
        <v>367</v>
      </c>
      <c r="E2163">
        <v>40</v>
      </c>
      <c r="F2163">
        <v>304.49</v>
      </c>
      <c r="G2163" t="s">
        <v>35</v>
      </c>
      <c r="H2163" s="1">
        <v>45565</v>
      </c>
      <c r="I2163" s="1">
        <v>45596</v>
      </c>
      <c r="J2163" t="s">
        <v>37</v>
      </c>
      <c r="K2163" t="b">
        <f>Table1[[#This Row],[CurrentStock]]&lt;Table1[[#This Row],[ReorderLevel]]</f>
        <v>0</v>
      </c>
      <c r="L2163" s="9">
        <f>Table1[[#This Row],[CurrentStock]]*Table1[[#This Row],[UnitPrice]]</f>
        <v>111747.83</v>
      </c>
      <c r="M2163" t="str">
        <f>IF(Table1[[#This Row],[ReorderLevel]]-Table1[[#This Row],[CurrentStock]]&gt;0,Table1[[#This Row],[ReorderLevel]]-Table1[[#This Row],[CurrentStock]],"")</f>
        <v/>
      </c>
      <c r="N2163" t="str">
        <f>IF(Table1[[#This Row],[CurrentStock]]&gt;Table1[[#This Row],[ReorderLevel]]*3,"Over Stock","Okay")</f>
        <v>Over Stock</v>
      </c>
      <c r="O2163" t="str">
        <f>IF(Table1[[#This Row],[CurrentStock]]&lt;Table1[[#This Row],[ReorderLevel]],"Reorder","Okay")</f>
        <v>Okay</v>
      </c>
    </row>
    <row r="2164" spans="1:15" x14ac:dyDescent="0.3">
      <c r="A2164">
        <v>90642</v>
      </c>
      <c r="B2164" t="s">
        <v>13</v>
      </c>
      <c r="C2164" t="s">
        <v>29</v>
      </c>
      <c r="D2164">
        <v>417</v>
      </c>
      <c r="E2164">
        <v>20</v>
      </c>
      <c r="F2164">
        <v>469.66</v>
      </c>
      <c r="G2164" t="s">
        <v>35</v>
      </c>
      <c r="H2164" s="1">
        <v>45467</v>
      </c>
      <c r="I2164" s="1">
        <v>45489</v>
      </c>
      <c r="J2164" t="s">
        <v>39</v>
      </c>
      <c r="K2164" t="b">
        <f>Table1[[#This Row],[CurrentStock]]&lt;Table1[[#This Row],[ReorderLevel]]</f>
        <v>0</v>
      </c>
      <c r="L2164" s="9">
        <f>Table1[[#This Row],[CurrentStock]]*Table1[[#This Row],[UnitPrice]]</f>
        <v>195848.22</v>
      </c>
      <c r="M2164" t="str">
        <f>IF(Table1[[#This Row],[ReorderLevel]]-Table1[[#This Row],[CurrentStock]]&gt;0,Table1[[#This Row],[ReorderLevel]]-Table1[[#This Row],[CurrentStock]],"")</f>
        <v/>
      </c>
      <c r="N2164" t="str">
        <f>IF(Table1[[#This Row],[CurrentStock]]&gt;Table1[[#This Row],[ReorderLevel]]*3,"Over Stock","Okay")</f>
        <v>Over Stock</v>
      </c>
      <c r="O2164" t="str">
        <f>IF(Table1[[#This Row],[CurrentStock]]&lt;Table1[[#This Row],[ReorderLevel]],"Reorder","Okay")</f>
        <v>Okay</v>
      </c>
    </row>
    <row r="2165" spans="1:15" x14ac:dyDescent="0.3">
      <c r="A2165">
        <v>85348</v>
      </c>
      <c r="B2165" t="s">
        <v>15</v>
      </c>
      <c r="C2165" t="s">
        <v>29</v>
      </c>
      <c r="D2165">
        <v>370</v>
      </c>
      <c r="E2165">
        <v>40</v>
      </c>
      <c r="F2165">
        <v>277.08999999999997</v>
      </c>
      <c r="G2165" t="s">
        <v>34</v>
      </c>
      <c r="H2165" s="1">
        <v>45488</v>
      </c>
      <c r="I2165" s="1">
        <v>45501</v>
      </c>
      <c r="J2165" t="s">
        <v>39</v>
      </c>
      <c r="K2165" t="b">
        <f>Table1[[#This Row],[CurrentStock]]&lt;Table1[[#This Row],[ReorderLevel]]</f>
        <v>0</v>
      </c>
      <c r="L2165" s="9">
        <f>Table1[[#This Row],[CurrentStock]]*Table1[[#This Row],[UnitPrice]]</f>
        <v>102523.29999999999</v>
      </c>
      <c r="M2165" t="str">
        <f>IF(Table1[[#This Row],[ReorderLevel]]-Table1[[#This Row],[CurrentStock]]&gt;0,Table1[[#This Row],[ReorderLevel]]-Table1[[#This Row],[CurrentStock]],"")</f>
        <v/>
      </c>
      <c r="N2165" t="str">
        <f>IF(Table1[[#This Row],[CurrentStock]]&gt;Table1[[#This Row],[ReorderLevel]]*3,"Over Stock","Okay")</f>
        <v>Over Stock</v>
      </c>
      <c r="O2165" t="str">
        <f>IF(Table1[[#This Row],[CurrentStock]]&lt;Table1[[#This Row],[ReorderLevel]],"Reorder","Okay")</f>
        <v>Okay</v>
      </c>
    </row>
    <row r="2166" spans="1:15" x14ac:dyDescent="0.3">
      <c r="A2166">
        <v>69337</v>
      </c>
      <c r="B2166" t="s">
        <v>11</v>
      </c>
      <c r="C2166" t="s">
        <v>27</v>
      </c>
      <c r="D2166">
        <v>215</v>
      </c>
      <c r="E2166">
        <v>50</v>
      </c>
      <c r="F2166">
        <v>14.76</v>
      </c>
      <c r="G2166" t="s">
        <v>33</v>
      </c>
      <c r="H2166" s="1">
        <v>45325</v>
      </c>
      <c r="I2166" s="1">
        <v>45349</v>
      </c>
      <c r="J2166" t="s">
        <v>38</v>
      </c>
      <c r="K2166" t="b">
        <f>Table1[[#This Row],[CurrentStock]]&lt;Table1[[#This Row],[ReorderLevel]]</f>
        <v>0</v>
      </c>
      <c r="L2166" s="9">
        <f>Table1[[#This Row],[CurrentStock]]*Table1[[#This Row],[UnitPrice]]</f>
        <v>3173.4</v>
      </c>
      <c r="M2166" t="str">
        <f>IF(Table1[[#This Row],[ReorderLevel]]-Table1[[#This Row],[CurrentStock]]&gt;0,Table1[[#This Row],[ReorderLevel]]-Table1[[#This Row],[CurrentStock]],"")</f>
        <v/>
      </c>
      <c r="N2166" t="str">
        <f>IF(Table1[[#This Row],[CurrentStock]]&gt;Table1[[#This Row],[ReorderLevel]]*3,"Over Stock","Okay")</f>
        <v>Over Stock</v>
      </c>
      <c r="O2166" t="str">
        <f>IF(Table1[[#This Row],[CurrentStock]]&lt;Table1[[#This Row],[ReorderLevel]],"Reorder","Okay")</f>
        <v>Okay</v>
      </c>
    </row>
    <row r="2167" spans="1:15" x14ac:dyDescent="0.3">
      <c r="A2167">
        <v>79550</v>
      </c>
      <c r="B2167" t="s">
        <v>21</v>
      </c>
      <c r="C2167" t="s">
        <v>31</v>
      </c>
      <c r="D2167">
        <v>413</v>
      </c>
      <c r="E2167">
        <v>40</v>
      </c>
      <c r="F2167">
        <v>384.92</v>
      </c>
      <c r="G2167" t="s">
        <v>34</v>
      </c>
      <c r="H2167" s="1">
        <v>45398</v>
      </c>
      <c r="I2167" s="1">
        <v>45409</v>
      </c>
      <c r="J2167" t="s">
        <v>37</v>
      </c>
      <c r="K2167" t="b">
        <f>Table1[[#This Row],[CurrentStock]]&lt;Table1[[#This Row],[ReorderLevel]]</f>
        <v>0</v>
      </c>
      <c r="L2167" s="9">
        <f>Table1[[#This Row],[CurrentStock]]*Table1[[#This Row],[UnitPrice]]</f>
        <v>158971.96000000002</v>
      </c>
      <c r="M2167" t="str">
        <f>IF(Table1[[#This Row],[ReorderLevel]]-Table1[[#This Row],[CurrentStock]]&gt;0,Table1[[#This Row],[ReorderLevel]]-Table1[[#This Row],[CurrentStock]],"")</f>
        <v/>
      </c>
      <c r="N2167" t="str">
        <f>IF(Table1[[#This Row],[CurrentStock]]&gt;Table1[[#This Row],[ReorderLevel]]*3,"Over Stock","Okay")</f>
        <v>Over Stock</v>
      </c>
      <c r="O2167" t="str">
        <f>IF(Table1[[#This Row],[CurrentStock]]&lt;Table1[[#This Row],[ReorderLevel]],"Reorder","Okay")</f>
        <v>Okay</v>
      </c>
    </row>
    <row r="2168" spans="1:15" x14ac:dyDescent="0.3">
      <c r="A2168">
        <v>97350</v>
      </c>
      <c r="B2168" t="s">
        <v>13</v>
      </c>
      <c r="C2168" t="s">
        <v>29</v>
      </c>
      <c r="D2168">
        <v>301</v>
      </c>
      <c r="E2168">
        <v>50</v>
      </c>
      <c r="F2168">
        <v>380.75</v>
      </c>
      <c r="G2168" t="s">
        <v>32</v>
      </c>
      <c r="H2168" s="1">
        <v>45497</v>
      </c>
      <c r="I2168" s="1">
        <v>45509</v>
      </c>
      <c r="J2168" t="s">
        <v>39</v>
      </c>
      <c r="K2168" t="b">
        <f>Table1[[#This Row],[CurrentStock]]&lt;Table1[[#This Row],[ReorderLevel]]</f>
        <v>0</v>
      </c>
      <c r="L2168" s="9">
        <f>Table1[[#This Row],[CurrentStock]]*Table1[[#This Row],[UnitPrice]]</f>
        <v>114605.75</v>
      </c>
      <c r="M2168" t="str">
        <f>IF(Table1[[#This Row],[ReorderLevel]]-Table1[[#This Row],[CurrentStock]]&gt;0,Table1[[#This Row],[ReorderLevel]]-Table1[[#This Row],[CurrentStock]],"")</f>
        <v/>
      </c>
      <c r="N2168" t="str">
        <f>IF(Table1[[#This Row],[CurrentStock]]&gt;Table1[[#This Row],[ReorderLevel]]*3,"Over Stock","Okay")</f>
        <v>Over Stock</v>
      </c>
      <c r="O2168" t="str">
        <f>IF(Table1[[#This Row],[CurrentStock]]&lt;Table1[[#This Row],[ReorderLevel]],"Reorder","Okay")</f>
        <v>Okay</v>
      </c>
    </row>
    <row r="2169" spans="1:15" x14ac:dyDescent="0.3">
      <c r="A2169">
        <v>88764</v>
      </c>
      <c r="B2169" t="s">
        <v>12</v>
      </c>
      <c r="C2169" t="s">
        <v>28</v>
      </c>
      <c r="D2169">
        <v>78</v>
      </c>
      <c r="E2169">
        <v>80</v>
      </c>
      <c r="F2169">
        <v>132.26</v>
      </c>
      <c r="G2169" t="s">
        <v>33</v>
      </c>
      <c r="H2169" s="1">
        <v>45341</v>
      </c>
      <c r="I2169" s="1">
        <v>45376</v>
      </c>
      <c r="J2169" t="s">
        <v>39</v>
      </c>
      <c r="K2169" t="b">
        <f>Table1[[#This Row],[CurrentStock]]&lt;Table1[[#This Row],[ReorderLevel]]</f>
        <v>1</v>
      </c>
      <c r="L2169" s="9">
        <f>Table1[[#This Row],[CurrentStock]]*Table1[[#This Row],[UnitPrice]]</f>
        <v>10316.279999999999</v>
      </c>
      <c r="M2169">
        <f>IF(Table1[[#This Row],[ReorderLevel]]-Table1[[#This Row],[CurrentStock]]&gt;0,Table1[[#This Row],[ReorderLevel]]-Table1[[#This Row],[CurrentStock]],"")</f>
        <v>2</v>
      </c>
      <c r="N2169" t="str">
        <f>IF(Table1[[#This Row],[CurrentStock]]&gt;Table1[[#This Row],[ReorderLevel]]*3,"Over Stock","Okay")</f>
        <v>Okay</v>
      </c>
      <c r="O2169" t="str">
        <f>IF(Table1[[#This Row],[CurrentStock]]&lt;Table1[[#This Row],[ReorderLevel]],"Reorder","Okay")</f>
        <v>Reorder</v>
      </c>
    </row>
    <row r="2170" spans="1:15" x14ac:dyDescent="0.3">
      <c r="A2170">
        <v>55652</v>
      </c>
      <c r="B2170" t="s">
        <v>22</v>
      </c>
      <c r="C2170" t="s">
        <v>27</v>
      </c>
      <c r="D2170">
        <v>103</v>
      </c>
      <c r="E2170">
        <v>150</v>
      </c>
      <c r="F2170">
        <v>238.43</v>
      </c>
      <c r="G2170" t="s">
        <v>35</v>
      </c>
      <c r="H2170" s="1">
        <v>45448</v>
      </c>
      <c r="I2170" s="1">
        <v>45479</v>
      </c>
      <c r="J2170" t="s">
        <v>38</v>
      </c>
      <c r="K2170" t="b">
        <f>Table1[[#This Row],[CurrentStock]]&lt;Table1[[#This Row],[ReorderLevel]]</f>
        <v>1</v>
      </c>
      <c r="L2170" s="9">
        <f>Table1[[#This Row],[CurrentStock]]*Table1[[#This Row],[UnitPrice]]</f>
        <v>24558.29</v>
      </c>
      <c r="M2170">
        <f>IF(Table1[[#This Row],[ReorderLevel]]-Table1[[#This Row],[CurrentStock]]&gt;0,Table1[[#This Row],[ReorderLevel]]-Table1[[#This Row],[CurrentStock]],"")</f>
        <v>47</v>
      </c>
      <c r="N2170" t="str">
        <f>IF(Table1[[#This Row],[CurrentStock]]&gt;Table1[[#This Row],[ReorderLevel]]*3,"Over Stock","Okay")</f>
        <v>Okay</v>
      </c>
      <c r="O2170" t="str">
        <f>IF(Table1[[#This Row],[CurrentStock]]&lt;Table1[[#This Row],[ReorderLevel]],"Reorder","Okay")</f>
        <v>Reorder</v>
      </c>
    </row>
    <row r="2171" spans="1:15" x14ac:dyDescent="0.3">
      <c r="A2171">
        <v>24328</v>
      </c>
      <c r="B2171" t="s">
        <v>25</v>
      </c>
      <c r="C2171" t="s">
        <v>31</v>
      </c>
      <c r="D2171">
        <v>215</v>
      </c>
      <c r="E2171">
        <v>20</v>
      </c>
      <c r="F2171">
        <v>231.12</v>
      </c>
      <c r="G2171" t="s">
        <v>32</v>
      </c>
      <c r="H2171" s="1">
        <v>45647</v>
      </c>
      <c r="I2171" s="1">
        <v>45662</v>
      </c>
      <c r="J2171" t="s">
        <v>38</v>
      </c>
      <c r="K2171" t="b">
        <f>Table1[[#This Row],[CurrentStock]]&lt;Table1[[#This Row],[ReorderLevel]]</f>
        <v>0</v>
      </c>
      <c r="L2171" s="9">
        <f>Table1[[#This Row],[CurrentStock]]*Table1[[#This Row],[UnitPrice]]</f>
        <v>49690.8</v>
      </c>
      <c r="M2171" t="str">
        <f>IF(Table1[[#This Row],[ReorderLevel]]-Table1[[#This Row],[CurrentStock]]&gt;0,Table1[[#This Row],[ReorderLevel]]-Table1[[#This Row],[CurrentStock]],"")</f>
        <v/>
      </c>
      <c r="N2171" t="str">
        <f>IF(Table1[[#This Row],[CurrentStock]]&gt;Table1[[#This Row],[ReorderLevel]]*3,"Over Stock","Okay")</f>
        <v>Over Stock</v>
      </c>
      <c r="O2171" t="str">
        <f>IF(Table1[[#This Row],[CurrentStock]]&lt;Table1[[#This Row],[ReorderLevel]],"Reorder","Okay")</f>
        <v>Okay</v>
      </c>
    </row>
    <row r="2172" spans="1:15" x14ac:dyDescent="0.3">
      <c r="A2172">
        <v>78917</v>
      </c>
      <c r="B2172" t="s">
        <v>19</v>
      </c>
      <c r="C2172" t="s">
        <v>28</v>
      </c>
      <c r="D2172">
        <v>419</v>
      </c>
      <c r="E2172">
        <v>20</v>
      </c>
      <c r="F2172">
        <v>329.06</v>
      </c>
      <c r="G2172" t="s">
        <v>35</v>
      </c>
      <c r="H2172" s="1">
        <v>45558</v>
      </c>
      <c r="I2172" s="1">
        <v>45578</v>
      </c>
      <c r="J2172" t="s">
        <v>39</v>
      </c>
      <c r="K2172" t="b">
        <f>Table1[[#This Row],[CurrentStock]]&lt;Table1[[#This Row],[ReorderLevel]]</f>
        <v>0</v>
      </c>
      <c r="L2172" s="9">
        <f>Table1[[#This Row],[CurrentStock]]*Table1[[#This Row],[UnitPrice]]</f>
        <v>137876.14000000001</v>
      </c>
      <c r="M2172" t="str">
        <f>IF(Table1[[#This Row],[ReorderLevel]]-Table1[[#This Row],[CurrentStock]]&gt;0,Table1[[#This Row],[ReorderLevel]]-Table1[[#This Row],[CurrentStock]],"")</f>
        <v/>
      </c>
      <c r="N2172" t="str">
        <f>IF(Table1[[#This Row],[CurrentStock]]&gt;Table1[[#This Row],[ReorderLevel]]*3,"Over Stock","Okay")</f>
        <v>Over Stock</v>
      </c>
      <c r="O2172" t="str">
        <f>IF(Table1[[#This Row],[CurrentStock]]&lt;Table1[[#This Row],[ReorderLevel]],"Reorder","Okay")</f>
        <v>Okay</v>
      </c>
    </row>
    <row r="2173" spans="1:15" x14ac:dyDescent="0.3">
      <c r="A2173">
        <v>66843</v>
      </c>
      <c r="B2173" t="s">
        <v>24</v>
      </c>
      <c r="C2173" t="s">
        <v>31</v>
      </c>
      <c r="D2173">
        <v>303</v>
      </c>
      <c r="E2173">
        <v>50</v>
      </c>
      <c r="F2173">
        <v>72.430000000000007</v>
      </c>
      <c r="G2173" t="s">
        <v>36</v>
      </c>
      <c r="H2173" s="1">
        <v>45298</v>
      </c>
      <c r="I2173" s="1">
        <v>45316</v>
      </c>
      <c r="J2173" t="s">
        <v>37</v>
      </c>
      <c r="K2173" t="b">
        <f>Table1[[#This Row],[CurrentStock]]&lt;Table1[[#This Row],[ReorderLevel]]</f>
        <v>0</v>
      </c>
      <c r="L2173" s="9">
        <f>Table1[[#This Row],[CurrentStock]]*Table1[[#This Row],[UnitPrice]]</f>
        <v>21946.29</v>
      </c>
      <c r="M2173" t="str">
        <f>IF(Table1[[#This Row],[ReorderLevel]]-Table1[[#This Row],[CurrentStock]]&gt;0,Table1[[#This Row],[ReorderLevel]]-Table1[[#This Row],[CurrentStock]],"")</f>
        <v/>
      </c>
      <c r="N2173" t="str">
        <f>IF(Table1[[#This Row],[CurrentStock]]&gt;Table1[[#This Row],[ReorderLevel]]*3,"Over Stock","Okay")</f>
        <v>Over Stock</v>
      </c>
      <c r="O2173" t="str">
        <f>IF(Table1[[#This Row],[CurrentStock]]&lt;Table1[[#This Row],[ReorderLevel]],"Reorder","Okay")</f>
        <v>Okay</v>
      </c>
    </row>
    <row r="2174" spans="1:15" x14ac:dyDescent="0.3">
      <c r="A2174">
        <v>80679</v>
      </c>
      <c r="B2174" t="s">
        <v>14</v>
      </c>
      <c r="C2174" t="s">
        <v>27</v>
      </c>
      <c r="D2174">
        <v>310</v>
      </c>
      <c r="E2174">
        <v>30</v>
      </c>
      <c r="F2174">
        <v>52.86</v>
      </c>
      <c r="G2174" t="s">
        <v>35</v>
      </c>
      <c r="H2174" s="1">
        <v>45388</v>
      </c>
      <c r="I2174" s="1">
        <v>45422</v>
      </c>
      <c r="J2174" t="s">
        <v>38</v>
      </c>
      <c r="K2174" t="b">
        <f>Table1[[#This Row],[CurrentStock]]&lt;Table1[[#This Row],[ReorderLevel]]</f>
        <v>0</v>
      </c>
      <c r="L2174" s="9">
        <f>Table1[[#This Row],[CurrentStock]]*Table1[[#This Row],[UnitPrice]]</f>
        <v>16386.599999999999</v>
      </c>
      <c r="M2174" t="str">
        <f>IF(Table1[[#This Row],[ReorderLevel]]-Table1[[#This Row],[CurrentStock]]&gt;0,Table1[[#This Row],[ReorderLevel]]-Table1[[#This Row],[CurrentStock]],"")</f>
        <v/>
      </c>
      <c r="N2174" t="str">
        <f>IF(Table1[[#This Row],[CurrentStock]]&gt;Table1[[#This Row],[ReorderLevel]]*3,"Over Stock","Okay")</f>
        <v>Over Stock</v>
      </c>
      <c r="O2174" t="str">
        <f>IF(Table1[[#This Row],[CurrentStock]]&lt;Table1[[#This Row],[ReorderLevel]],"Reorder","Okay")</f>
        <v>Okay</v>
      </c>
    </row>
    <row r="2175" spans="1:15" x14ac:dyDescent="0.3">
      <c r="A2175">
        <v>36081</v>
      </c>
      <c r="B2175" t="s">
        <v>25</v>
      </c>
      <c r="C2175" t="s">
        <v>31</v>
      </c>
      <c r="D2175">
        <v>149</v>
      </c>
      <c r="E2175">
        <v>100</v>
      </c>
      <c r="F2175">
        <v>498.4</v>
      </c>
      <c r="G2175" t="s">
        <v>33</v>
      </c>
      <c r="H2175" s="1">
        <v>45341</v>
      </c>
      <c r="I2175" s="1">
        <v>45361</v>
      </c>
      <c r="J2175" t="s">
        <v>38</v>
      </c>
      <c r="K2175" t="b">
        <f>Table1[[#This Row],[CurrentStock]]&lt;Table1[[#This Row],[ReorderLevel]]</f>
        <v>0</v>
      </c>
      <c r="L2175" s="9">
        <f>Table1[[#This Row],[CurrentStock]]*Table1[[#This Row],[UnitPrice]]</f>
        <v>74261.599999999991</v>
      </c>
      <c r="M2175" t="str">
        <f>IF(Table1[[#This Row],[ReorderLevel]]-Table1[[#This Row],[CurrentStock]]&gt;0,Table1[[#This Row],[ReorderLevel]]-Table1[[#This Row],[CurrentStock]],"")</f>
        <v/>
      </c>
      <c r="N2175" t="str">
        <f>IF(Table1[[#This Row],[CurrentStock]]&gt;Table1[[#This Row],[ReorderLevel]]*3,"Over Stock","Okay")</f>
        <v>Okay</v>
      </c>
      <c r="O2175" t="str">
        <f>IF(Table1[[#This Row],[CurrentStock]]&lt;Table1[[#This Row],[ReorderLevel]],"Reorder","Okay")</f>
        <v>Okay</v>
      </c>
    </row>
    <row r="2176" spans="1:15" x14ac:dyDescent="0.3">
      <c r="A2176">
        <v>25330</v>
      </c>
      <c r="B2176" t="s">
        <v>19</v>
      </c>
      <c r="C2176" t="s">
        <v>28</v>
      </c>
      <c r="D2176">
        <v>334</v>
      </c>
      <c r="E2176">
        <v>50</v>
      </c>
      <c r="F2176">
        <v>165.79</v>
      </c>
      <c r="G2176" t="s">
        <v>35</v>
      </c>
      <c r="H2176" s="1">
        <v>45627</v>
      </c>
      <c r="I2176" s="1">
        <v>45657</v>
      </c>
      <c r="J2176" t="s">
        <v>38</v>
      </c>
      <c r="K2176" t="b">
        <f>Table1[[#This Row],[CurrentStock]]&lt;Table1[[#This Row],[ReorderLevel]]</f>
        <v>0</v>
      </c>
      <c r="L2176" s="9">
        <f>Table1[[#This Row],[CurrentStock]]*Table1[[#This Row],[UnitPrice]]</f>
        <v>55373.86</v>
      </c>
      <c r="M2176" t="str">
        <f>IF(Table1[[#This Row],[ReorderLevel]]-Table1[[#This Row],[CurrentStock]]&gt;0,Table1[[#This Row],[ReorderLevel]]-Table1[[#This Row],[CurrentStock]],"")</f>
        <v/>
      </c>
      <c r="N2176" t="str">
        <f>IF(Table1[[#This Row],[CurrentStock]]&gt;Table1[[#This Row],[ReorderLevel]]*3,"Over Stock","Okay")</f>
        <v>Over Stock</v>
      </c>
      <c r="O2176" t="str">
        <f>IF(Table1[[#This Row],[CurrentStock]]&lt;Table1[[#This Row],[ReorderLevel]],"Reorder","Okay")</f>
        <v>Okay</v>
      </c>
    </row>
    <row r="2177" spans="1:15" x14ac:dyDescent="0.3">
      <c r="A2177">
        <v>65810</v>
      </c>
      <c r="B2177" t="s">
        <v>25</v>
      </c>
      <c r="C2177" t="s">
        <v>31</v>
      </c>
      <c r="D2177">
        <v>184</v>
      </c>
      <c r="E2177">
        <v>50</v>
      </c>
      <c r="F2177">
        <v>467.87</v>
      </c>
      <c r="G2177" t="s">
        <v>32</v>
      </c>
      <c r="H2177" s="1">
        <v>45387</v>
      </c>
      <c r="I2177" s="1">
        <v>45420</v>
      </c>
      <c r="J2177" t="s">
        <v>39</v>
      </c>
      <c r="K2177" t="b">
        <f>Table1[[#This Row],[CurrentStock]]&lt;Table1[[#This Row],[ReorderLevel]]</f>
        <v>0</v>
      </c>
      <c r="L2177" s="9">
        <f>Table1[[#This Row],[CurrentStock]]*Table1[[#This Row],[UnitPrice]]</f>
        <v>86088.08</v>
      </c>
      <c r="M2177" t="str">
        <f>IF(Table1[[#This Row],[ReorderLevel]]-Table1[[#This Row],[CurrentStock]]&gt;0,Table1[[#This Row],[ReorderLevel]]-Table1[[#This Row],[CurrentStock]],"")</f>
        <v/>
      </c>
      <c r="N2177" t="str">
        <f>IF(Table1[[#This Row],[CurrentStock]]&gt;Table1[[#This Row],[ReorderLevel]]*3,"Over Stock","Okay")</f>
        <v>Over Stock</v>
      </c>
      <c r="O2177" t="str">
        <f>IF(Table1[[#This Row],[CurrentStock]]&lt;Table1[[#This Row],[ReorderLevel]],"Reorder","Okay")</f>
        <v>Okay</v>
      </c>
    </row>
    <row r="2178" spans="1:15" x14ac:dyDescent="0.3">
      <c r="A2178">
        <v>16405</v>
      </c>
      <c r="B2178" t="s">
        <v>20</v>
      </c>
      <c r="C2178" t="s">
        <v>29</v>
      </c>
      <c r="D2178">
        <v>356</v>
      </c>
      <c r="E2178">
        <v>50</v>
      </c>
      <c r="F2178">
        <v>249.52</v>
      </c>
      <c r="G2178" t="s">
        <v>32</v>
      </c>
      <c r="H2178" s="1">
        <v>45621</v>
      </c>
      <c r="I2178" s="1">
        <v>45647</v>
      </c>
      <c r="J2178" t="s">
        <v>39</v>
      </c>
      <c r="K2178" t="b">
        <f>Table1[[#This Row],[CurrentStock]]&lt;Table1[[#This Row],[ReorderLevel]]</f>
        <v>0</v>
      </c>
      <c r="L2178" s="9">
        <f>Table1[[#This Row],[CurrentStock]]*Table1[[#This Row],[UnitPrice]]</f>
        <v>88829.12000000001</v>
      </c>
      <c r="M2178" t="str">
        <f>IF(Table1[[#This Row],[ReorderLevel]]-Table1[[#This Row],[CurrentStock]]&gt;0,Table1[[#This Row],[ReorderLevel]]-Table1[[#This Row],[CurrentStock]],"")</f>
        <v/>
      </c>
      <c r="N2178" t="str">
        <f>IF(Table1[[#This Row],[CurrentStock]]&gt;Table1[[#This Row],[ReorderLevel]]*3,"Over Stock","Okay")</f>
        <v>Over Stock</v>
      </c>
      <c r="O2178" t="str">
        <f>IF(Table1[[#This Row],[CurrentStock]]&lt;Table1[[#This Row],[ReorderLevel]],"Reorder","Okay")</f>
        <v>Okay</v>
      </c>
    </row>
    <row r="2179" spans="1:15" x14ac:dyDescent="0.3">
      <c r="A2179">
        <v>25860</v>
      </c>
      <c r="B2179" t="s">
        <v>11</v>
      </c>
      <c r="C2179" t="s">
        <v>27</v>
      </c>
      <c r="D2179">
        <v>190</v>
      </c>
      <c r="E2179">
        <v>20</v>
      </c>
      <c r="F2179">
        <v>159.09</v>
      </c>
      <c r="G2179" t="s">
        <v>33</v>
      </c>
      <c r="H2179" s="1">
        <v>45379</v>
      </c>
      <c r="I2179" s="1">
        <v>45395</v>
      </c>
      <c r="J2179" t="s">
        <v>37</v>
      </c>
      <c r="K2179" t="b">
        <f>Table1[[#This Row],[CurrentStock]]&lt;Table1[[#This Row],[ReorderLevel]]</f>
        <v>0</v>
      </c>
      <c r="L2179" s="9">
        <f>Table1[[#This Row],[CurrentStock]]*Table1[[#This Row],[UnitPrice]]</f>
        <v>30227.100000000002</v>
      </c>
      <c r="M2179" t="str">
        <f>IF(Table1[[#This Row],[ReorderLevel]]-Table1[[#This Row],[CurrentStock]]&gt;0,Table1[[#This Row],[ReorderLevel]]-Table1[[#This Row],[CurrentStock]],"")</f>
        <v/>
      </c>
      <c r="N2179" t="str">
        <f>IF(Table1[[#This Row],[CurrentStock]]&gt;Table1[[#This Row],[ReorderLevel]]*3,"Over Stock","Okay")</f>
        <v>Over Stock</v>
      </c>
      <c r="O2179" t="str">
        <f>IF(Table1[[#This Row],[CurrentStock]]&lt;Table1[[#This Row],[ReorderLevel]],"Reorder","Okay")</f>
        <v>Okay</v>
      </c>
    </row>
    <row r="2180" spans="1:15" x14ac:dyDescent="0.3">
      <c r="A2180">
        <v>51705</v>
      </c>
      <c r="B2180" t="s">
        <v>11</v>
      </c>
      <c r="C2180" t="s">
        <v>27</v>
      </c>
      <c r="D2180">
        <v>432</v>
      </c>
      <c r="E2180">
        <v>20</v>
      </c>
      <c r="F2180">
        <v>341.44</v>
      </c>
      <c r="G2180" t="s">
        <v>32</v>
      </c>
      <c r="H2180" s="1">
        <v>45309</v>
      </c>
      <c r="I2180" s="1">
        <v>45346</v>
      </c>
      <c r="J2180" t="s">
        <v>39</v>
      </c>
      <c r="K2180" t="b">
        <f>Table1[[#This Row],[CurrentStock]]&lt;Table1[[#This Row],[ReorderLevel]]</f>
        <v>0</v>
      </c>
      <c r="L2180" s="9">
        <f>Table1[[#This Row],[CurrentStock]]*Table1[[#This Row],[UnitPrice]]</f>
        <v>147502.07999999999</v>
      </c>
      <c r="M2180" t="str">
        <f>IF(Table1[[#This Row],[ReorderLevel]]-Table1[[#This Row],[CurrentStock]]&gt;0,Table1[[#This Row],[ReorderLevel]]-Table1[[#This Row],[CurrentStock]],"")</f>
        <v/>
      </c>
      <c r="N2180" t="str">
        <f>IF(Table1[[#This Row],[CurrentStock]]&gt;Table1[[#This Row],[ReorderLevel]]*3,"Over Stock","Okay")</f>
        <v>Over Stock</v>
      </c>
      <c r="O2180" t="str">
        <f>IF(Table1[[#This Row],[CurrentStock]]&lt;Table1[[#This Row],[ReorderLevel]],"Reorder","Okay")</f>
        <v>Okay</v>
      </c>
    </row>
    <row r="2181" spans="1:15" x14ac:dyDescent="0.3">
      <c r="A2181">
        <v>97787</v>
      </c>
      <c r="B2181" t="s">
        <v>12</v>
      </c>
      <c r="C2181" t="s">
        <v>28</v>
      </c>
      <c r="D2181">
        <v>343</v>
      </c>
      <c r="E2181">
        <v>100</v>
      </c>
      <c r="F2181">
        <v>431.53</v>
      </c>
      <c r="G2181" t="s">
        <v>32</v>
      </c>
      <c r="H2181" s="1">
        <v>45378</v>
      </c>
      <c r="I2181" s="1">
        <v>45387</v>
      </c>
      <c r="J2181" t="s">
        <v>39</v>
      </c>
      <c r="K2181" t="b">
        <f>Table1[[#This Row],[CurrentStock]]&lt;Table1[[#This Row],[ReorderLevel]]</f>
        <v>0</v>
      </c>
      <c r="L2181" s="9">
        <f>Table1[[#This Row],[CurrentStock]]*Table1[[#This Row],[UnitPrice]]</f>
        <v>148014.78999999998</v>
      </c>
      <c r="M2181" t="str">
        <f>IF(Table1[[#This Row],[ReorderLevel]]-Table1[[#This Row],[CurrentStock]]&gt;0,Table1[[#This Row],[ReorderLevel]]-Table1[[#This Row],[CurrentStock]],"")</f>
        <v/>
      </c>
      <c r="N2181" t="str">
        <f>IF(Table1[[#This Row],[CurrentStock]]&gt;Table1[[#This Row],[ReorderLevel]]*3,"Over Stock","Okay")</f>
        <v>Over Stock</v>
      </c>
      <c r="O2181" t="str">
        <f>IF(Table1[[#This Row],[CurrentStock]]&lt;Table1[[#This Row],[ReorderLevel]],"Reorder","Okay")</f>
        <v>Okay</v>
      </c>
    </row>
    <row r="2182" spans="1:15" x14ac:dyDescent="0.3">
      <c r="A2182">
        <v>44121</v>
      </c>
      <c r="B2182" t="s">
        <v>10</v>
      </c>
      <c r="C2182" t="s">
        <v>27</v>
      </c>
      <c r="D2182">
        <v>38</v>
      </c>
      <c r="E2182">
        <v>100</v>
      </c>
      <c r="F2182">
        <v>41.12</v>
      </c>
      <c r="G2182" t="s">
        <v>34</v>
      </c>
      <c r="H2182" s="1">
        <v>45528</v>
      </c>
      <c r="I2182" s="1">
        <v>45536</v>
      </c>
      <c r="J2182" t="s">
        <v>37</v>
      </c>
      <c r="K2182" t="b">
        <f>Table1[[#This Row],[CurrentStock]]&lt;Table1[[#This Row],[ReorderLevel]]</f>
        <v>1</v>
      </c>
      <c r="L2182" s="9">
        <f>Table1[[#This Row],[CurrentStock]]*Table1[[#This Row],[UnitPrice]]</f>
        <v>1562.56</v>
      </c>
      <c r="M2182">
        <f>IF(Table1[[#This Row],[ReorderLevel]]-Table1[[#This Row],[CurrentStock]]&gt;0,Table1[[#This Row],[ReorderLevel]]-Table1[[#This Row],[CurrentStock]],"")</f>
        <v>62</v>
      </c>
      <c r="N2182" t="str">
        <f>IF(Table1[[#This Row],[CurrentStock]]&gt;Table1[[#This Row],[ReorderLevel]]*3,"Over Stock","Okay")</f>
        <v>Okay</v>
      </c>
      <c r="O2182" t="str">
        <f>IF(Table1[[#This Row],[CurrentStock]]&lt;Table1[[#This Row],[ReorderLevel]],"Reorder","Okay")</f>
        <v>Reorder</v>
      </c>
    </row>
    <row r="2183" spans="1:15" x14ac:dyDescent="0.3">
      <c r="A2183">
        <v>90252</v>
      </c>
      <c r="B2183" t="s">
        <v>17</v>
      </c>
      <c r="C2183" t="s">
        <v>30</v>
      </c>
      <c r="D2183">
        <v>486</v>
      </c>
      <c r="E2183">
        <v>80</v>
      </c>
      <c r="F2183">
        <v>446.48</v>
      </c>
      <c r="G2183" t="s">
        <v>36</v>
      </c>
      <c r="H2183" s="1">
        <v>45510</v>
      </c>
      <c r="I2183" s="1">
        <v>45531</v>
      </c>
      <c r="J2183" t="s">
        <v>38</v>
      </c>
      <c r="K2183" t="b">
        <f>Table1[[#This Row],[CurrentStock]]&lt;Table1[[#This Row],[ReorderLevel]]</f>
        <v>0</v>
      </c>
      <c r="L2183" s="9">
        <f>Table1[[#This Row],[CurrentStock]]*Table1[[#This Row],[UnitPrice]]</f>
        <v>216989.28</v>
      </c>
      <c r="M2183" t="str">
        <f>IF(Table1[[#This Row],[ReorderLevel]]-Table1[[#This Row],[CurrentStock]]&gt;0,Table1[[#This Row],[ReorderLevel]]-Table1[[#This Row],[CurrentStock]],"")</f>
        <v/>
      </c>
      <c r="N2183" t="str">
        <f>IF(Table1[[#This Row],[CurrentStock]]&gt;Table1[[#This Row],[ReorderLevel]]*3,"Over Stock","Okay")</f>
        <v>Over Stock</v>
      </c>
      <c r="O2183" t="str">
        <f>IF(Table1[[#This Row],[CurrentStock]]&lt;Table1[[#This Row],[ReorderLevel]],"Reorder","Okay")</f>
        <v>Okay</v>
      </c>
    </row>
    <row r="2184" spans="1:15" x14ac:dyDescent="0.3">
      <c r="A2184">
        <v>39046</v>
      </c>
      <c r="B2184" t="s">
        <v>13</v>
      </c>
      <c r="C2184" t="s">
        <v>29</v>
      </c>
      <c r="D2184">
        <v>403</v>
      </c>
      <c r="E2184">
        <v>100</v>
      </c>
      <c r="F2184">
        <v>467.28</v>
      </c>
      <c r="G2184" t="s">
        <v>35</v>
      </c>
      <c r="H2184" s="1">
        <v>45591</v>
      </c>
      <c r="I2184" s="1">
        <v>45619</v>
      </c>
      <c r="J2184" t="s">
        <v>38</v>
      </c>
      <c r="K2184" t="b">
        <f>Table1[[#This Row],[CurrentStock]]&lt;Table1[[#This Row],[ReorderLevel]]</f>
        <v>0</v>
      </c>
      <c r="L2184" s="9">
        <f>Table1[[#This Row],[CurrentStock]]*Table1[[#This Row],[UnitPrice]]</f>
        <v>188313.84</v>
      </c>
      <c r="M2184" t="str">
        <f>IF(Table1[[#This Row],[ReorderLevel]]-Table1[[#This Row],[CurrentStock]]&gt;0,Table1[[#This Row],[ReorderLevel]]-Table1[[#This Row],[CurrentStock]],"")</f>
        <v/>
      </c>
      <c r="N2184" t="str">
        <f>IF(Table1[[#This Row],[CurrentStock]]&gt;Table1[[#This Row],[ReorderLevel]]*3,"Over Stock","Okay")</f>
        <v>Over Stock</v>
      </c>
      <c r="O2184" t="str">
        <f>IF(Table1[[#This Row],[CurrentStock]]&lt;Table1[[#This Row],[ReorderLevel]],"Reorder","Okay")</f>
        <v>Okay</v>
      </c>
    </row>
    <row r="2185" spans="1:15" x14ac:dyDescent="0.3">
      <c r="A2185">
        <v>69469</v>
      </c>
      <c r="B2185" t="s">
        <v>15</v>
      </c>
      <c r="C2185" t="s">
        <v>29</v>
      </c>
      <c r="D2185">
        <v>234</v>
      </c>
      <c r="E2185">
        <v>30</v>
      </c>
      <c r="F2185">
        <v>142.94999999999999</v>
      </c>
      <c r="G2185" t="s">
        <v>35</v>
      </c>
      <c r="H2185" s="1">
        <v>45477</v>
      </c>
      <c r="I2185" s="1">
        <v>45494</v>
      </c>
      <c r="J2185" t="s">
        <v>39</v>
      </c>
      <c r="K2185" t="b">
        <f>Table1[[#This Row],[CurrentStock]]&lt;Table1[[#This Row],[ReorderLevel]]</f>
        <v>0</v>
      </c>
      <c r="L2185" s="9">
        <f>Table1[[#This Row],[CurrentStock]]*Table1[[#This Row],[UnitPrice]]</f>
        <v>33450.299999999996</v>
      </c>
      <c r="M2185" t="str">
        <f>IF(Table1[[#This Row],[ReorderLevel]]-Table1[[#This Row],[CurrentStock]]&gt;0,Table1[[#This Row],[ReorderLevel]]-Table1[[#This Row],[CurrentStock]],"")</f>
        <v/>
      </c>
      <c r="N2185" t="str">
        <f>IF(Table1[[#This Row],[CurrentStock]]&gt;Table1[[#This Row],[ReorderLevel]]*3,"Over Stock","Okay")</f>
        <v>Over Stock</v>
      </c>
      <c r="O2185" t="str">
        <f>IF(Table1[[#This Row],[CurrentStock]]&lt;Table1[[#This Row],[ReorderLevel]],"Reorder","Okay")</f>
        <v>Okay</v>
      </c>
    </row>
    <row r="2186" spans="1:15" x14ac:dyDescent="0.3">
      <c r="A2186">
        <v>18727</v>
      </c>
      <c r="B2186" t="s">
        <v>25</v>
      </c>
      <c r="C2186" t="s">
        <v>31</v>
      </c>
      <c r="D2186">
        <v>104</v>
      </c>
      <c r="E2186">
        <v>150</v>
      </c>
      <c r="F2186">
        <v>119.16</v>
      </c>
      <c r="G2186" t="s">
        <v>36</v>
      </c>
      <c r="H2186" s="1">
        <v>45502</v>
      </c>
      <c r="I2186" s="1">
        <v>45515</v>
      </c>
      <c r="J2186" t="s">
        <v>39</v>
      </c>
      <c r="K2186" t="b">
        <f>Table1[[#This Row],[CurrentStock]]&lt;Table1[[#This Row],[ReorderLevel]]</f>
        <v>1</v>
      </c>
      <c r="L2186" s="9">
        <f>Table1[[#This Row],[CurrentStock]]*Table1[[#This Row],[UnitPrice]]</f>
        <v>12392.64</v>
      </c>
      <c r="M2186">
        <f>IF(Table1[[#This Row],[ReorderLevel]]-Table1[[#This Row],[CurrentStock]]&gt;0,Table1[[#This Row],[ReorderLevel]]-Table1[[#This Row],[CurrentStock]],"")</f>
        <v>46</v>
      </c>
      <c r="N2186" t="str">
        <f>IF(Table1[[#This Row],[CurrentStock]]&gt;Table1[[#This Row],[ReorderLevel]]*3,"Over Stock","Okay")</f>
        <v>Okay</v>
      </c>
      <c r="O2186" t="str">
        <f>IF(Table1[[#This Row],[CurrentStock]]&lt;Table1[[#This Row],[ReorderLevel]],"Reorder","Okay")</f>
        <v>Reorder</v>
      </c>
    </row>
    <row r="2187" spans="1:15" x14ac:dyDescent="0.3">
      <c r="A2187">
        <v>15635</v>
      </c>
      <c r="B2187" t="s">
        <v>20</v>
      </c>
      <c r="C2187" t="s">
        <v>29</v>
      </c>
      <c r="D2187">
        <v>457</v>
      </c>
      <c r="E2187">
        <v>40</v>
      </c>
      <c r="F2187">
        <v>492.75</v>
      </c>
      <c r="G2187" t="s">
        <v>34</v>
      </c>
      <c r="H2187" s="1">
        <v>45497</v>
      </c>
      <c r="I2187" s="1">
        <v>45521</v>
      </c>
      <c r="J2187" t="s">
        <v>39</v>
      </c>
      <c r="K2187" t="b">
        <f>Table1[[#This Row],[CurrentStock]]&lt;Table1[[#This Row],[ReorderLevel]]</f>
        <v>0</v>
      </c>
      <c r="L2187" s="9">
        <f>Table1[[#This Row],[CurrentStock]]*Table1[[#This Row],[UnitPrice]]</f>
        <v>225186.75</v>
      </c>
      <c r="M2187" t="str">
        <f>IF(Table1[[#This Row],[ReorderLevel]]-Table1[[#This Row],[CurrentStock]]&gt;0,Table1[[#This Row],[ReorderLevel]]-Table1[[#This Row],[CurrentStock]],"")</f>
        <v/>
      </c>
      <c r="N2187" t="str">
        <f>IF(Table1[[#This Row],[CurrentStock]]&gt;Table1[[#This Row],[ReorderLevel]]*3,"Over Stock","Okay")</f>
        <v>Over Stock</v>
      </c>
      <c r="O2187" t="str">
        <f>IF(Table1[[#This Row],[CurrentStock]]&lt;Table1[[#This Row],[ReorderLevel]],"Reorder","Okay")</f>
        <v>Okay</v>
      </c>
    </row>
    <row r="2188" spans="1:15" x14ac:dyDescent="0.3">
      <c r="A2188">
        <v>21403</v>
      </c>
      <c r="B2188" t="s">
        <v>23</v>
      </c>
      <c r="C2188" t="s">
        <v>30</v>
      </c>
      <c r="D2188">
        <v>223</v>
      </c>
      <c r="E2188">
        <v>100</v>
      </c>
      <c r="F2188">
        <v>454.08</v>
      </c>
      <c r="G2188" t="s">
        <v>32</v>
      </c>
      <c r="H2188" s="1">
        <v>45489</v>
      </c>
      <c r="I2188" s="1">
        <v>45507</v>
      </c>
      <c r="J2188" t="s">
        <v>39</v>
      </c>
      <c r="K2188" t="b">
        <f>Table1[[#This Row],[CurrentStock]]&lt;Table1[[#This Row],[ReorderLevel]]</f>
        <v>0</v>
      </c>
      <c r="L2188" s="9">
        <f>Table1[[#This Row],[CurrentStock]]*Table1[[#This Row],[UnitPrice]]</f>
        <v>101259.84</v>
      </c>
      <c r="M2188" t="str">
        <f>IF(Table1[[#This Row],[ReorderLevel]]-Table1[[#This Row],[CurrentStock]]&gt;0,Table1[[#This Row],[ReorderLevel]]-Table1[[#This Row],[CurrentStock]],"")</f>
        <v/>
      </c>
      <c r="N2188" t="str">
        <f>IF(Table1[[#This Row],[CurrentStock]]&gt;Table1[[#This Row],[ReorderLevel]]*3,"Over Stock","Okay")</f>
        <v>Okay</v>
      </c>
      <c r="O2188" t="str">
        <f>IF(Table1[[#This Row],[CurrentStock]]&lt;Table1[[#This Row],[ReorderLevel]],"Reorder","Okay")</f>
        <v>Okay</v>
      </c>
    </row>
    <row r="2189" spans="1:15" x14ac:dyDescent="0.3">
      <c r="A2189">
        <v>52898</v>
      </c>
      <c r="B2189" t="s">
        <v>21</v>
      </c>
      <c r="C2189" t="s">
        <v>31</v>
      </c>
      <c r="D2189">
        <v>143</v>
      </c>
      <c r="E2189">
        <v>50</v>
      </c>
      <c r="F2189">
        <v>9.7799999999999994</v>
      </c>
      <c r="G2189" t="s">
        <v>35</v>
      </c>
      <c r="H2189" s="1">
        <v>45592</v>
      </c>
      <c r="I2189" s="1">
        <v>45625</v>
      </c>
      <c r="J2189" t="s">
        <v>38</v>
      </c>
      <c r="K2189" t="b">
        <f>Table1[[#This Row],[CurrentStock]]&lt;Table1[[#This Row],[ReorderLevel]]</f>
        <v>0</v>
      </c>
      <c r="L2189" s="9">
        <f>Table1[[#This Row],[CurrentStock]]*Table1[[#This Row],[UnitPrice]]</f>
        <v>1398.54</v>
      </c>
      <c r="M2189" t="str">
        <f>IF(Table1[[#This Row],[ReorderLevel]]-Table1[[#This Row],[CurrentStock]]&gt;0,Table1[[#This Row],[ReorderLevel]]-Table1[[#This Row],[CurrentStock]],"")</f>
        <v/>
      </c>
      <c r="N2189" t="str">
        <f>IF(Table1[[#This Row],[CurrentStock]]&gt;Table1[[#This Row],[ReorderLevel]]*3,"Over Stock","Okay")</f>
        <v>Okay</v>
      </c>
      <c r="O2189" t="str">
        <f>IF(Table1[[#This Row],[CurrentStock]]&lt;Table1[[#This Row],[ReorderLevel]],"Reorder","Okay")</f>
        <v>Okay</v>
      </c>
    </row>
    <row r="2190" spans="1:15" x14ac:dyDescent="0.3">
      <c r="A2190">
        <v>68204</v>
      </c>
      <c r="B2190" t="s">
        <v>10</v>
      </c>
      <c r="C2190" t="s">
        <v>27</v>
      </c>
      <c r="D2190">
        <v>122</v>
      </c>
      <c r="E2190">
        <v>50</v>
      </c>
      <c r="F2190">
        <v>376.29</v>
      </c>
      <c r="G2190" t="s">
        <v>33</v>
      </c>
      <c r="H2190" s="1">
        <v>45308</v>
      </c>
      <c r="I2190" s="1">
        <v>45325</v>
      </c>
      <c r="J2190" t="s">
        <v>38</v>
      </c>
      <c r="K2190" t="b">
        <f>Table1[[#This Row],[CurrentStock]]&lt;Table1[[#This Row],[ReorderLevel]]</f>
        <v>0</v>
      </c>
      <c r="L2190" s="9">
        <f>Table1[[#This Row],[CurrentStock]]*Table1[[#This Row],[UnitPrice]]</f>
        <v>45907.380000000005</v>
      </c>
      <c r="M2190" t="str">
        <f>IF(Table1[[#This Row],[ReorderLevel]]-Table1[[#This Row],[CurrentStock]]&gt;0,Table1[[#This Row],[ReorderLevel]]-Table1[[#This Row],[CurrentStock]],"")</f>
        <v/>
      </c>
      <c r="N2190" t="str">
        <f>IF(Table1[[#This Row],[CurrentStock]]&gt;Table1[[#This Row],[ReorderLevel]]*3,"Over Stock","Okay")</f>
        <v>Okay</v>
      </c>
      <c r="O2190" t="str">
        <f>IF(Table1[[#This Row],[CurrentStock]]&lt;Table1[[#This Row],[ReorderLevel]],"Reorder","Okay")</f>
        <v>Okay</v>
      </c>
    </row>
    <row r="2191" spans="1:15" x14ac:dyDescent="0.3">
      <c r="A2191">
        <v>14334</v>
      </c>
      <c r="B2191" t="s">
        <v>18</v>
      </c>
      <c r="C2191" t="s">
        <v>28</v>
      </c>
      <c r="D2191">
        <v>36</v>
      </c>
      <c r="E2191">
        <v>150</v>
      </c>
      <c r="F2191">
        <v>283.22000000000003</v>
      </c>
      <c r="G2191" t="s">
        <v>36</v>
      </c>
      <c r="H2191" s="1">
        <v>45571</v>
      </c>
      <c r="I2191" s="1">
        <v>45589</v>
      </c>
      <c r="J2191" t="s">
        <v>37</v>
      </c>
      <c r="K2191" t="b">
        <f>Table1[[#This Row],[CurrentStock]]&lt;Table1[[#This Row],[ReorderLevel]]</f>
        <v>1</v>
      </c>
      <c r="L2191" s="9">
        <f>Table1[[#This Row],[CurrentStock]]*Table1[[#This Row],[UnitPrice]]</f>
        <v>10195.920000000002</v>
      </c>
      <c r="M2191">
        <f>IF(Table1[[#This Row],[ReorderLevel]]-Table1[[#This Row],[CurrentStock]]&gt;0,Table1[[#This Row],[ReorderLevel]]-Table1[[#This Row],[CurrentStock]],"")</f>
        <v>114</v>
      </c>
      <c r="N2191" t="str">
        <f>IF(Table1[[#This Row],[CurrentStock]]&gt;Table1[[#This Row],[ReorderLevel]]*3,"Over Stock","Okay")</f>
        <v>Okay</v>
      </c>
      <c r="O2191" t="str">
        <f>IF(Table1[[#This Row],[CurrentStock]]&lt;Table1[[#This Row],[ReorderLevel]],"Reorder","Okay")</f>
        <v>Reorder</v>
      </c>
    </row>
    <row r="2192" spans="1:15" x14ac:dyDescent="0.3">
      <c r="A2192">
        <v>70378</v>
      </c>
      <c r="B2192" t="s">
        <v>26</v>
      </c>
      <c r="C2192" t="s">
        <v>30</v>
      </c>
      <c r="D2192">
        <v>87</v>
      </c>
      <c r="E2192">
        <v>30</v>
      </c>
      <c r="F2192">
        <v>341.73</v>
      </c>
      <c r="G2192" t="s">
        <v>34</v>
      </c>
      <c r="H2192" s="1">
        <v>45479</v>
      </c>
      <c r="I2192" s="1">
        <v>45492</v>
      </c>
      <c r="J2192" t="s">
        <v>39</v>
      </c>
      <c r="K2192" t="b">
        <f>Table1[[#This Row],[CurrentStock]]&lt;Table1[[#This Row],[ReorderLevel]]</f>
        <v>0</v>
      </c>
      <c r="L2192" s="9">
        <f>Table1[[#This Row],[CurrentStock]]*Table1[[#This Row],[UnitPrice]]</f>
        <v>29730.510000000002</v>
      </c>
      <c r="M2192" t="str">
        <f>IF(Table1[[#This Row],[ReorderLevel]]-Table1[[#This Row],[CurrentStock]]&gt;0,Table1[[#This Row],[ReorderLevel]]-Table1[[#This Row],[CurrentStock]],"")</f>
        <v/>
      </c>
      <c r="N2192" t="str">
        <f>IF(Table1[[#This Row],[CurrentStock]]&gt;Table1[[#This Row],[ReorderLevel]]*3,"Over Stock","Okay")</f>
        <v>Okay</v>
      </c>
      <c r="O2192" t="str">
        <f>IF(Table1[[#This Row],[CurrentStock]]&lt;Table1[[#This Row],[ReorderLevel]],"Reorder","Okay")</f>
        <v>Okay</v>
      </c>
    </row>
    <row r="2193" spans="1:15" x14ac:dyDescent="0.3">
      <c r="A2193">
        <v>17004</v>
      </c>
      <c r="B2193" t="s">
        <v>21</v>
      </c>
      <c r="C2193" t="s">
        <v>31</v>
      </c>
      <c r="D2193">
        <v>163</v>
      </c>
      <c r="E2193">
        <v>30</v>
      </c>
      <c r="F2193">
        <v>247.61</v>
      </c>
      <c r="G2193" t="s">
        <v>35</v>
      </c>
      <c r="H2193" s="1">
        <v>45544</v>
      </c>
      <c r="I2193" s="1">
        <v>45580</v>
      </c>
      <c r="J2193" t="s">
        <v>39</v>
      </c>
      <c r="K2193" t="b">
        <f>Table1[[#This Row],[CurrentStock]]&lt;Table1[[#This Row],[ReorderLevel]]</f>
        <v>0</v>
      </c>
      <c r="L2193" s="9">
        <f>Table1[[#This Row],[CurrentStock]]*Table1[[#This Row],[UnitPrice]]</f>
        <v>40360.43</v>
      </c>
      <c r="M2193" t="str">
        <f>IF(Table1[[#This Row],[ReorderLevel]]-Table1[[#This Row],[CurrentStock]]&gt;0,Table1[[#This Row],[ReorderLevel]]-Table1[[#This Row],[CurrentStock]],"")</f>
        <v/>
      </c>
      <c r="N2193" t="str">
        <f>IF(Table1[[#This Row],[CurrentStock]]&gt;Table1[[#This Row],[ReorderLevel]]*3,"Over Stock","Okay")</f>
        <v>Over Stock</v>
      </c>
      <c r="O2193" t="str">
        <f>IF(Table1[[#This Row],[CurrentStock]]&lt;Table1[[#This Row],[ReorderLevel]],"Reorder","Okay")</f>
        <v>Okay</v>
      </c>
    </row>
    <row r="2194" spans="1:15" x14ac:dyDescent="0.3">
      <c r="A2194">
        <v>36469</v>
      </c>
      <c r="B2194" t="s">
        <v>18</v>
      </c>
      <c r="C2194" t="s">
        <v>28</v>
      </c>
      <c r="D2194">
        <v>49</v>
      </c>
      <c r="E2194">
        <v>50</v>
      </c>
      <c r="F2194">
        <v>233.58</v>
      </c>
      <c r="G2194" t="s">
        <v>34</v>
      </c>
      <c r="H2194" s="1">
        <v>45455</v>
      </c>
      <c r="I2194" s="1">
        <v>45490</v>
      </c>
      <c r="J2194" t="s">
        <v>38</v>
      </c>
      <c r="K2194" t="b">
        <f>Table1[[#This Row],[CurrentStock]]&lt;Table1[[#This Row],[ReorderLevel]]</f>
        <v>1</v>
      </c>
      <c r="L2194" s="9">
        <f>Table1[[#This Row],[CurrentStock]]*Table1[[#This Row],[UnitPrice]]</f>
        <v>11445.42</v>
      </c>
      <c r="M2194">
        <f>IF(Table1[[#This Row],[ReorderLevel]]-Table1[[#This Row],[CurrentStock]]&gt;0,Table1[[#This Row],[ReorderLevel]]-Table1[[#This Row],[CurrentStock]],"")</f>
        <v>1</v>
      </c>
      <c r="N2194" t="str">
        <f>IF(Table1[[#This Row],[CurrentStock]]&gt;Table1[[#This Row],[ReorderLevel]]*3,"Over Stock","Okay")</f>
        <v>Okay</v>
      </c>
      <c r="O2194" t="str">
        <f>IF(Table1[[#This Row],[CurrentStock]]&lt;Table1[[#This Row],[ReorderLevel]],"Reorder","Okay")</f>
        <v>Reorder</v>
      </c>
    </row>
    <row r="2195" spans="1:15" x14ac:dyDescent="0.3">
      <c r="A2195">
        <v>48180</v>
      </c>
      <c r="B2195" t="s">
        <v>16</v>
      </c>
      <c r="C2195" t="s">
        <v>30</v>
      </c>
      <c r="D2195">
        <v>390</v>
      </c>
      <c r="E2195">
        <v>80</v>
      </c>
      <c r="F2195">
        <v>311.48</v>
      </c>
      <c r="G2195" t="s">
        <v>36</v>
      </c>
      <c r="H2195" s="1">
        <v>45425</v>
      </c>
      <c r="I2195" s="1">
        <v>45453</v>
      </c>
      <c r="J2195" t="s">
        <v>38</v>
      </c>
      <c r="K2195" t="b">
        <f>Table1[[#This Row],[CurrentStock]]&lt;Table1[[#This Row],[ReorderLevel]]</f>
        <v>0</v>
      </c>
      <c r="L2195" s="9">
        <f>Table1[[#This Row],[CurrentStock]]*Table1[[#This Row],[UnitPrice]]</f>
        <v>121477.20000000001</v>
      </c>
      <c r="M2195" t="str">
        <f>IF(Table1[[#This Row],[ReorderLevel]]-Table1[[#This Row],[CurrentStock]]&gt;0,Table1[[#This Row],[ReorderLevel]]-Table1[[#This Row],[CurrentStock]],"")</f>
        <v/>
      </c>
      <c r="N2195" t="str">
        <f>IF(Table1[[#This Row],[CurrentStock]]&gt;Table1[[#This Row],[ReorderLevel]]*3,"Over Stock","Okay")</f>
        <v>Over Stock</v>
      </c>
      <c r="O2195" t="str">
        <f>IF(Table1[[#This Row],[CurrentStock]]&lt;Table1[[#This Row],[ReorderLevel]],"Reorder","Okay")</f>
        <v>Okay</v>
      </c>
    </row>
    <row r="2196" spans="1:15" x14ac:dyDescent="0.3">
      <c r="A2196">
        <v>67752</v>
      </c>
      <c r="B2196" t="s">
        <v>11</v>
      </c>
      <c r="C2196" t="s">
        <v>27</v>
      </c>
      <c r="D2196">
        <v>357</v>
      </c>
      <c r="E2196">
        <v>80</v>
      </c>
      <c r="F2196">
        <v>12.24</v>
      </c>
      <c r="G2196" t="s">
        <v>33</v>
      </c>
      <c r="H2196" s="1">
        <v>45648</v>
      </c>
      <c r="I2196" s="1">
        <v>45684</v>
      </c>
      <c r="J2196" t="s">
        <v>38</v>
      </c>
      <c r="K2196" t="b">
        <f>Table1[[#This Row],[CurrentStock]]&lt;Table1[[#This Row],[ReorderLevel]]</f>
        <v>0</v>
      </c>
      <c r="L2196" s="9">
        <f>Table1[[#This Row],[CurrentStock]]*Table1[[#This Row],[UnitPrice]]</f>
        <v>4369.68</v>
      </c>
      <c r="M2196" t="str">
        <f>IF(Table1[[#This Row],[ReorderLevel]]-Table1[[#This Row],[CurrentStock]]&gt;0,Table1[[#This Row],[ReorderLevel]]-Table1[[#This Row],[CurrentStock]],"")</f>
        <v/>
      </c>
      <c r="N2196" t="str">
        <f>IF(Table1[[#This Row],[CurrentStock]]&gt;Table1[[#This Row],[ReorderLevel]]*3,"Over Stock","Okay")</f>
        <v>Over Stock</v>
      </c>
      <c r="O2196" t="str">
        <f>IF(Table1[[#This Row],[CurrentStock]]&lt;Table1[[#This Row],[ReorderLevel]],"Reorder","Okay")</f>
        <v>Okay</v>
      </c>
    </row>
    <row r="2197" spans="1:15" x14ac:dyDescent="0.3">
      <c r="A2197">
        <v>27986</v>
      </c>
      <c r="B2197" t="s">
        <v>19</v>
      </c>
      <c r="C2197" t="s">
        <v>28</v>
      </c>
      <c r="D2197">
        <v>172</v>
      </c>
      <c r="E2197">
        <v>40</v>
      </c>
      <c r="F2197">
        <v>166.81</v>
      </c>
      <c r="G2197" t="s">
        <v>35</v>
      </c>
      <c r="H2197" s="1">
        <v>45653</v>
      </c>
      <c r="I2197" s="1">
        <v>45683</v>
      </c>
      <c r="J2197" t="s">
        <v>37</v>
      </c>
      <c r="K2197" t="b">
        <f>Table1[[#This Row],[CurrentStock]]&lt;Table1[[#This Row],[ReorderLevel]]</f>
        <v>0</v>
      </c>
      <c r="L2197" s="9">
        <f>Table1[[#This Row],[CurrentStock]]*Table1[[#This Row],[UnitPrice]]</f>
        <v>28691.32</v>
      </c>
      <c r="M2197" t="str">
        <f>IF(Table1[[#This Row],[ReorderLevel]]-Table1[[#This Row],[CurrentStock]]&gt;0,Table1[[#This Row],[ReorderLevel]]-Table1[[#This Row],[CurrentStock]],"")</f>
        <v/>
      </c>
      <c r="N2197" t="str">
        <f>IF(Table1[[#This Row],[CurrentStock]]&gt;Table1[[#This Row],[ReorderLevel]]*3,"Over Stock","Okay")</f>
        <v>Over Stock</v>
      </c>
      <c r="O2197" t="str">
        <f>IF(Table1[[#This Row],[CurrentStock]]&lt;Table1[[#This Row],[ReorderLevel]],"Reorder","Okay")</f>
        <v>Okay</v>
      </c>
    </row>
    <row r="2198" spans="1:15" x14ac:dyDescent="0.3">
      <c r="A2198">
        <v>28802</v>
      </c>
      <c r="B2198" t="s">
        <v>26</v>
      </c>
      <c r="C2198" t="s">
        <v>30</v>
      </c>
      <c r="D2198">
        <v>81</v>
      </c>
      <c r="E2198">
        <v>20</v>
      </c>
      <c r="F2198">
        <v>193.16</v>
      </c>
      <c r="G2198" t="s">
        <v>34</v>
      </c>
      <c r="H2198" s="1">
        <v>45396</v>
      </c>
      <c r="I2198" s="1">
        <v>45434</v>
      </c>
      <c r="J2198" t="s">
        <v>38</v>
      </c>
      <c r="K2198" t="b">
        <f>Table1[[#This Row],[CurrentStock]]&lt;Table1[[#This Row],[ReorderLevel]]</f>
        <v>0</v>
      </c>
      <c r="L2198" s="9">
        <f>Table1[[#This Row],[CurrentStock]]*Table1[[#This Row],[UnitPrice]]</f>
        <v>15645.96</v>
      </c>
      <c r="M2198" t="str">
        <f>IF(Table1[[#This Row],[ReorderLevel]]-Table1[[#This Row],[CurrentStock]]&gt;0,Table1[[#This Row],[ReorderLevel]]-Table1[[#This Row],[CurrentStock]],"")</f>
        <v/>
      </c>
      <c r="N2198" t="str">
        <f>IF(Table1[[#This Row],[CurrentStock]]&gt;Table1[[#This Row],[ReorderLevel]]*3,"Over Stock","Okay")</f>
        <v>Over Stock</v>
      </c>
      <c r="O2198" t="str">
        <f>IF(Table1[[#This Row],[CurrentStock]]&lt;Table1[[#This Row],[ReorderLevel]],"Reorder","Okay")</f>
        <v>Okay</v>
      </c>
    </row>
    <row r="2199" spans="1:15" x14ac:dyDescent="0.3">
      <c r="A2199">
        <v>30337</v>
      </c>
      <c r="B2199" t="s">
        <v>26</v>
      </c>
      <c r="C2199" t="s">
        <v>30</v>
      </c>
      <c r="D2199">
        <v>482</v>
      </c>
      <c r="E2199">
        <v>30</v>
      </c>
      <c r="F2199">
        <v>144.44999999999999</v>
      </c>
      <c r="G2199" t="s">
        <v>34</v>
      </c>
      <c r="H2199" s="1">
        <v>45405</v>
      </c>
      <c r="I2199" s="1">
        <v>45415</v>
      </c>
      <c r="J2199" t="s">
        <v>37</v>
      </c>
      <c r="K2199" t="b">
        <f>Table1[[#This Row],[CurrentStock]]&lt;Table1[[#This Row],[ReorderLevel]]</f>
        <v>0</v>
      </c>
      <c r="L2199" s="9">
        <f>Table1[[#This Row],[CurrentStock]]*Table1[[#This Row],[UnitPrice]]</f>
        <v>69624.899999999994</v>
      </c>
      <c r="M2199" t="str">
        <f>IF(Table1[[#This Row],[ReorderLevel]]-Table1[[#This Row],[CurrentStock]]&gt;0,Table1[[#This Row],[ReorderLevel]]-Table1[[#This Row],[CurrentStock]],"")</f>
        <v/>
      </c>
      <c r="N2199" t="str">
        <f>IF(Table1[[#This Row],[CurrentStock]]&gt;Table1[[#This Row],[ReorderLevel]]*3,"Over Stock","Okay")</f>
        <v>Over Stock</v>
      </c>
      <c r="O2199" t="str">
        <f>IF(Table1[[#This Row],[CurrentStock]]&lt;Table1[[#This Row],[ReorderLevel]],"Reorder","Okay")</f>
        <v>Okay</v>
      </c>
    </row>
    <row r="2200" spans="1:15" x14ac:dyDescent="0.3">
      <c r="A2200">
        <v>11745</v>
      </c>
      <c r="B2200" t="s">
        <v>16</v>
      </c>
      <c r="C2200" t="s">
        <v>30</v>
      </c>
      <c r="D2200">
        <v>332</v>
      </c>
      <c r="E2200">
        <v>150</v>
      </c>
      <c r="F2200">
        <v>74.05</v>
      </c>
      <c r="G2200" t="s">
        <v>33</v>
      </c>
      <c r="H2200" s="1">
        <v>45412</v>
      </c>
      <c r="I2200" s="1">
        <v>45419</v>
      </c>
      <c r="J2200" t="s">
        <v>39</v>
      </c>
      <c r="K2200" t="b">
        <f>Table1[[#This Row],[CurrentStock]]&lt;Table1[[#This Row],[ReorderLevel]]</f>
        <v>0</v>
      </c>
      <c r="L2200" s="9">
        <f>Table1[[#This Row],[CurrentStock]]*Table1[[#This Row],[UnitPrice]]</f>
        <v>24584.6</v>
      </c>
      <c r="M2200" t="str">
        <f>IF(Table1[[#This Row],[ReorderLevel]]-Table1[[#This Row],[CurrentStock]]&gt;0,Table1[[#This Row],[ReorderLevel]]-Table1[[#This Row],[CurrentStock]],"")</f>
        <v/>
      </c>
      <c r="N2200" t="str">
        <f>IF(Table1[[#This Row],[CurrentStock]]&gt;Table1[[#This Row],[ReorderLevel]]*3,"Over Stock","Okay")</f>
        <v>Okay</v>
      </c>
      <c r="O2200" t="str">
        <f>IF(Table1[[#This Row],[CurrentStock]]&lt;Table1[[#This Row],[ReorderLevel]],"Reorder","Okay")</f>
        <v>Okay</v>
      </c>
    </row>
    <row r="2201" spans="1:15" x14ac:dyDescent="0.3">
      <c r="A2201">
        <v>33849</v>
      </c>
      <c r="B2201" t="s">
        <v>21</v>
      </c>
      <c r="C2201" t="s">
        <v>31</v>
      </c>
      <c r="D2201">
        <v>219</v>
      </c>
      <c r="E2201">
        <v>50</v>
      </c>
      <c r="F2201">
        <v>459.61</v>
      </c>
      <c r="G2201" t="s">
        <v>33</v>
      </c>
      <c r="H2201" s="1">
        <v>45528</v>
      </c>
      <c r="I2201" s="1">
        <v>45534</v>
      </c>
      <c r="J2201" t="s">
        <v>39</v>
      </c>
      <c r="K2201" t="b">
        <f>Table1[[#This Row],[CurrentStock]]&lt;Table1[[#This Row],[ReorderLevel]]</f>
        <v>0</v>
      </c>
      <c r="L2201" s="9">
        <f>Table1[[#This Row],[CurrentStock]]*Table1[[#This Row],[UnitPrice]]</f>
        <v>100654.59</v>
      </c>
      <c r="M2201" t="str">
        <f>IF(Table1[[#This Row],[ReorderLevel]]-Table1[[#This Row],[CurrentStock]]&gt;0,Table1[[#This Row],[ReorderLevel]]-Table1[[#This Row],[CurrentStock]],"")</f>
        <v/>
      </c>
      <c r="N2201" t="str">
        <f>IF(Table1[[#This Row],[CurrentStock]]&gt;Table1[[#This Row],[ReorderLevel]]*3,"Over Stock","Okay")</f>
        <v>Over Stock</v>
      </c>
      <c r="O2201" t="str">
        <f>IF(Table1[[#This Row],[CurrentStock]]&lt;Table1[[#This Row],[ReorderLevel]],"Reorder","Okay")</f>
        <v>Okay</v>
      </c>
    </row>
    <row r="2202" spans="1:15" x14ac:dyDescent="0.3">
      <c r="A2202">
        <v>35402</v>
      </c>
      <c r="B2202" t="s">
        <v>26</v>
      </c>
      <c r="C2202" t="s">
        <v>30</v>
      </c>
      <c r="D2202">
        <v>491</v>
      </c>
      <c r="E2202">
        <v>80</v>
      </c>
      <c r="F2202">
        <v>385.27</v>
      </c>
      <c r="G2202" t="s">
        <v>33</v>
      </c>
      <c r="H2202" s="1">
        <v>45549</v>
      </c>
      <c r="I2202" s="1">
        <v>45580</v>
      </c>
      <c r="J2202" t="s">
        <v>39</v>
      </c>
      <c r="K2202" t="b">
        <f>Table1[[#This Row],[CurrentStock]]&lt;Table1[[#This Row],[ReorderLevel]]</f>
        <v>0</v>
      </c>
      <c r="L2202" s="9">
        <f>Table1[[#This Row],[CurrentStock]]*Table1[[#This Row],[UnitPrice]]</f>
        <v>189167.56999999998</v>
      </c>
      <c r="M2202" t="str">
        <f>IF(Table1[[#This Row],[ReorderLevel]]-Table1[[#This Row],[CurrentStock]]&gt;0,Table1[[#This Row],[ReorderLevel]]-Table1[[#This Row],[CurrentStock]],"")</f>
        <v/>
      </c>
      <c r="N2202" t="str">
        <f>IF(Table1[[#This Row],[CurrentStock]]&gt;Table1[[#This Row],[ReorderLevel]]*3,"Over Stock","Okay")</f>
        <v>Over Stock</v>
      </c>
      <c r="O2202" t="str">
        <f>IF(Table1[[#This Row],[CurrentStock]]&lt;Table1[[#This Row],[ReorderLevel]],"Reorder","Okay")</f>
        <v>Okay</v>
      </c>
    </row>
    <row r="2203" spans="1:15" x14ac:dyDescent="0.3">
      <c r="A2203">
        <v>42261</v>
      </c>
      <c r="B2203" t="s">
        <v>17</v>
      </c>
      <c r="C2203" t="s">
        <v>30</v>
      </c>
      <c r="D2203">
        <v>22</v>
      </c>
      <c r="E2203">
        <v>30</v>
      </c>
      <c r="F2203">
        <v>428.53</v>
      </c>
      <c r="G2203" t="s">
        <v>35</v>
      </c>
      <c r="H2203" s="1">
        <v>45456</v>
      </c>
      <c r="I2203" s="1">
        <v>45482</v>
      </c>
      <c r="J2203" t="s">
        <v>39</v>
      </c>
      <c r="K2203" t="b">
        <f>Table1[[#This Row],[CurrentStock]]&lt;Table1[[#This Row],[ReorderLevel]]</f>
        <v>1</v>
      </c>
      <c r="L2203" s="9">
        <f>Table1[[#This Row],[CurrentStock]]*Table1[[#This Row],[UnitPrice]]</f>
        <v>9427.66</v>
      </c>
      <c r="M2203">
        <f>IF(Table1[[#This Row],[ReorderLevel]]-Table1[[#This Row],[CurrentStock]]&gt;0,Table1[[#This Row],[ReorderLevel]]-Table1[[#This Row],[CurrentStock]],"")</f>
        <v>8</v>
      </c>
      <c r="N2203" t="str">
        <f>IF(Table1[[#This Row],[CurrentStock]]&gt;Table1[[#This Row],[ReorderLevel]]*3,"Over Stock","Okay")</f>
        <v>Okay</v>
      </c>
      <c r="O2203" t="str">
        <f>IF(Table1[[#This Row],[CurrentStock]]&lt;Table1[[#This Row],[ReorderLevel]],"Reorder","Okay")</f>
        <v>Reorder</v>
      </c>
    </row>
    <row r="2204" spans="1:15" x14ac:dyDescent="0.3">
      <c r="A2204">
        <v>21646</v>
      </c>
      <c r="B2204" t="s">
        <v>18</v>
      </c>
      <c r="C2204" t="s">
        <v>28</v>
      </c>
      <c r="D2204">
        <v>406</v>
      </c>
      <c r="E2204">
        <v>20</v>
      </c>
      <c r="F2204">
        <v>478.52</v>
      </c>
      <c r="G2204" t="s">
        <v>36</v>
      </c>
      <c r="H2204" s="1">
        <v>45352</v>
      </c>
      <c r="I2204" s="1">
        <v>45369</v>
      </c>
      <c r="J2204" t="s">
        <v>39</v>
      </c>
      <c r="K2204" t="b">
        <f>Table1[[#This Row],[CurrentStock]]&lt;Table1[[#This Row],[ReorderLevel]]</f>
        <v>0</v>
      </c>
      <c r="L2204" s="9">
        <f>Table1[[#This Row],[CurrentStock]]*Table1[[#This Row],[UnitPrice]]</f>
        <v>194279.12</v>
      </c>
      <c r="M2204" t="str">
        <f>IF(Table1[[#This Row],[ReorderLevel]]-Table1[[#This Row],[CurrentStock]]&gt;0,Table1[[#This Row],[ReorderLevel]]-Table1[[#This Row],[CurrentStock]],"")</f>
        <v/>
      </c>
      <c r="N2204" t="str">
        <f>IF(Table1[[#This Row],[CurrentStock]]&gt;Table1[[#This Row],[ReorderLevel]]*3,"Over Stock","Okay")</f>
        <v>Over Stock</v>
      </c>
      <c r="O2204" t="str">
        <f>IF(Table1[[#This Row],[CurrentStock]]&lt;Table1[[#This Row],[ReorderLevel]],"Reorder","Okay")</f>
        <v>Okay</v>
      </c>
    </row>
    <row r="2205" spans="1:15" x14ac:dyDescent="0.3">
      <c r="A2205">
        <v>65721</v>
      </c>
      <c r="B2205" t="s">
        <v>23</v>
      </c>
      <c r="C2205" t="s">
        <v>30</v>
      </c>
      <c r="D2205">
        <v>399</v>
      </c>
      <c r="E2205">
        <v>40</v>
      </c>
      <c r="F2205">
        <v>41.49</v>
      </c>
      <c r="G2205" t="s">
        <v>33</v>
      </c>
      <c r="H2205" s="1">
        <v>45632</v>
      </c>
      <c r="I2205" s="1">
        <v>45666</v>
      </c>
      <c r="J2205" t="s">
        <v>38</v>
      </c>
      <c r="K2205" t="b">
        <f>Table1[[#This Row],[CurrentStock]]&lt;Table1[[#This Row],[ReorderLevel]]</f>
        <v>0</v>
      </c>
      <c r="L2205" s="9">
        <f>Table1[[#This Row],[CurrentStock]]*Table1[[#This Row],[UnitPrice]]</f>
        <v>16554.510000000002</v>
      </c>
      <c r="M2205" t="str">
        <f>IF(Table1[[#This Row],[ReorderLevel]]-Table1[[#This Row],[CurrentStock]]&gt;0,Table1[[#This Row],[ReorderLevel]]-Table1[[#This Row],[CurrentStock]],"")</f>
        <v/>
      </c>
      <c r="N2205" t="str">
        <f>IF(Table1[[#This Row],[CurrentStock]]&gt;Table1[[#This Row],[ReorderLevel]]*3,"Over Stock","Okay")</f>
        <v>Over Stock</v>
      </c>
      <c r="O2205" t="str">
        <f>IF(Table1[[#This Row],[CurrentStock]]&lt;Table1[[#This Row],[ReorderLevel]],"Reorder","Okay")</f>
        <v>Okay</v>
      </c>
    </row>
    <row r="2206" spans="1:15" x14ac:dyDescent="0.3">
      <c r="A2206">
        <v>42643</v>
      </c>
      <c r="B2206" t="s">
        <v>20</v>
      </c>
      <c r="C2206" t="s">
        <v>29</v>
      </c>
      <c r="D2206">
        <v>322</v>
      </c>
      <c r="E2206">
        <v>20</v>
      </c>
      <c r="F2206">
        <v>373.81</v>
      </c>
      <c r="G2206" t="s">
        <v>33</v>
      </c>
      <c r="H2206" s="1">
        <v>45422</v>
      </c>
      <c r="I2206" s="1">
        <v>45429</v>
      </c>
      <c r="J2206" t="s">
        <v>39</v>
      </c>
      <c r="K2206" t="b">
        <f>Table1[[#This Row],[CurrentStock]]&lt;Table1[[#This Row],[ReorderLevel]]</f>
        <v>0</v>
      </c>
      <c r="L2206" s="9">
        <f>Table1[[#This Row],[CurrentStock]]*Table1[[#This Row],[UnitPrice]]</f>
        <v>120366.82</v>
      </c>
      <c r="M2206" t="str">
        <f>IF(Table1[[#This Row],[ReorderLevel]]-Table1[[#This Row],[CurrentStock]]&gt;0,Table1[[#This Row],[ReorderLevel]]-Table1[[#This Row],[CurrentStock]],"")</f>
        <v/>
      </c>
      <c r="N2206" t="str">
        <f>IF(Table1[[#This Row],[CurrentStock]]&gt;Table1[[#This Row],[ReorderLevel]]*3,"Over Stock","Okay")</f>
        <v>Over Stock</v>
      </c>
      <c r="O2206" t="str">
        <f>IF(Table1[[#This Row],[CurrentStock]]&lt;Table1[[#This Row],[ReorderLevel]],"Reorder","Okay")</f>
        <v>Okay</v>
      </c>
    </row>
    <row r="2207" spans="1:15" x14ac:dyDescent="0.3">
      <c r="A2207">
        <v>58841</v>
      </c>
      <c r="B2207" t="s">
        <v>17</v>
      </c>
      <c r="C2207" t="s">
        <v>30</v>
      </c>
      <c r="D2207">
        <v>30</v>
      </c>
      <c r="E2207">
        <v>80</v>
      </c>
      <c r="F2207">
        <v>101.46</v>
      </c>
      <c r="G2207" t="s">
        <v>34</v>
      </c>
      <c r="H2207" s="1">
        <v>45594</v>
      </c>
      <c r="I2207" s="1">
        <v>45620</v>
      </c>
      <c r="J2207" t="s">
        <v>39</v>
      </c>
      <c r="K2207" t="b">
        <f>Table1[[#This Row],[CurrentStock]]&lt;Table1[[#This Row],[ReorderLevel]]</f>
        <v>1</v>
      </c>
      <c r="L2207" s="9">
        <f>Table1[[#This Row],[CurrentStock]]*Table1[[#This Row],[UnitPrice]]</f>
        <v>3043.7999999999997</v>
      </c>
      <c r="M2207">
        <f>IF(Table1[[#This Row],[ReorderLevel]]-Table1[[#This Row],[CurrentStock]]&gt;0,Table1[[#This Row],[ReorderLevel]]-Table1[[#This Row],[CurrentStock]],"")</f>
        <v>50</v>
      </c>
      <c r="N2207" t="str">
        <f>IF(Table1[[#This Row],[CurrentStock]]&gt;Table1[[#This Row],[ReorderLevel]]*3,"Over Stock","Okay")</f>
        <v>Okay</v>
      </c>
      <c r="O2207" t="str">
        <f>IF(Table1[[#This Row],[CurrentStock]]&lt;Table1[[#This Row],[ReorderLevel]],"Reorder","Okay")</f>
        <v>Reorder</v>
      </c>
    </row>
    <row r="2208" spans="1:15" x14ac:dyDescent="0.3">
      <c r="A2208">
        <v>54383</v>
      </c>
      <c r="B2208" t="s">
        <v>19</v>
      </c>
      <c r="C2208" t="s">
        <v>28</v>
      </c>
      <c r="D2208">
        <v>45</v>
      </c>
      <c r="E2208">
        <v>20</v>
      </c>
      <c r="F2208">
        <v>198.76</v>
      </c>
      <c r="G2208" t="s">
        <v>35</v>
      </c>
      <c r="H2208" s="1">
        <v>45480</v>
      </c>
      <c r="I2208" s="1">
        <v>45485</v>
      </c>
      <c r="J2208" t="s">
        <v>37</v>
      </c>
      <c r="K2208" t="b">
        <f>Table1[[#This Row],[CurrentStock]]&lt;Table1[[#This Row],[ReorderLevel]]</f>
        <v>0</v>
      </c>
      <c r="L2208" s="9">
        <f>Table1[[#This Row],[CurrentStock]]*Table1[[#This Row],[UnitPrice]]</f>
        <v>8944.1999999999989</v>
      </c>
      <c r="M2208" t="str">
        <f>IF(Table1[[#This Row],[ReorderLevel]]-Table1[[#This Row],[CurrentStock]]&gt;0,Table1[[#This Row],[ReorderLevel]]-Table1[[#This Row],[CurrentStock]],"")</f>
        <v/>
      </c>
      <c r="N2208" t="str">
        <f>IF(Table1[[#This Row],[CurrentStock]]&gt;Table1[[#This Row],[ReorderLevel]]*3,"Over Stock","Okay")</f>
        <v>Okay</v>
      </c>
      <c r="O2208" t="str">
        <f>IF(Table1[[#This Row],[CurrentStock]]&lt;Table1[[#This Row],[ReorderLevel]],"Reorder","Okay")</f>
        <v>Okay</v>
      </c>
    </row>
    <row r="2209" spans="1:15" x14ac:dyDescent="0.3">
      <c r="A2209">
        <v>52591</v>
      </c>
      <c r="B2209" t="s">
        <v>18</v>
      </c>
      <c r="C2209" t="s">
        <v>28</v>
      </c>
      <c r="D2209">
        <v>13</v>
      </c>
      <c r="E2209">
        <v>80</v>
      </c>
      <c r="F2209">
        <v>23.53</v>
      </c>
      <c r="G2209" t="s">
        <v>33</v>
      </c>
      <c r="H2209" s="1">
        <v>45521</v>
      </c>
      <c r="I2209" s="1">
        <v>45527</v>
      </c>
      <c r="J2209" t="s">
        <v>39</v>
      </c>
      <c r="K2209" t="b">
        <f>Table1[[#This Row],[CurrentStock]]&lt;Table1[[#This Row],[ReorderLevel]]</f>
        <v>1</v>
      </c>
      <c r="L2209" s="9">
        <f>Table1[[#This Row],[CurrentStock]]*Table1[[#This Row],[UnitPrice]]</f>
        <v>305.89</v>
      </c>
      <c r="M2209">
        <f>IF(Table1[[#This Row],[ReorderLevel]]-Table1[[#This Row],[CurrentStock]]&gt;0,Table1[[#This Row],[ReorderLevel]]-Table1[[#This Row],[CurrentStock]],"")</f>
        <v>67</v>
      </c>
      <c r="N2209" t="str">
        <f>IF(Table1[[#This Row],[CurrentStock]]&gt;Table1[[#This Row],[ReorderLevel]]*3,"Over Stock","Okay")</f>
        <v>Okay</v>
      </c>
      <c r="O2209" t="str">
        <f>IF(Table1[[#This Row],[CurrentStock]]&lt;Table1[[#This Row],[ReorderLevel]],"Reorder","Okay")</f>
        <v>Reorder</v>
      </c>
    </row>
    <row r="2210" spans="1:15" x14ac:dyDescent="0.3">
      <c r="A2210">
        <v>11431</v>
      </c>
      <c r="B2210" t="s">
        <v>19</v>
      </c>
      <c r="C2210" t="s">
        <v>28</v>
      </c>
      <c r="D2210">
        <v>465</v>
      </c>
      <c r="E2210">
        <v>30</v>
      </c>
      <c r="F2210">
        <v>352.84</v>
      </c>
      <c r="G2210" t="s">
        <v>33</v>
      </c>
      <c r="H2210" s="1">
        <v>45585</v>
      </c>
      <c r="I2210" s="1">
        <v>45592</v>
      </c>
      <c r="J2210" t="s">
        <v>38</v>
      </c>
      <c r="K2210" t="b">
        <f>Table1[[#This Row],[CurrentStock]]&lt;Table1[[#This Row],[ReorderLevel]]</f>
        <v>0</v>
      </c>
      <c r="L2210" s="9">
        <f>Table1[[#This Row],[CurrentStock]]*Table1[[#This Row],[UnitPrice]]</f>
        <v>164070.59999999998</v>
      </c>
      <c r="M2210" t="str">
        <f>IF(Table1[[#This Row],[ReorderLevel]]-Table1[[#This Row],[CurrentStock]]&gt;0,Table1[[#This Row],[ReorderLevel]]-Table1[[#This Row],[CurrentStock]],"")</f>
        <v/>
      </c>
      <c r="N2210" t="str">
        <f>IF(Table1[[#This Row],[CurrentStock]]&gt;Table1[[#This Row],[ReorderLevel]]*3,"Over Stock","Okay")</f>
        <v>Over Stock</v>
      </c>
      <c r="O2210" t="str">
        <f>IF(Table1[[#This Row],[CurrentStock]]&lt;Table1[[#This Row],[ReorderLevel]],"Reorder","Okay")</f>
        <v>Okay</v>
      </c>
    </row>
    <row r="2211" spans="1:15" x14ac:dyDescent="0.3">
      <c r="A2211">
        <v>95222</v>
      </c>
      <c r="B2211" t="s">
        <v>11</v>
      </c>
      <c r="C2211" t="s">
        <v>27</v>
      </c>
      <c r="D2211">
        <v>303</v>
      </c>
      <c r="E2211">
        <v>20</v>
      </c>
      <c r="F2211">
        <v>412.11</v>
      </c>
      <c r="G2211" t="s">
        <v>33</v>
      </c>
      <c r="H2211" s="1">
        <v>45647</v>
      </c>
      <c r="I2211" s="1">
        <v>45658</v>
      </c>
      <c r="J2211" t="s">
        <v>38</v>
      </c>
      <c r="K2211" t="b">
        <f>Table1[[#This Row],[CurrentStock]]&lt;Table1[[#This Row],[ReorderLevel]]</f>
        <v>0</v>
      </c>
      <c r="L2211" s="9">
        <f>Table1[[#This Row],[CurrentStock]]*Table1[[#This Row],[UnitPrice]]</f>
        <v>124869.33</v>
      </c>
      <c r="M2211" t="str">
        <f>IF(Table1[[#This Row],[ReorderLevel]]-Table1[[#This Row],[CurrentStock]]&gt;0,Table1[[#This Row],[ReorderLevel]]-Table1[[#This Row],[CurrentStock]],"")</f>
        <v/>
      </c>
      <c r="N2211" t="str">
        <f>IF(Table1[[#This Row],[CurrentStock]]&gt;Table1[[#This Row],[ReorderLevel]]*3,"Over Stock","Okay")</f>
        <v>Over Stock</v>
      </c>
      <c r="O2211" t="str">
        <f>IF(Table1[[#This Row],[CurrentStock]]&lt;Table1[[#This Row],[ReorderLevel]],"Reorder","Okay")</f>
        <v>Okay</v>
      </c>
    </row>
    <row r="2212" spans="1:15" x14ac:dyDescent="0.3">
      <c r="A2212">
        <v>93962</v>
      </c>
      <c r="B2212" t="s">
        <v>18</v>
      </c>
      <c r="C2212" t="s">
        <v>28</v>
      </c>
      <c r="D2212">
        <v>254</v>
      </c>
      <c r="E2212">
        <v>50</v>
      </c>
      <c r="F2212">
        <v>432.28</v>
      </c>
      <c r="G2212" t="s">
        <v>32</v>
      </c>
      <c r="H2212" s="1">
        <v>45380</v>
      </c>
      <c r="I2212" s="1">
        <v>45392</v>
      </c>
      <c r="J2212" t="s">
        <v>38</v>
      </c>
      <c r="K2212" t="b">
        <f>Table1[[#This Row],[CurrentStock]]&lt;Table1[[#This Row],[ReorderLevel]]</f>
        <v>0</v>
      </c>
      <c r="L2212" s="9">
        <f>Table1[[#This Row],[CurrentStock]]*Table1[[#This Row],[UnitPrice]]</f>
        <v>109799.12</v>
      </c>
      <c r="M2212" t="str">
        <f>IF(Table1[[#This Row],[ReorderLevel]]-Table1[[#This Row],[CurrentStock]]&gt;0,Table1[[#This Row],[ReorderLevel]]-Table1[[#This Row],[CurrentStock]],"")</f>
        <v/>
      </c>
      <c r="N2212" t="str">
        <f>IF(Table1[[#This Row],[CurrentStock]]&gt;Table1[[#This Row],[ReorderLevel]]*3,"Over Stock","Okay")</f>
        <v>Over Stock</v>
      </c>
      <c r="O2212" t="str">
        <f>IF(Table1[[#This Row],[CurrentStock]]&lt;Table1[[#This Row],[ReorderLevel]],"Reorder","Okay")</f>
        <v>Okay</v>
      </c>
    </row>
    <row r="2213" spans="1:15" x14ac:dyDescent="0.3">
      <c r="A2213">
        <v>70623</v>
      </c>
      <c r="B2213" t="s">
        <v>13</v>
      </c>
      <c r="C2213" t="s">
        <v>29</v>
      </c>
      <c r="D2213">
        <v>291</v>
      </c>
      <c r="E2213">
        <v>30</v>
      </c>
      <c r="F2213">
        <v>380</v>
      </c>
      <c r="G2213" t="s">
        <v>33</v>
      </c>
      <c r="H2213" s="1">
        <v>45329</v>
      </c>
      <c r="I2213" s="1">
        <v>45358</v>
      </c>
      <c r="J2213" t="s">
        <v>37</v>
      </c>
      <c r="K2213" t="b">
        <f>Table1[[#This Row],[CurrentStock]]&lt;Table1[[#This Row],[ReorderLevel]]</f>
        <v>0</v>
      </c>
      <c r="L2213" s="9">
        <f>Table1[[#This Row],[CurrentStock]]*Table1[[#This Row],[UnitPrice]]</f>
        <v>110580</v>
      </c>
      <c r="M2213" t="str">
        <f>IF(Table1[[#This Row],[ReorderLevel]]-Table1[[#This Row],[CurrentStock]]&gt;0,Table1[[#This Row],[ReorderLevel]]-Table1[[#This Row],[CurrentStock]],"")</f>
        <v/>
      </c>
      <c r="N2213" t="str">
        <f>IF(Table1[[#This Row],[CurrentStock]]&gt;Table1[[#This Row],[ReorderLevel]]*3,"Over Stock","Okay")</f>
        <v>Over Stock</v>
      </c>
      <c r="O2213" t="str">
        <f>IF(Table1[[#This Row],[CurrentStock]]&lt;Table1[[#This Row],[ReorderLevel]],"Reorder","Okay")</f>
        <v>Okay</v>
      </c>
    </row>
    <row r="2214" spans="1:15" x14ac:dyDescent="0.3">
      <c r="A2214">
        <v>72513</v>
      </c>
      <c r="B2214" t="s">
        <v>18</v>
      </c>
      <c r="C2214" t="s">
        <v>28</v>
      </c>
      <c r="D2214">
        <v>242</v>
      </c>
      <c r="E2214">
        <v>80</v>
      </c>
      <c r="F2214">
        <v>180.23</v>
      </c>
      <c r="G2214" t="s">
        <v>34</v>
      </c>
      <c r="H2214" s="1">
        <v>45316</v>
      </c>
      <c r="I2214" s="1">
        <v>45347</v>
      </c>
      <c r="J2214" t="s">
        <v>37</v>
      </c>
      <c r="K2214" t="b">
        <f>Table1[[#This Row],[CurrentStock]]&lt;Table1[[#This Row],[ReorderLevel]]</f>
        <v>0</v>
      </c>
      <c r="L2214" s="9">
        <f>Table1[[#This Row],[CurrentStock]]*Table1[[#This Row],[UnitPrice]]</f>
        <v>43615.659999999996</v>
      </c>
      <c r="M2214" t="str">
        <f>IF(Table1[[#This Row],[ReorderLevel]]-Table1[[#This Row],[CurrentStock]]&gt;0,Table1[[#This Row],[ReorderLevel]]-Table1[[#This Row],[CurrentStock]],"")</f>
        <v/>
      </c>
      <c r="N2214" t="str">
        <f>IF(Table1[[#This Row],[CurrentStock]]&gt;Table1[[#This Row],[ReorderLevel]]*3,"Over Stock","Okay")</f>
        <v>Over Stock</v>
      </c>
      <c r="O2214" t="str">
        <f>IF(Table1[[#This Row],[CurrentStock]]&lt;Table1[[#This Row],[ReorderLevel]],"Reorder","Okay")</f>
        <v>Okay</v>
      </c>
    </row>
    <row r="2215" spans="1:15" x14ac:dyDescent="0.3">
      <c r="A2215">
        <v>71282</v>
      </c>
      <c r="B2215" t="s">
        <v>12</v>
      </c>
      <c r="C2215" t="s">
        <v>28</v>
      </c>
      <c r="D2215">
        <v>25</v>
      </c>
      <c r="E2215">
        <v>30</v>
      </c>
      <c r="F2215">
        <v>220.59</v>
      </c>
      <c r="G2215" t="s">
        <v>33</v>
      </c>
      <c r="H2215" s="1">
        <v>45332</v>
      </c>
      <c r="I2215" s="1">
        <v>45338</v>
      </c>
      <c r="J2215" t="s">
        <v>39</v>
      </c>
      <c r="K2215" t="b">
        <f>Table1[[#This Row],[CurrentStock]]&lt;Table1[[#This Row],[ReorderLevel]]</f>
        <v>1</v>
      </c>
      <c r="L2215" s="9">
        <f>Table1[[#This Row],[CurrentStock]]*Table1[[#This Row],[UnitPrice]]</f>
        <v>5514.75</v>
      </c>
      <c r="M2215">
        <f>IF(Table1[[#This Row],[ReorderLevel]]-Table1[[#This Row],[CurrentStock]]&gt;0,Table1[[#This Row],[ReorderLevel]]-Table1[[#This Row],[CurrentStock]],"")</f>
        <v>5</v>
      </c>
      <c r="N2215" t="str">
        <f>IF(Table1[[#This Row],[CurrentStock]]&gt;Table1[[#This Row],[ReorderLevel]]*3,"Over Stock","Okay")</f>
        <v>Okay</v>
      </c>
      <c r="O2215" t="str">
        <f>IF(Table1[[#This Row],[CurrentStock]]&lt;Table1[[#This Row],[ReorderLevel]],"Reorder","Okay")</f>
        <v>Reorder</v>
      </c>
    </row>
    <row r="2216" spans="1:15" x14ac:dyDescent="0.3">
      <c r="A2216">
        <v>33178</v>
      </c>
      <c r="B2216" t="s">
        <v>14</v>
      </c>
      <c r="C2216" t="s">
        <v>27</v>
      </c>
      <c r="D2216">
        <v>370</v>
      </c>
      <c r="E2216">
        <v>50</v>
      </c>
      <c r="F2216">
        <v>112.38</v>
      </c>
      <c r="G2216" t="s">
        <v>34</v>
      </c>
      <c r="H2216" s="1">
        <v>45495</v>
      </c>
      <c r="I2216" s="1">
        <v>45501</v>
      </c>
      <c r="J2216" t="s">
        <v>37</v>
      </c>
      <c r="K2216" t="b">
        <f>Table1[[#This Row],[CurrentStock]]&lt;Table1[[#This Row],[ReorderLevel]]</f>
        <v>0</v>
      </c>
      <c r="L2216" s="9">
        <f>Table1[[#This Row],[CurrentStock]]*Table1[[#This Row],[UnitPrice]]</f>
        <v>41580.6</v>
      </c>
      <c r="M2216" t="str">
        <f>IF(Table1[[#This Row],[ReorderLevel]]-Table1[[#This Row],[CurrentStock]]&gt;0,Table1[[#This Row],[ReorderLevel]]-Table1[[#This Row],[CurrentStock]],"")</f>
        <v/>
      </c>
      <c r="N2216" t="str">
        <f>IF(Table1[[#This Row],[CurrentStock]]&gt;Table1[[#This Row],[ReorderLevel]]*3,"Over Stock","Okay")</f>
        <v>Over Stock</v>
      </c>
      <c r="O2216" t="str">
        <f>IF(Table1[[#This Row],[CurrentStock]]&lt;Table1[[#This Row],[ReorderLevel]],"Reorder","Okay")</f>
        <v>Okay</v>
      </c>
    </row>
    <row r="2217" spans="1:15" x14ac:dyDescent="0.3">
      <c r="A2217">
        <v>56475</v>
      </c>
      <c r="B2217" t="s">
        <v>13</v>
      </c>
      <c r="C2217" t="s">
        <v>29</v>
      </c>
      <c r="D2217">
        <v>375</v>
      </c>
      <c r="E2217">
        <v>100</v>
      </c>
      <c r="F2217">
        <v>210.25</v>
      </c>
      <c r="G2217" t="s">
        <v>33</v>
      </c>
      <c r="H2217" s="1">
        <v>45312</v>
      </c>
      <c r="I2217" s="1">
        <v>45325</v>
      </c>
      <c r="J2217" t="s">
        <v>38</v>
      </c>
      <c r="K2217" t="b">
        <f>Table1[[#This Row],[CurrentStock]]&lt;Table1[[#This Row],[ReorderLevel]]</f>
        <v>0</v>
      </c>
      <c r="L2217" s="9">
        <f>Table1[[#This Row],[CurrentStock]]*Table1[[#This Row],[UnitPrice]]</f>
        <v>78843.75</v>
      </c>
      <c r="M2217" t="str">
        <f>IF(Table1[[#This Row],[ReorderLevel]]-Table1[[#This Row],[CurrentStock]]&gt;0,Table1[[#This Row],[ReorderLevel]]-Table1[[#This Row],[CurrentStock]],"")</f>
        <v/>
      </c>
      <c r="N2217" t="str">
        <f>IF(Table1[[#This Row],[CurrentStock]]&gt;Table1[[#This Row],[ReorderLevel]]*3,"Over Stock","Okay")</f>
        <v>Over Stock</v>
      </c>
      <c r="O2217" t="str">
        <f>IF(Table1[[#This Row],[CurrentStock]]&lt;Table1[[#This Row],[ReorderLevel]],"Reorder","Okay")</f>
        <v>Okay</v>
      </c>
    </row>
    <row r="2218" spans="1:15" x14ac:dyDescent="0.3">
      <c r="A2218">
        <v>61932</v>
      </c>
      <c r="B2218" t="s">
        <v>26</v>
      </c>
      <c r="C2218" t="s">
        <v>30</v>
      </c>
      <c r="D2218">
        <v>68</v>
      </c>
      <c r="E2218">
        <v>150</v>
      </c>
      <c r="F2218">
        <v>419.28</v>
      </c>
      <c r="G2218" t="s">
        <v>36</v>
      </c>
      <c r="H2218" s="1">
        <v>45576</v>
      </c>
      <c r="I2218" s="1">
        <v>45598</v>
      </c>
      <c r="J2218" t="s">
        <v>39</v>
      </c>
      <c r="K2218" t="b">
        <f>Table1[[#This Row],[CurrentStock]]&lt;Table1[[#This Row],[ReorderLevel]]</f>
        <v>1</v>
      </c>
      <c r="L2218" s="9">
        <f>Table1[[#This Row],[CurrentStock]]*Table1[[#This Row],[UnitPrice]]</f>
        <v>28511.039999999997</v>
      </c>
      <c r="M2218">
        <f>IF(Table1[[#This Row],[ReorderLevel]]-Table1[[#This Row],[CurrentStock]]&gt;0,Table1[[#This Row],[ReorderLevel]]-Table1[[#This Row],[CurrentStock]],"")</f>
        <v>82</v>
      </c>
      <c r="N2218" t="str">
        <f>IF(Table1[[#This Row],[CurrentStock]]&gt;Table1[[#This Row],[ReorderLevel]]*3,"Over Stock","Okay")</f>
        <v>Okay</v>
      </c>
      <c r="O2218" t="str">
        <f>IF(Table1[[#This Row],[CurrentStock]]&lt;Table1[[#This Row],[ReorderLevel]],"Reorder","Okay")</f>
        <v>Reorder</v>
      </c>
    </row>
    <row r="2219" spans="1:15" x14ac:dyDescent="0.3">
      <c r="A2219">
        <v>30121</v>
      </c>
      <c r="B2219" t="s">
        <v>14</v>
      </c>
      <c r="C2219" t="s">
        <v>27</v>
      </c>
      <c r="D2219">
        <v>46</v>
      </c>
      <c r="E2219">
        <v>150</v>
      </c>
      <c r="F2219">
        <v>435.14</v>
      </c>
      <c r="G2219" t="s">
        <v>34</v>
      </c>
      <c r="H2219" s="1">
        <v>45537</v>
      </c>
      <c r="I2219" s="1">
        <v>45552</v>
      </c>
      <c r="J2219" t="s">
        <v>38</v>
      </c>
      <c r="K2219" t="b">
        <f>Table1[[#This Row],[CurrentStock]]&lt;Table1[[#This Row],[ReorderLevel]]</f>
        <v>1</v>
      </c>
      <c r="L2219" s="9">
        <f>Table1[[#This Row],[CurrentStock]]*Table1[[#This Row],[UnitPrice]]</f>
        <v>20016.439999999999</v>
      </c>
      <c r="M2219">
        <f>IF(Table1[[#This Row],[ReorderLevel]]-Table1[[#This Row],[CurrentStock]]&gt;0,Table1[[#This Row],[ReorderLevel]]-Table1[[#This Row],[CurrentStock]],"")</f>
        <v>104</v>
      </c>
      <c r="N2219" t="str">
        <f>IF(Table1[[#This Row],[CurrentStock]]&gt;Table1[[#This Row],[ReorderLevel]]*3,"Over Stock","Okay")</f>
        <v>Okay</v>
      </c>
      <c r="O2219" t="str">
        <f>IF(Table1[[#This Row],[CurrentStock]]&lt;Table1[[#This Row],[ReorderLevel]],"Reorder","Okay")</f>
        <v>Reorder</v>
      </c>
    </row>
    <row r="2220" spans="1:15" x14ac:dyDescent="0.3">
      <c r="A2220">
        <v>72607</v>
      </c>
      <c r="B2220" t="s">
        <v>20</v>
      </c>
      <c r="C2220" t="s">
        <v>29</v>
      </c>
      <c r="D2220">
        <v>364</v>
      </c>
      <c r="E2220">
        <v>40</v>
      </c>
      <c r="F2220">
        <v>198.37</v>
      </c>
      <c r="G2220" t="s">
        <v>34</v>
      </c>
      <c r="H2220" s="1">
        <v>45439</v>
      </c>
      <c r="I2220" s="1">
        <v>45446</v>
      </c>
      <c r="J2220" t="s">
        <v>37</v>
      </c>
      <c r="K2220" t="b">
        <f>Table1[[#This Row],[CurrentStock]]&lt;Table1[[#This Row],[ReorderLevel]]</f>
        <v>0</v>
      </c>
      <c r="L2220" s="9">
        <f>Table1[[#This Row],[CurrentStock]]*Table1[[#This Row],[UnitPrice]]</f>
        <v>72206.680000000008</v>
      </c>
      <c r="M2220" t="str">
        <f>IF(Table1[[#This Row],[ReorderLevel]]-Table1[[#This Row],[CurrentStock]]&gt;0,Table1[[#This Row],[ReorderLevel]]-Table1[[#This Row],[CurrentStock]],"")</f>
        <v/>
      </c>
      <c r="N2220" t="str">
        <f>IF(Table1[[#This Row],[CurrentStock]]&gt;Table1[[#This Row],[ReorderLevel]]*3,"Over Stock","Okay")</f>
        <v>Over Stock</v>
      </c>
      <c r="O2220" t="str">
        <f>IF(Table1[[#This Row],[CurrentStock]]&lt;Table1[[#This Row],[ReorderLevel]],"Reorder","Okay")</f>
        <v>Okay</v>
      </c>
    </row>
    <row r="2221" spans="1:15" x14ac:dyDescent="0.3">
      <c r="A2221">
        <v>37785</v>
      </c>
      <c r="B2221" t="s">
        <v>18</v>
      </c>
      <c r="C2221" t="s">
        <v>28</v>
      </c>
      <c r="D2221">
        <v>28</v>
      </c>
      <c r="E2221">
        <v>80</v>
      </c>
      <c r="F2221">
        <v>167.51</v>
      </c>
      <c r="G2221" t="s">
        <v>32</v>
      </c>
      <c r="H2221" s="1">
        <v>45651</v>
      </c>
      <c r="I2221" s="1">
        <v>45687</v>
      </c>
      <c r="J2221" t="s">
        <v>38</v>
      </c>
      <c r="K2221" t="b">
        <f>Table1[[#This Row],[CurrentStock]]&lt;Table1[[#This Row],[ReorderLevel]]</f>
        <v>1</v>
      </c>
      <c r="L2221" s="9">
        <f>Table1[[#This Row],[CurrentStock]]*Table1[[#This Row],[UnitPrice]]</f>
        <v>4690.28</v>
      </c>
      <c r="M2221">
        <f>IF(Table1[[#This Row],[ReorderLevel]]-Table1[[#This Row],[CurrentStock]]&gt;0,Table1[[#This Row],[ReorderLevel]]-Table1[[#This Row],[CurrentStock]],"")</f>
        <v>52</v>
      </c>
      <c r="N2221" t="str">
        <f>IF(Table1[[#This Row],[CurrentStock]]&gt;Table1[[#This Row],[ReorderLevel]]*3,"Over Stock","Okay")</f>
        <v>Okay</v>
      </c>
      <c r="O2221" t="str">
        <f>IF(Table1[[#This Row],[CurrentStock]]&lt;Table1[[#This Row],[ReorderLevel]],"Reorder","Okay")</f>
        <v>Reorder</v>
      </c>
    </row>
    <row r="2222" spans="1:15" x14ac:dyDescent="0.3">
      <c r="A2222">
        <v>58339</v>
      </c>
      <c r="B2222" t="s">
        <v>15</v>
      </c>
      <c r="C2222" t="s">
        <v>29</v>
      </c>
      <c r="D2222">
        <v>54</v>
      </c>
      <c r="E2222">
        <v>40</v>
      </c>
      <c r="F2222">
        <v>172.26</v>
      </c>
      <c r="G2222" t="s">
        <v>36</v>
      </c>
      <c r="H2222" s="1">
        <v>45603</v>
      </c>
      <c r="I2222" s="1">
        <v>45632</v>
      </c>
      <c r="J2222" t="s">
        <v>39</v>
      </c>
      <c r="K2222" t="b">
        <f>Table1[[#This Row],[CurrentStock]]&lt;Table1[[#This Row],[ReorderLevel]]</f>
        <v>0</v>
      </c>
      <c r="L2222" s="9">
        <f>Table1[[#This Row],[CurrentStock]]*Table1[[#This Row],[UnitPrice]]</f>
        <v>9302.0399999999991</v>
      </c>
      <c r="M2222" t="str">
        <f>IF(Table1[[#This Row],[ReorderLevel]]-Table1[[#This Row],[CurrentStock]]&gt;0,Table1[[#This Row],[ReorderLevel]]-Table1[[#This Row],[CurrentStock]],"")</f>
        <v/>
      </c>
      <c r="N2222" t="str">
        <f>IF(Table1[[#This Row],[CurrentStock]]&gt;Table1[[#This Row],[ReorderLevel]]*3,"Over Stock","Okay")</f>
        <v>Okay</v>
      </c>
      <c r="O2222" t="str">
        <f>IF(Table1[[#This Row],[CurrentStock]]&lt;Table1[[#This Row],[ReorderLevel]],"Reorder","Okay")</f>
        <v>Okay</v>
      </c>
    </row>
    <row r="2223" spans="1:15" x14ac:dyDescent="0.3">
      <c r="A2223">
        <v>53746</v>
      </c>
      <c r="B2223" t="s">
        <v>10</v>
      </c>
      <c r="C2223" t="s">
        <v>27</v>
      </c>
      <c r="D2223">
        <v>244</v>
      </c>
      <c r="E2223">
        <v>20</v>
      </c>
      <c r="F2223">
        <v>152.05000000000001</v>
      </c>
      <c r="G2223" t="s">
        <v>34</v>
      </c>
      <c r="H2223" s="1">
        <v>45531</v>
      </c>
      <c r="I2223" s="1">
        <v>45566</v>
      </c>
      <c r="J2223" t="s">
        <v>38</v>
      </c>
      <c r="K2223" t="b">
        <f>Table1[[#This Row],[CurrentStock]]&lt;Table1[[#This Row],[ReorderLevel]]</f>
        <v>0</v>
      </c>
      <c r="L2223" s="9">
        <f>Table1[[#This Row],[CurrentStock]]*Table1[[#This Row],[UnitPrice]]</f>
        <v>37100.200000000004</v>
      </c>
      <c r="M2223" t="str">
        <f>IF(Table1[[#This Row],[ReorderLevel]]-Table1[[#This Row],[CurrentStock]]&gt;0,Table1[[#This Row],[ReorderLevel]]-Table1[[#This Row],[CurrentStock]],"")</f>
        <v/>
      </c>
      <c r="N2223" t="str">
        <f>IF(Table1[[#This Row],[CurrentStock]]&gt;Table1[[#This Row],[ReorderLevel]]*3,"Over Stock","Okay")</f>
        <v>Over Stock</v>
      </c>
      <c r="O2223" t="str">
        <f>IF(Table1[[#This Row],[CurrentStock]]&lt;Table1[[#This Row],[ReorderLevel]],"Reorder","Okay")</f>
        <v>Okay</v>
      </c>
    </row>
    <row r="2224" spans="1:15" x14ac:dyDescent="0.3">
      <c r="A2224">
        <v>28313</v>
      </c>
      <c r="B2224" t="s">
        <v>11</v>
      </c>
      <c r="C2224" t="s">
        <v>27</v>
      </c>
      <c r="D2224">
        <v>275</v>
      </c>
      <c r="E2224">
        <v>20</v>
      </c>
      <c r="F2224">
        <v>193.38</v>
      </c>
      <c r="G2224" t="s">
        <v>32</v>
      </c>
      <c r="H2224" s="1">
        <v>45381</v>
      </c>
      <c r="I2224" s="1">
        <v>45419</v>
      </c>
      <c r="J2224" t="s">
        <v>37</v>
      </c>
      <c r="K2224" t="b">
        <f>Table1[[#This Row],[CurrentStock]]&lt;Table1[[#This Row],[ReorderLevel]]</f>
        <v>0</v>
      </c>
      <c r="L2224" s="9">
        <f>Table1[[#This Row],[CurrentStock]]*Table1[[#This Row],[UnitPrice]]</f>
        <v>53179.5</v>
      </c>
      <c r="M2224" t="str">
        <f>IF(Table1[[#This Row],[ReorderLevel]]-Table1[[#This Row],[CurrentStock]]&gt;0,Table1[[#This Row],[ReorderLevel]]-Table1[[#This Row],[CurrentStock]],"")</f>
        <v/>
      </c>
      <c r="N2224" t="str">
        <f>IF(Table1[[#This Row],[CurrentStock]]&gt;Table1[[#This Row],[ReorderLevel]]*3,"Over Stock","Okay")</f>
        <v>Over Stock</v>
      </c>
      <c r="O2224" t="str">
        <f>IF(Table1[[#This Row],[CurrentStock]]&lt;Table1[[#This Row],[ReorderLevel]],"Reorder","Okay")</f>
        <v>Okay</v>
      </c>
    </row>
    <row r="2225" spans="1:15" x14ac:dyDescent="0.3">
      <c r="A2225">
        <v>39854</v>
      </c>
      <c r="B2225" t="s">
        <v>26</v>
      </c>
      <c r="C2225" t="s">
        <v>30</v>
      </c>
      <c r="D2225">
        <v>441</v>
      </c>
      <c r="E2225">
        <v>100</v>
      </c>
      <c r="F2225">
        <v>60.24</v>
      </c>
      <c r="G2225" t="s">
        <v>33</v>
      </c>
      <c r="H2225" s="1">
        <v>45590</v>
      </c>
      <c r="I2225" s="1">
        <v>45604</v>
      </c>
      <c r="J2225" t="s">
        <v>37</v>
      </c>
      <c r="K2225" t="b">
        <f>Table1[[#This Row],[CurrentStock]]&lt;Table1[[#This Row],[ReorderLevel]]</f>
        <v>0</v>
      </c>
      <c r="L2225" s="9">
        <f>Table1[[#This Row],[CurrentStock]]*Table1[[#This Row],[UnitPrice]]</f>
        <v>26565.84</v>
      </c>
      <c r="M2225" t="str">
        <f>IF(Table1[[#This Row],[ReorderLevel]]-Table1[[#This Row],[CurrentStock]]&gt;0,Table1[[#This Row],[ReorderLevel]]-Table1[[#This Row],[CurrentStock]],"")</f>
        <v/>
      </c>
      <c r="N2225" t="str">
        <f>IF(Table1[[#This Row],[CurrentStock]]&gt;Table1[[#This Row],[ReorderLevel]]*3,"Over Stock","Okay")</f>
        <v>Over Stock</v>
      </c>
      <c r="O2225" t="str">
        <f>IF(Table1[[#This Row],[CurrentStock]]&lt;Table1[[#This Row],[ReorderLevel]],"Reorder","Okay")</f>
        <v>Okay</v>
      </c>
    </row>
    <row r="2226" spans="1:15" x14ac:dyDescent="0.3">
      <c r="A2226">
        <v>22679</v>
      </c>
      <c r="B2226" t="s">
        <v>20</v>
      </c>
      <c r="C2226" t="s">
        <v>29</v>
      </c>
      <c r="D2226">
        <v>417</v>
      </c>
      <c r="E2226">
        <v>20</v>
      </c>
      <c r="F2226">
        <v>176.93</v>
      </c>
      <c r="G2226" t="s">
        <v>33</v>
      </c>
      <c r="H2226" s="1">
        <v>45486</v>
      </c>
      <c r="I2226" s="1">
        <v>45505</v>
      </c>
      <c r="J2226" t="s">
        <v>39</v>
      </c>
      <c r="K2226" t="b">
        <f>Table1[[#This Row],[CurrentStock]]&lt;Table1[[#This Row],[ReorderLevel]]</f>
        <v>0</v>
      </c>
      <c r="L2226" s="9">
        <f>Table1[[#This Row],[CurrentStock]]*Table1[[#This Row],[UnitPrice]]</f>
        <v>73779.81</v>
      </c>
      <c r="M2226" t="str">
        <f>IF(Table1[[#This Row],[ReorderLevel]]-Table1[[#This Row],[CurrentStock]]&gt;0,Table1[[#This Row],[ReorderLevel]]-Table1[[#This Row],[CurrentStock]],"")</f>
        <v/>
      </c>
      <c r="N2226" t="str">
        <f>IF(Table1[[#This Row],[CurrentStock]]&gt;Table1[[#This Row],[ReorderLevel]]*3,"Over Stock","Okay")</f>
        <v>Over Stock</v>
      </c>
      <c r="O2226" t="str">
        <f>IF(Table1[[#This Row],[CurrentStock]]&lt;Table1[[#This Row],[ReorderLevel]],"Reorder","Okay")</f>
        <v>Okay</v>
      </c>
    </row>
    <row r="2227" spans="1:15" x14ac:dyDescent="0.3">
      <c r="A2227">
        <v>22291</v>
      </c>
      <c r="B2227" t="s">
        <v>18</v>
      </c>
      <c r="C2227" t="s">
        <v>28</v>
      </c>
      <c r="D2227">
        <v>287</v>
      </c>
      <c r="E2227">
        <v>40</v>
      </c>
      <c r="F2227">
        <v>444.27</v>
      </c>
      <c r="G2227" t="s">
        <v>32</v>
      </c>
      <c r="H2227" s="1">
        <v>45396</v>
      </c>
      <c r="I2227" s="1">
        <v>45418</v>
      </c>
      <c r="J2227" t="s">
        <v>38</v>
      </c>
      <c r="K2227" t="b">
        <f>Table1[[#This Row],[CurrentStock]]&lt;Table1[[#This Row],[ReorderLevel]]</f>
        <v>0</v>
      </c>
      <c r="L2227" s="9">
        <f>Table1[[#This Row],[CurrentStock]]*Table1[[#This Row],[UnitPrice]]</f>
        <v>127505.48999999999</v>
      </c>
      <c r="M2227" t="str">
        <f>IF(Table1[[#This Row],[ReorderLevel]]-Table1[[#This Row],[CurrentStock]]&gt;0,Table1[[#This Row],[ReorderLevel]]-Table1[[#This Row],[CurrentStock]],"")</f>
        <v/>
      </c>
      <c r="N2227" t="str">
        <f>IF(Table1[[#This Row],[CurrentStock]]&gt;Table1[[#This Row],[ReorderLevel]]*3,"Over Stock","Okay")</f>
        <v>Over Stock</v>
      </c>
      <c r="O2227" t="str">
        <f>IF(Table1[[#This Row],[CurrentStock]]&lt;Table1[[#This Row],[ReorderLevel]],"Reorder","Okay")</f>
        <v>Okay</v>
      </c>
    </row>
    <row r="2228" spans="1:15" x14ac:dyDescent="0.3">
      <c r="A2228">
        <v>92797</v>
      </c>
      <c r="B2228" t="s">
        <v>20</v>
      </c>
      <c r="C2228" t="s">
        <v>29</v>
      </c>
      <c r="D2228">
        <v>133</v>
      </c>
      <c r="E2228">
        <v>80</v>
      </c>
      <c r="F2228">
        <v>130.09</v>
      </c>
      <c r="G2228" t="s">
        <v>34</v>
      </c>
      <c r="H2228" s="1">
        <v>45347</v>
      </c>
      <c r="I2228" s="1">
        <v>45376</v>
      </c>
      <c r="J2228" t="s">
        <v>38</v>
      </c>
      <c r="K2228" t="b">
        <f>Table1[[#This Row],[CurrentStock]]&lt;Table1[[#This Row],[ReorderLevel]]</f>
        <v>0</v>
      </c>
      <c r="L2228" s="9">
        <f>Table1[[#This Row],[CurrentStock]]*Table1[[#This Row],[UnitPrice]]</f>
        <v>17301.97</v>
      </c>
      <c r="M2228" t="str">
        <f>IF(Table1[[#This Row],[ReorderLevel]]-Table1[[#This Row],[CurrentStock]]&gt;0,Table1[[#This Row],[ReorderLevel]]-Table1[[#This Row],[CurrentStock]],"")</f>
        <v/>
      </c>
      <c r="N2228" t="str">
        <f>IF(Table1[[#This Row],[CurrentStock]]&gt;Table1[[#This Row],[ReorderLevel]]*3,"Over Stock","Okay")</f>
        <v>Okay</v>
      </c>
      <c r="O2228" t="str">
        <f>IF(Table1[[#This Row],[CurrentStock]]&lt;Table1[[#This Row],[ReorderLevel]],"Reorder","Okay")</f>
        <v>Okay</v>
      </c>
    </row>
    <row r="2229" spans="1:15" x14ac:dyDescent="0.3">
      <c r="A2229">
        <v>62204</v>
      </c>
      <c r="B2229" t="s">
        <v>22</v>
      </c>
      <c r="C2229" t="s">
        <v>27</v>
      </c>
      <c r="D2229">
        <v>345</v>
      </c>
      <c r="E2229">
        <v>30</v>
      </c>
      <c r="F2229">
        <v>411.55</v>
      </c>
      <c r="G2229" t="s">
        <v>32</v>
      </c>
      <c r="H2229" s="1">
        <v>45558</v>
      </c>
      <c r="I2229" s="1">
        <v>45564</v>
      </c>
      <c r="J2229" t="s">
        <v>39</v>
      </c>
      <c r="K2229" t="b">
        <f>Table1[[#This Row],[CurrentStock]]&lt;Table1[[#This Row],[ReorderLevel]]</f>
        <v>0</v>
      </c>
      <c r="L2229" s="9">
        <f>Table1[[#This Row],[CurrentStock]]*Table1[[#This Row],[UnitPrice]]</f>
        <v>141984.75</v>
      </c>
      <c r="M2229" t="str">
        <f>IF(Table1[[#This Row],[ReorderLevel]]-Table1[[#This Row],[CurrentStock]]&gt;0,Table1[[#This Row],[ReorderLevel]]-Table1[[#This Row],[CurrentStock]],"")</f>
        <v/>
      </c>
      <c r="N2229" t="str">
        <f>IF(Table1[[#This Row],[CurrentStock]]&gt;Table1[[#This Row],[ReorderLevel]]*3,"Over Stock","Okay")</f>
        <v>Over Stock</v>
      </c>
      <c r="O2229" t="str">
        <f>IF(Table1[[#This Row],[CurrentStock]]&lt;Table1[[#This Row],[ReorderLevel]],"Reorder","Okay")</f>
        <v>Okay</v>
      </c>
    </row>
    <row r="2230" spans="1:15" x14ac:dyDescent="0.3">
      <c r="A2230">
        <v>70089</v>
      </c>
      <c r="B2230" t="s">
        <v>21</v>
      </c>
      <c r="C2230" t="s">
        <v>31</v>
      </c>
      <c r="D2230">
        <v>455</v>
      </c>
      <c r="E2230">
        <v>80</v>
      </c>
      <c r="F2230">
        <v>153.58000000000001</v>
      </c>
      <c r="G2230" t="s">
        <v>36</v>
      </c>
      <c r="H2230" s="1">
        <v>45363</v>
      </c>
      <c r="I2230" s="1">
        <v>45368</v>
      </c>
      <c r="J2230" t="s">
        <v>37</v>
      </c>
      <c r="K2230" t="b">
        <f>Table1[[#This Row],[CurrentStock]]&lt;Table1[[#This Row],[ReorderLevel]]</f>
        <v>0</v>
      </c>
      <c r="L2230" s="9">
        <f>Table1[[#This Row],[CurrentStock]]*Table1[[#This Row],[UnitPrice]]</f>
        <v>69878.900000000009</v>
      </c>
      <c r="M2230" t="str">
        <f>IF(Table1[[#This Row],[ReorderLevel]]-Table1[[#This Row],[CurrentStock]]&gt;0,Table1[[#This Row],[ReorderLevel]]-Table1[[#This Row],[CurrentStock]],"")</f>
        <v/>
      </c>
      <c r="N2230" t="str">
        <f>IF(Table1[[#This Row],[CurrentStock]]&gt;Table1[[#This Row],[ReorderLevel]]*3,"Over Stock","Okay")</f>
        <v>Over Stock</v>
      </c>
      <c r="O2230" t="str">
        <f>IF(Table1[[#This Row],[CurrentStock]]&lt;Table1[[#This Row],[ReorderLevel]],"Reorder","Okay")</f>
        <v>Okay</v>
      </c>
    </row>
    <row r="2231" spans="1:15" x14ac:dyDescent="0.3">
      <c r="A2231">
        <v>50533</v>
      </c>
      <c r="B2231" t="s">
        <v>14</v>
      </c>
      <c r="C2231" t="s">
        <v>27</v>
      </c>
      <c r="D2231">
        <v>238</v>
      </c>
      <c r="E2231">
        <v>150</v>
      </c>
      <c r="F2231">
        <v>430.76</v>
      </c>
      <c r="G2231" t="s">
        <v>32</v>
      </c>
      <c r="H2231" s="1">
        <v>45308</v>
      </c>
      <c r="I2231" s="1">
        <v>45321</v>
      </c>
      <c r="J2231" t="s">
        <v>39</v>
      </c>
      <c r="K2231" t="b">
        <f>Table1[[#This Row],[CurrentStock]]&lt;Table1[[#This Row],[ReorderLevel]]</f>
        <v>0</v>
      </c>
      <c r="L2231" s="9">
        <f>Table1[[#This Row],[CurrentStock]]*Table1[[#This Row],[UnitPrice]]</f>
        <v>102520.88</v>
      </c>
      <c r="M2231" t="str">
        <f>IF(Table1[[#This Row],[ReorderLevel]]-Table1[[#This Row],[CurrentStock]]&gt;0,Table1[[#This Row],[ReorderLevel]]-Table1[[#This Row],[CurrentStock]],"")</f>
        <v/>
      </c>
      <c r="N2231" t="str">
        <f>IF(Table1[[#This Row],[CurrentStock]]&gt;Table1[[#This Row],[ReorderLevel]]*3,"Over Stock","Okay")</f>
        <v>Okay</v>
      </c>
      <c r="O2231" t="str">
        <f>IF(Table1[[#This Row],[CurrentStock]]&lt;Table1[[#This Row],[ReorderLevel]],"Reorder","Okay")</f>
        <v>Okay</v>
      </c>
    </row>
    <row r="2232" spans="1:15" x14ac:dyDescent="0.3">
      <c r="A2232">
        <v>83185</v>
      </c>
      <c r="B2232" t="s">
        <v>14</v>
      </c>
      <c r="C2232" t="s">
        <v>27</v>
      </c>
      <c r="D2232">
        <v>69</v>
      </c>
      <c r="E2232">
        <v>50</v>
      </c>
      <c r="F2232">
        <v>74.709999999999994</v>
      </c>
      <c r="G2232" t="s">
        <v>33</v>
      </c>
      <c r="H2232" s="1">
        <v>45328</v>
      </c>
      <c r="I2232" s="1">
        <v>45335</v>
      </c>
      <c r="J2232" t="s">
        <v>38</v>
      </c>
      <c r="K2232" t="b">
        <f>Table1[[#This Row],[CurrentStock]]&lt;Table1[[#This Row],[ReorderLevel]]</f>
        <v>0</v>
      </c>
      <c r="L2232" s="9">
        <f>Table1[[#This Row],[CurrentStock]]*Table1[[#This Row],[UnitPrice]]</f>
        <v>5154.99</v>
      </c>
      <c r="M2232" t="str">
        <f>IF(Table1[[#This Row],[ReorderLevel]]-Table1[[#This Row],[CurrentStock]]&gt;0,Table1[[#This Row],[ReorderLevel]]-Table1[[#This Row],[CurrentStock]],"")</f>
        <v/>
      </c>
      <c r="N2232" t="str">
        <f>IF(Table1[[#This Row],[CurrentStock]]&gt;Table1[[#This Row],[ReorderLevel]]*3,"Over Stock","Okay")</f>
        <v>Okay</v>
      </c>
      <c r="O2232" t="str">
        <f>IF(Table1[[#This Row],[CurrentStock]]&lt;Table1[[#This Row],[ReorderLevel]],"Reorder","Okay")</f>
        <v>Okay</v>
      </c>
    </row>
    <row r="2233" spans="1:15" x14ac:dyDescent="0.3">
      <c r="A2233">
        <v>65427</v>
      </c>
      <c r="B2233" t="s">
        <v>12</v>
      </c>
      <c r="C2233" t="s">
        <v>28</v>
      </c>
      <c r="D2233">
        <v>42</v>
      </c>
      <c r="E2233">
        <v>80</v>
      </c>
      <c r="F2233">
        <v>27.66</v>
      </c>
      <c r="G2233" t="s">
        <v>33</v>
      </c>
      <c r="H2233" s="1">
        <v>45638</v>
      </c>
      <c r="I2233" s="1">
        <v>45674</v>
      </c>
      <c r="J2233" t="s">
        <v>38</v>
      </c>
      <c r="K2233" t="b">
        <f>Table1[[#This Row],[CurrentStock]]&lt;Table1[[#This Row],[ReorderLevel]]</f>
        <v>1</v>
      </c>
      <c r="L2233" s="9">
        <f>Table1[[#This Row],[CurrentStock]]*Table1[[#This Row],[UnitPrice]]</f>
        <v>1161.72</v>
      </c>
      <c r="M2233">
        <f>IF(Table1[[#This Row],[ReorderLevel]]-Table1[[#This Row],[CurrentStock]]&gt;0,Table1[[#This Row],[ReorderLevel]]-Table1[[#This Row],[CurrentStock]],"")</f>
        <v>38</v>
      </c>
      <c r="N2233" t="str">
        <f>IF(Table1[[#This Row],[CurrentStock]]&gt;Table1[[#This Row],[ReorderLevel]]*3,"Over Stock","Okay")</f>
        <v>Okay</v>
      </c>
      <c r="O2233" t="str">
        <f>IF(Table1[[#This Row],[CurrentStock]]&lt;Table1[[#This Row],[ReorderLevel]],"Reorder","Okay")</f>
        <v>Reorder</v>
      </c>
    </row>
    <row r="2234" spans="1:15" x14ac:dyDescent="0.3">
      <c r="A2234">
        <v>57431</v>
      </c>
      <c r="B2234" t="s">
        <v>18</v>
      </c>
      <c r="C2234" t="s">
        <v>28</v>
      </c>
      <c r="D2234">
        <v>0</v>
      </c>
      <c r="E2234">
        <v>50</v>
      </c>
      <c r="F2234">
        <v>78.599999999999994</v>
      </c>
      <c r="G2234" t="s">
        <v>34</v>
      </c>
      <c r="H2234" s="1">
        <v>45416</v>
      </c>
      <c r="I2234" s="1">
        <v>45427</v>
      </c>
      <c r="J2234" t="s">
        <v>37</v>
      </c>
      <c r="K2234" t="b">
        <f>Table1[[#This Row],[CurrentStock]]&lt;Table1[[#This Row],[ReorderLevel]]</f>
        <v>1</v>
      </c>
      <c r="L2234" s="9">
        <f>Table1[[#This Row],[CurrentStock]]*Table1[[#This Row],[UnitPrice]]</f>
        <v>0</v>
      </c>
      <c r="M2234">
        <f>IF(Table1[[#This Row],[ReorderLevel]]-Table1[[#This Row],[CurrentStock]]&gt;0,Table1[[#This Row],[ReorderLevel]]-Table1[[#This Row],[CurrentStock]],"")</f>
        <v>50</v>
      </c>
      <c r="N2234" t="str">
        <f>IF(Table1[[#This Row],[CurrentStock]]&gt;Table1[[#This Row],[ReorderLevel]]*3,"Over Stock","Okay")</f>
        <v>Okay</v>
      </c>
      <c r="O2234" t="str">
        <f>IF(Table1[[#This Row],[CurrentStock]]&lt;Table1[[#This Row],[ReorderLevel]],"Reorder","Okay")</f>
        <v>Reorder</v>
      </c>
    </row>
    <row r="2235" spans="1:15" x14ac:dyDescent="0.3">
      <c r="A2235">
        <v>20296</v>
      </c>
      <c r="B2235" t="s">
        <v>24</v>
      </c>
      <c r="C2235" t="s">
        <v>31</v>
      </c>
      <c r="D2235">
        <v>41</v>
      </c>
      <c r="E2235">
        <v>40</v>
      </c>
      <c r="F2235">
        <v>119.33</v>
      </c>
      <c r="G2235" t="s">
        <v>32</v>
      </c>
      <c r="H2235" s="1">
        <v>45332</v>
      </c>
      <c r="I2235" s="1">
        <v>45357</v>
      </c>
      <c r="J2235" t="s">
        <v>39</v>
      </c>
      <c r="K2235" t="b">
        <f>Table1[[#This Row],[CurrentStock]]&lt;Table1[[#This Row],[ReorderLevel]]</f>
        <v>0</v>
      </c>
      <c r="L2235" s="9">
        <f>Table1[[#This Row],[CurrentStock]]*Table1[[#This Row],[UnitPrice]]</f>
        <v>4892.53</v>
      </c>
      <c r="M2235" t="str">
        <f>IF(Table1[[#This Row],[ReorderLevel]]-Table1[[#This Row],[CurrentStock]]&gt;0,Table1[[#This Row],[ReorderLevel]]-Table1[[#This Row],[CurrentStock]],"")</f>
        <v/>
      </c>
      <c r="N2235" t="str">
        <f>IF(Table1[[#This Row],[CurrentStock]]&gt;Table1[[#This Row],[ReorderLevel]]*3,"Over Stock","Okay")</f>
        <v>Okay</v>
      </c>
      <c r="O2235" t="str">
        <f>IF(Table1[[#This Row],[CurrentStock]]&lt;Table1[[#This Row],[ReorderLevel]],"Reorder","Okay")</f>
        <v>Okay</v>
      </c>
    </row>
    <row r="2236" spans="1:15" x14ac:dyDescent="0.3">
      <c r="A2236">
        <v>13796</v>
      </c>
      <c r="B2236" t="s">
        <v>11</v>
      </c>
      <c r="C2236" t="s">
        <v>27</v>
      </c>
      <c r="D2236">
        <v>51</v>
      </c>
      <c r="E2236">
        <v>100</v>
      </c>
      <c r="F2236">
        <v>490.39</v>
      </c>
      <c r="G2236" t="s">
        <v>35</v>
      </c>
      <c r="H2236" s="1">
        <v>45634</v>
      </c>
      <c r="I2236" s="1">
        <v>45643</v>
      </c>
      <c r="J2236" t="s">
        <v>37</v>
      </c>
      <c r="K2236" t="b">
        <f>Table1[[#This Row],[CurrentStock]]&lt;Table1[[#This Row],[ReorderLevel]]</f>
        <v>1</v>
      </c>
      <c r="L2236" s="9">
        <f>Table1[[#This Row],[CurrentStock]]*Table1[[#This Row],[UnitPrice]]</f>
        <v>25009.89</v>
      </c>
      <c r="M2236">
        <f>IF(Table1[[#This Row],[ReorderLevel]]-Table1[[#This Row],[CurrentStock]]&gt;0,Table1[[#This Row],[ReorderLevel]]-Table1[[#This Row],[CurrentStock]],"")</f>
        <v>49</v>
      </c>
      <c r="N2236" t="str">
        <f>IF(Table1[[#This Row],[CurrentStock]]&gt;Table1[[#This Row],[ReorderLevel]]*3,"Over Stock","Okay")</f>
        <v>Okay</v>
      </c>
      <c r="O2236" t="str">
        <f>IF(Table1[[#This Row],[CurrentStock]]&lt;Table1[[#This Row],[ReorderLevel]],"Reorder","Okay")</f>
        <v>Reorder</v>
      </c>
    </row>
    <row r="2237" spans="1:15" x14ac:dyDescent="0.3">
      <c r="A2237">
        <v>95017</v>
      </c>
      <c r="B2237" t="s">
        <v>12</v>
      </c>
      <c r="C2237" t="s">
        <v>28</v>
      </c>
      <c r="D2237">
        <v>204</v>
      </c>
      <c r="E2237">
        <v>20</v>
      </c>
      <c r="F2237">
        <v>476.77</v>
      </c>
      <c r="G2237" t="s">
        <v>34</v>
      </c>
      <c r="H2237" s="1">
        <v>45509</v>
      </c>
      <c r="I2237" s="1">
        <v>45532</v>
      </c>
      <c r="J2237" t="s">
        <v>38</v>
      </c>
      <c r="K2237" t="b">
        <f>Table1[[#This Row],[CurrentStock]]&lt;Table1[[#This Row],[ReorderLevel]]</f>
        <v>0</v>
      </c>
      <c r="L2237" s="9">
        <f>Table1[[#This Row],[CurrentStock]]*Table1[[#This Row],[UnitPrice]]</f>
        <v>97261.08</v>
      </c>
      <c r="M2237" t="str">
        <f>IF(Table1[[#This Row],[ReorderLevel]]-Table1[[#This Row],[CurrentStock]]&gt;0,Table1[[#This Row],[ReorderLevel]]-Table1[[#This Row],[CurrentStock]],"")</f>
        <v/>
      </c>
      <c r="N2237" t="str">
        <f>IF(Table1[[#This Row],[CurrentStock]]&gt;Table1[[#This Row],[ReorderLevel]]*3,"Over Stock","Okay")</f>
        <v>Over Stock</v>
      </c>
      <c r="O2237" t="str">
        <f>IF(Table1[[#This Row],[CurrentStock]]&lt;Table1[[#This Row],[ReorderLevel]],"Reorder","Okay")</f>
        <v>Okay</v>
      </c>
    </row>
    <row r="2238" spans="1:15" x14ac:dyDescent="0.3">
      <c r="A2238">
        <v>89941</v>
      </c>
      <c r="B2238" t="s">
        <v>21</v>
      </c>
      <c r="C2238" t="s">
        <v>31</v>
      </c>
      <c r="D2238">
        <v>149</v>
      </c>
      <c r="E2238">
        <v>150</v>
      </c>
      <c r="F2238">
        <v>306.12</v>
      </c>
      <c r="G2238" t="s">
        <v>35</v>
      </c>
      <c r="H2238" s="1">
        <v>45329</v>
      </c>
      <c r="I2238" s="1">
        <v>45353</v>
      </c>
      <c r="J2238" t="s">
        <v>38</v>
      </c>
      <c r="K2238" t="b">
        <f>Table1[[#This Row],[CurrentStock]]&lt;Table1[[#This Row],[ReorderLevel]]</f>
        <v>1</v>
      </c>
      <c r="L2238" s="9">
        <f>Table1[[#This Row],[CurrentStock]]*Table1[[#This Row],[UnitPrice]]</f>
        <v>45611.88</v>
      </c>
      <c r="M2238">
        <f>IF(Table1[[#This Row],[ReorderLevel]]-Table1[[#This Row],[CurrentStock]]&gt;0,Table1[[#This Row],[ReorderLevel]]-Table1[[#This Row],[CurrentStock]],"")</f>
        <v>1</v>
      </c>
      <c r="N2238" t="str">
        <f>IF(Table1[[#This Row],[CurrentStock]]&gt;Table1[[#This Row],[ReorderLevel]]*3,"Over Stock","Okay")</f>
        <v>Okay</v>
      </c>
      <c r="O2238" t="str">
        <f>IF(Table1[[#This Row],[CurrentStock]]&lt;Table1[[#This Row],[ReorderLevel]],"Reorder","Okay")</f>
        <v>Reorder</v>
      </c>
    </row>
    <row r="2239" spans="1:15" x14ac:dyDescent="0.3">
      <c r="A2239">
        <v>47372</v>
      </c>
      <c r="B2239" t="s">
        <v>21</v>
      </c>
      <c r="C2239" t="s">
        <v>31</v>
      </c>
      <c r="D2239">
        <v>411</v>
      </c>
      <c r="E2239">
        <v>80</v>
      </c>
      <c r="F2239">
        <v>481.15</v>
      </c>
      <c r="G2239" t="s">
        <v>35</v>
      </c>
      <c r="H2239" s="1">
        <v>45565</v>
      </c>
      <c r="I2239" s="1">
        <v>45584</v>
      </c>
      <c r="J2239" t="s">
        <v>37</v>
      </c>
      <c r="K2239" t="b">
        <f>Table1[[#This Row],[CurrentStock]]&lt;Table1[[#This Row],[ReorderLevel]]</f>
        <v>0</v>
      </c>
      <c r="L2239" s="9">
        <f>Table1[[#This Row],[CurrentStock]]*Table1[[#This Row],[UnitPrice]]</f>
        <v>197752.65</v>
      </c>
      <c r="M2239" t="str">
        <f>IF(Table1[[#This Row],[ReorderLevel]]-Table1[[#This Row],[CurrentStock]]&gt;0,Table1[[#This Row],[ReorderLevel]]-Table1[[#This Row],[CurrentStock]],"")</f>
        <v/>
      </c>
      <c r="N2239" t="str">
        <f>IF(Table1[[#This Row],[CurrentStock]]&gt;Table1[[#This Row],[ReorderLevel]]*3,"Over Stock","Okay")</f>
        <v>Over Stock</v>
      </c>
      <c r="O2239" t="str">
        <f>IF(Table1[[#This Row],[CurrentStock]]&lt;Table1[[#This Row],[ReorderLevel]],"Reorder","Okay")</f>
        <v>Okay</v>
      </c>
    </row>
    <row r="2240" spans="1:15" x14ac:dyDescent="0.3">
      <c r="A2240">
        <v>78348</v>
      </c>
      <c r="B2240" t="s">
        <v>17</v>
      </c>
      <c r="C2240" t="s">
        <v>30</v>
      </c>
      <c r="D2240">
        <v>85</v>
      </c>
      <c r="E2240">
        <v>100</v>
      </c>
      <c r="F2240">
        <v>190.46</v>
      </c>
      <c r="G2240" t="s">
        <v>36</v>
      </c>
      <c r="H2240" s="1">
        <v>45306</v>
      </c>
      <c r="I2240" s="1">
        <v>45327</v>
      </c>
      <c r="J2240" t="s">
        <v>38</v>
      </c>
      <c r="K2240" t="b">
        <f>Table1[[#This Row],[CurrentStock]]&lt;Table1[[#This Row],[ReorderLevel]]</f>
        <v>1</v>
      </c>
      <c r="L2240" s="9">
        <f>Table1[[#This Row],[CurrentStock]]*Table1[[#This Row],[UnitPrice]]</f>
        <v>16189.1</v>
      </c>
      <c r="M2240">
        <f>IF(Table1[[#This Row],[ReorderLevel]]-Table1[[#This Row],[CurrentStock]]&gt;0,Table1[[#This Row],[ReorderLevel]]-Table1[[#This Row],[CurrentStock]],"")</f>
        <v>15</v>
      </c>
      <c r="N2240" t="str">
        <f>IF(Table1[[#This Row],[CurrentStock]]&gt;Table1[[#This Row],[ReorderLevel]]*3,"Over Stock","Okay")</f>
        <v>Okay</v>
      </c>
      <c r="O2240" t="str">
        <f>IF(Table1[[#This Row],[CurrentStock]]&lt;Table1[[#This Row],[ReorderLevel]],"Reorder","Okay")</f>
        <v>Reorder</v>
      </c>
    </row>
    <row r="2241" spans="1:15" x14ac:dyDescent="0.3">
      <c r="A2241">
        <v>99795</v>
      </c>
      <c r="B2241" t="s">
        <v>25</v>
      </c>
      <c r="C2241" t="s">
        <v>31</v>
      </c>
      <c r="D2241">
        <v>213</v>
      </c>
      <c r="E2241">
        <v>80</v>
      </c>
      <c r="F2241">
        <v>52.96</v>
      </c>
      <c r="G2241" t="s">
        <v>35</v>
      </c>
      <c r="H2241" s="1">
        <v>45373</v>
      </c>
      <c r="I2241" s="1">
        <v>45394</v>
      </c>
      <c r="J2241" t="s">
        <v>37</v>
      </c>
      <c r="K2241" t="b">
        <f>Table1[[#This Row],[CurrentStock]]&lt;Table1[[#This Row],[ReorderLevel]]</f>
        <v>0</v>
      </c>
      <c r="L2241" s="9">
        <f>Table1[[#This Row],[CurrentStock]]*Table1[[#This Row],[UnitPrice]]</f>
        <v>11280.48</v>
      </c>
      <c r="M2241" t="str">
        <f>IF(Table1[[#This Row],[ReorderLevel]]-Table1[[#This Row],[CurrentStock]]&gt;0,Table1[[#This Row],[ReorderLevel]]-Table1[[#This Row],[CurrentStock]],"")</f>
        <v/>
      </c>
      <c r="N2241" t="str">
        <f>IF(Table1[[#This Row],[CurrentStock]]&gt;Table1[[#This Row],[ReorderLevel]]*3,"Over Stock","Okay")</f>
        <v>Okay</v>
      </c>
      <c r="O2241" t="str">
        <f>IF(Table1[[#This Row],[CurrentStock]]&lt;Table1[[#This Row],[ReorderLevel]],"Reorder","Okay")</f>
        <v>Okay</v>
      </c>
    </row>
    <row r="2242" spans="1:15" x14ac:dyDescent="0.3">
      <c r="A2242">
        <v>70659</v>
      </c>
      <c r="B2242" t="s">
        <v>20</v>
      </c>
      <c r="C2242" t="s">
        <v>29</v>
      </c>
      <c r="D2242">
        <v>210</v>
      </c>
      <c r="E2242">
        <v>40</v>
      </c>
      <c r="F2242">
        <v>222.4</v>
      </c>
      <c r="G2242" t="s">
        <v>35</v>
      </c>
      <c r="H2242" s="1">
        <v>45386</v>
      </c>
      <c r="I2242" s="1">
        <v>45422</v>
      </c>
      <c r="J2242" t="s">
        <v>38</v>
      </c>
      <c r="K2242" t="b">
        <f>Table1[[#This Row],[CurrentStock]]&lt;Table1[[#This Row],[ReorderLevel]]</f>
        <v>0</v>
      </c>
      <c r="L2242" s="9">
        <f>Table1[[#This Row],[CurrentStock]]*Table1[[#This Row],[UnitPrice]]</f>
        <v>46704</v>
      </c>
      <c r="M2242" t="str">
        <f>IF(Table1[[#This Row],[ReorderLevel]]-Table1[[#This Row],[CurrentStock]]&gt;0,Table1[[#This Row],[ReorderLevel]]-Table1[[#This Row],[CurrentStock]],"")</f>
        <v/>
      </c>
      <c r="N2242" t="str">
        <f>IF(Table1[[#This Row],[CurrentStock]]&gt;Table1[[#This Row],[ReorderLevel]]*3,"Over Stock","Okay")</f>
        <v>Over Stock</v>
      </c>
      <c r="O2242" t="str">
        <f>IF(Table1[[#This Row],[CurrentStock]]&lt;Table1[[#This Row],[ReorderLevel]],"Reorder","Okay")</f>
        <v>Okay</v>
      </c>
    </row>
    <row r="2243" spans="1:15" x14ac:dyDescent="0.3">
      <c r="A2243">
        <v>53809</v>
      </c>
      <c r="B2243" t="s">
        <v>21</v>
      </c>
      <c r="C2243" t="s">
        <v>31</v>
      </c>
      <c r="D2243">
        <v>34</v>
      </c>
      <c r="E2243">
        <v>100</v>
      </c>
      <c r="F2243">
        <v>284.47000000000003</v>
      </c>
      <c r="G2243" t="s">
        <v>35</v>
      </c>
      <c r="H2243" s="1">
        <v>45470</v>
      </c>
      <c r="I2243" s="1">
        <v>45500</v>
      </c>
      <c r="J2243" t="s">
        <v>38</v>
      </c>
      <c r="K2243" t="b">
        <f>Table1[[#This Row],[CurrentStock]]&lt;Table1[[#This Row],[ReorderLevel]]</f>
        <v>1</v>
      </c>
      <c r="L2243" s="9">
        <f>Table1[[#This Row],[CurrentStock]]*Table1[[#This Row],[UnitPrice]]</f>
        <v>9671.9800000000014</v>
      </c>
      <c r="M2243">
        <f>IF(Table1[[#This Row],[ReorderLevel]]-Table1[[#This Row],[CurrentStock]]&gt;0,Table1[[#This Row],[ReorderLevel]]-Table1[[#This Row],[CurrentStock]],"")</f>
        <v>66</v>
      </c>
      <c r="N2243" t="str">
        <f>IF(Table1[[#This Row],[CurrentStock]]&gt;Table1[[#This Row],[ReorderLevel]]*3,"Over Stock","Okay")</f>
        <v>Okay</v>
      </c>
      <c r="O2243" t="str">
        <f>IF(Table1[[#This Row],[CurrentStock]]&lt;Table1[[#This Row],[ReorderLevel]],"Reorder","Okay")</f>
        <v>Reorder</v>
      </c>
    </row>
    <row r="2244" spans="1:15" x14ac:dyDescent="0.3">
      <c r="A2244">
        <v>52967</v>
      </c>
      <c r="B2244" t="s">
        <v>16</v>
      </c>
      <c r="C2244" t="s">
        <v>30</v>
      </c>
      <c r="D2244">
        <v>229</v>
      </c>
      <c r="E2244">
        <v>100</v>
      </c>
      <c r="F2244">
        <v>89.96</v>
      </c>
      <c r="G2244" t="s">
        <v>36</v>
      </c>
      <c r="H2244" s="1">
        <v>45494</v>
      </c>
      <c r="I2244" s="1">
        <v>45509</v>
      </c>
      <c r="J2244" t="s">
        <v>39</v>
      </c>
      <c r="K2244" t="b">
        <f>Table1[[#This Row],[CurrentStock]]&lt;Table1[[#This Row],[ReorderLevel]]</f>
        <v>0</v>
      </c>
      <c r="L2244" s="9">
        <f>Table1[[#This Row],[CurrentStock]]*Table1[[#This Row],[UnitPrice]]</f>
        <v>20600.84</v>
      </c>
      <c r="M2244" t="str">
        <f>IF(Table1[[#This Row],[ReorderLevel]]-Table1[[#This Row],[CurrentStock]]&gt;0,Table1[[#This Row],[ReorderLevel]]-Table1[[#This Row],[CurrentStock]],"")</f>
        <v/>
      </c>
      <c r="N2244" t="str">
        <f>IF(Table1[[#This Row],[CurrentStock]]&gt;Table1[[#This Row],[ReorderLevel]]*3,"Over Stock","Okay")</f>
        <v>Okay</v>
      </c>
      <c r="O2244" t="str">
        <f>IF(Table1[[#This Row],[CurrentStock]]&lt;Table1[[#This Row],[ReorderLevel]],"Reorder","Okay")</f>
        <v>Okay</v>
      </c>
    </row>
    <row r="2245" spans="1:15" x14ac:dyDescent="0.3">
      <c r="A2245">
        <v>39002</v>
      </c>
      <c r="B2245" t="s">
        <v>22</v>
      </c>
      <c r="C2245" t="s">
        <v>27</v>
      </c>
      <c r="D2245">
        <v>468</v>
      </c>
      <c r="E2245">
        <v>150</v>
      </c>
      <c r="F2245">
        <v>234.57</v>
      </c>
      <c r="G2245" t="s">
        <v>34</v>
      </c>
      <c r="H2245" s="1">
        <v>45549</v>
      </c>
      <c r="I2245" s="1">
        <v>45587</v>
      </c>
      <c r="J2245" t="s">
        <v>38</v>
      </c>
      <c r="K2245" t="b">
        <f>Table1[[#This Row],[CurrentStock]]&lt;Table1[[#This Row],[ReorderLevel]]</f>
        <v>0</v>
      </c>
      <c r="L2245" s="9">
        <f>Table1[[#This Row],[CurrentStock]]*Table1[[#This Row],[UnitPrice]]</f>
        <v>109778.76</v>
      </c>
      <c r="M2245" t="str">
        <f>IF(Table1[[#This Row],[ReorderLevel]]-Table1[[#This Row],[CurrentStock]]&gt;0,Table1[[#This Row],[ReorderLevel]]-Table1[[#This Row],[CurrentStock]],"")</f>
        <v/>
      </c>
      <c r="N2245" t="str">
        <f>IF(Table1[[#This Row],[CurrentStock]]&gt;Table1[[#This Row],[ReorderLevel]]*3,"Over Stock","Okay")</f>
        <v>Over Stock</v>
      </c>
      <c r="O2245" t="str">
        <f>IF(Table1[[#This Row],[CurrentStock]]&lt;Table1[[#This Row],[ReorderLevel]],"Reorder","Okay")</f>
        <v>Okay</v>
      </c>
    </row>
    <row r="2246" spans="1:15" x14ac:dyDescent="0.3">
      <c r="A2246">
        <v>65020</v>
      </c>
      <c r="B2246" t="s">
        <v>12</v>
      </c>
      <c r="C2246" t="s">
        <v>28</v>
      </c>
      <c r="D2246">
        <v>33</v>
      </c>
      <c r="E2246">
        <v>30</v>
      </c>
      <c r="F2246">
        <v>369.32</v>
      </c>
      <c r="G2246" t="s">
        <v>35</v>
      </c>
      <c r="H2246" s="1">
        <v>45643</v>
      </c>
      <c r="I2246" s="1">
        <v>45659</v>
      </c>
      <c r="J2246" t="s">
        <v>39</v>
      </c>
      <c r="K2246" t="b">
        <f>Table1[[#This Row],[CurrentStock]]&lt;Table1[[#This Row],[ReorderLevel]]</f>
        <v>0</v>
      </c>
      <c r="L2246" s="9">
        <f>Table1[[#This Row],[CurrentStock]]*Table1[[#This Row],[UnitPrice]]</f>
        <v>12187.56</v>
      </c>
      <c r="M2246" t="str">
        <f>IF(Table1[[#This Row],[ReorderLevel]]-Table1[[#This Row],[CurrentStock]]&gt;0,Table1[[#This Row],[ReorderLevel]]-Table1[[#This Row],[CurrentStock]],"")</f>
        <v/>
      </c>
      <c r="N2246" t="str">
        <f>IF(Table1[[#This Row],[CurrentStock]]&gt;Table1[[#This Row],[ReorderLevel]]*3,"Over Stock","Okay")</f>
        <v>Okay</v>
      </c>
      <c r="O2246" t="str">
        <f>IF(Table1[[#This Row],[CurrentStock]]&lt;Table1[[#This Row],[ReorderLevel]],"Reorder","Okay")</f>
        <v>Okay</v>
      </c>
    </row>
    <row r="2247" spans="1:15" x14ac:dyDescent="0.3">
      <c r="A2247">
        <v>19585</v>
      </c>
      <c r="B2247" t="s">
        <v>19</v>
      </c>
      <c r="C2247" t="s">
        <v>28</v>
      </c>
      <c r="D2247">
        <v>367</v>
      </c>
      <c r="E2247">
        <v>40</v>
      </c>
      <c r="F2247">
        <v>338.49</v>
      </c>
      <c r="G2247" t="s">
        <v>36</v>
      </c>
      <c r="H2247" s="1">
        <v>45470</v>
      </c>
      <c r="I2247" s="1">
        <v>45504</v>
      </c>
      <c r="J2247" t="s">
        <v>38</v>
      </c>
      <c r="K2247" t="b">
        <f>Table1[[#This Row],[CurrentStock]]&lt;Table1[[#This Row],[ReorderLevel]]</f>
        <v>0</v>
      </c>
      <c r="L2247" s="9">
        <f>Table1[[#This Row],[CurrentStock]]*Table1[[#This Row],[UnitPrice]]</f>
        <v>124225.83</v>
      </c>
      <c r="M2247" t="str">
        <f>IF(Table1[[#This Row],[ReorderLevel]]-Table1[[#This Row],[CurrentStock]]&gt;0,Table1[[#This Row],[ReorderLevel]]-Table1[[#This Row],[CurrentStock]],"")</f>
        <v/>
      </c>
      <c r="N2247" t="str">
        <f>IF(Table1[[#This Row],[CurrentStock]]&gt;Table1[[#This Row],[ReorderLevel]]*3,"Over Stock","Okay")</f>
        <v>Over Stock</v>
      </c>
      <c r="O2247" t="str">
        <f>IF(Table1[[#This Row],[CurrentStock]]&lt;Table1[[#This Row],[ReorderLevel]],"Reorder","Okay")</f>
        <v>Okay</v>
      </c>
    </row>
    <row r="2248" spans="1:15" x14ac:dyDescent="0.3">
      <c r="A2248">
        <v>19017</v>
      </c>
      <c r="B2248" t="s">
        <v>18</v>
      </c>
      <c r="C2248" t="s">
        <v>28</v>
      </c>
      <c r="D2248">
        <v>34</v>
      </c>
      <c r="E2248">
        <v>150</v>
      </c>
      <c r="F2248">
        <v>150.30000000000001</v>
      </c>
      <c r="G2248" t="s">
        <v>36</v>
      </c>
      <c r="H2248" s="1">
        <v>45595</v>
      </c>
      <c r="I2248" s="1">
        <v>45622</v>
      </c>
      <c r="J2248" t="s">
        <v>37</v>
      </c>
      <c r="K2248" t="b">
        <f>Table1[[#This Row],[CurrentStock]]&lt;Table1[[#This Row],[ReorderLevel]]</f>
        <v>1</v>
      </c>
      <c r="L2248" s="9">
        <f>Table1[[#This Row],[CurrentStock]]*Table1[[#This Row],[UnitPrice]]</f>
        <v>5110.2000000000007</v>
      </c>
      <c r="M2248">
        <f>IF(Table1[[#This Row],[ReorderLevel]]-Table1[[#This Row],[CurrentStock]]&gt;0,Table1[[#This Row],[ReorderLevel]]-Table1[[#This Row],[CurrentStock]],"")</f>
        <v>116</v>
      </c>
      <c r="N2248" t="str">
        <f>IF(Table1[[#This Row],[CurrentStock]]&gt;Table1[[#This Row],[ReorderLevel]]*3,"Over Stock","Okay")</f>
        <v>Okay</v>
      </c>
      <c r="O2248" t="str">
        <f>IF(Table1[[#This Row],[CurrentStock]]&lt;Table1[[#This Row],[ReorderLevel]],"Reorder","Okay")</f>
        <v>Reorder</v>
      </c>
    </row>
    <row r="2249" spans="1:15" x14ac:dyDescent="0.3">
      <c r="A2249">
        <v>34020</v>
      </c>
      <c r="B2249" t="s">
        <v>11</v>
      </c>
      <c r="C2249" t="s">
        <v>27</v>
      </c>
      <c r="D2249">
        <v>61</v>
      </c>
      <c r="E2249">
        <v>40</v>
      </c>
      <c r="F2249">
        <v>125.61</v>
      </c>
      <c r="G2249" t="s">
        <v>36</v>
      </c>
      <c r="H2249" s="1">
        <v>45353</v>
      </c>
      <c r="I2249" s="1">
        <v>45387</v>
      </c>
      <c r="J2249" t="s">
        <v>39</v>
      </c>
      <c r="K2249" t="b">
        <f>Table1[[#This Row],[CurrentStock]]&lt;Table1[[#This Row],[ReorderLevel]]</f>
        <v>0</v>
      </c>
      <c r="L2249" s="9">
        <f>Table1[[#This Row],[CurrentStock]]*Table1[[#This Row],[UnitPrice]]</f>
        <v>7662.21</v>
      </c>
      <c r="M2249" t="str">
        <f>IF(Table1[[#This Row],[ReorderLevel]]-Table1[[#This Row],[CurrentStock]]&gt;0,Table1[[#This Row],[ReorderLevel]]-Table1[[#This Row],[CurrentStock]],"")</f>
        <v/>
      </c>
      <c r="N2249" t="str">
        <f>IF(Table1[[#This Row],[CurrentStock]]&gt;Table1[[#This Row],[ReorderLevel]]*3,"Over Stock","Okay")</f>
        <v>Okay</v>
      </c>
      <c r="O2249" t="str">
        <f>IF(Table1[[#This Row],[CurrentStock]]&lt;Table1[[#This Row],[ReorderLevel]],"Reorder","Okay")</f>
        <v>Okay</v>
      </c>
    </row>
    <row r="2250" spans="1:15" x14ac:dyDescent="0.3">
      <c r="A2250">
        <v>21552</v>
      </c>
      <c r="B2250" t="s">
        <v>20</v>
      </c>
      <c r="C2250" t="s">
        <v>29</v>
      </c>
      <c r="D2250">
        <v>49</v>
      </c>
      <c r="E2250">
        <v>150</v>
      </c>
      <c r="F2250">
        <v>299.27999999999997</v>
      </c>
      <c r="G2250" t="s">
        <v>32</v>
      </c>
      <c r="H2250" s="1">
        <v>45327</v>
      </c>
      <c r="I2250" s="1">
        <v>45357</v>
      </c>
      <c r="J2250" t="s">
        <v>37</v>
      </c>
      <c r="K2250" t="b">
        <f>Table1[[#This Row],[CurrentStock]]&lt;Table1[[#This Row],[ReorderLevel]]</f>
        <v>1</v>
      </c>
      <c r="L2250" s="9">
        <f>Table1[[#This Row],[CurrentStock]]*Table1[[#This Row],[UnitPrice]]</f>
        <v>14664.72</v>
      </c>
      <c r="M2250">
        <f>IF(Table1[[#This Row],[ReorderLevel]]-Table1[[#This Row],[CurrentStock]]&gt;0,Table1[[#This Row],[ReorderLevel]]-Table1[[#This Row],[CurrentStock]],"")</f>
        <v>101</v>
      </c>
      <c r="N2250" t="str">
        <f>IF(Table1[[#This Row],[CurrentStock]]&gt;Table1[[#This Row],[ReorderLevel]]*3,"Over Stock","Okay")</f>
        <v>Okay</v>
      </c>
      <c r="O2250" t="str">
        <f>IF(Table1[[#This Row],[CurrentStock]]&lt;Table1[[#This Row],[ReorderLevel]],"Reorder","Okay")</f>
        <v>Reorder</v>
      </c>
    </row>
    <row r="2251" spans="1:15" x14ac:dyDescent="0.3">
      <c r="A2251">
        <v>75185</v>
      </c>
      <c r="B2251" t="s">
        <v>24</v>
      </c>
      <c r="C2251" t="s">
        <v>31</v>
      </c>
      <c r="D2251">
        <v>278</v>
      </c>
      <c r="E2251">
        <v>100</v>
      </c>
      <c r="F2251">
        <v>102.8</v>
      </c>
      <c r="G2251" t="s">
        <v>32</v>
      </c>
      <c r="H2251" s="1">
        <v>45401</v>
      </c>
      <c r="I2251" s="1">
        <v>45426</v>
      </c>
      <c r="J2251" t="s">
        <v>37</v>
      </c>
      <c r="K2251" t="b">
        <f>Table1[[#This Row],[CurrentStock]]&lt;Table1[[#This Row],[ReorderLevel]]</f>
        <v>0</v>
      </c>
      <c r="L2251" s="9">
        <f>Table1[[#This Row],[CurrentStock]]*Table1[[#This Row],[UnitPrice]]</f>
        <v>28578.399999999998</v>
      </c>
      <c r="M2251" t="str">
        <f>IF(Table1[[#This Row],[ReorderLevel]]-Table1[[#This Row],[CurrentStock]]&gt;0,Table1[[#This Row],[ReorderLevel]]-Table1[[#This Row],[CurrentStock]],"")</f>
        <v/>
      </c>
      <c r="N2251" t="str">
        <f>IF(Table1[[#This Row],[CurrentStock]]&gt;Table1[[#This Row],[ReorderLevel]]*3,"Over Stock","Okay")</f>
        <v>Okay</v>
      </c>
      <c r="O2251" t="str">
        <f>IF(Table1[[#This Row],[CurrentStock]]&lt;Table1[[#This Row],[ReorderLevel]],"Reorder","Okay")</f>
        <v>Okay</v>
      </c>
    </row>
    <row r="2252" spans="1:15" x14ac:dyDescent="0.3">
      <c r="A2252">
        <v>70047</v>
      </c>
      <c r="B2252" t="s">
        <v>24</v>
      </c>
      <c r="C2252" t="s">
        <v>31</v>
      </c>
      <c r="D2252">
        <v>483</v>
      </c>
      <c r="E2252">
        <v>50</v>
      </c>
      <c r="F2252">
        <v>55.5</v>
      </c>
      <c r="G2252" t="s">
        <v>36</v>
      </c>
      <c r="H2252" s="1">
        <v>45359</v>
      </c>
      <c r="I2252" s="1">
        <v>45365</v>
      </c>
      <c r="J2252" t="s">
        <v>39</v>
      </c>
      <c r="K2252" t="b">
        <f>Table1[[#This Row],[CurrentStock]]&lt;Table1[[#This Row],[ReorderLevel]]</f>
        <v>0</v>
      </c>
      <c r="L2252" s="9">
        <f>Table1[[#This Row],[CurrentStock]]*Table1[[#This Row],[UnitPrice]]</f>
        <v>26806.5</v>
      </c>
      <c r="M2252" t="str">
        <f>IF(Table1[[#This Row],[ReorderLevel]]-Table1[[#This Row],[CurrentStock]]&gt;0,Table1[[#This Row],[ReorderLevel]]-Table1[[#This Row],[CurrentStock]],"")</f>
        <v/>
      </c>
      <c r="N2252" t="str">
        <f>IF(Table1[[#This Row],[CurrentStock]]&gt;Table1[[#This Row],[ReorderLevel]]*3,"Over Stock","Okay")</f>
        <v>Over Stock</v>
      </c>
      <c r="O2252" t="str">
        <f>IF(Table1[[#This Row],[CurrentStock]]&lt;Table1[[#This Row],[ReorderLevel]],"Reorder","Okay")</f>
        <v>Okay</v>
      </c>
    </row>
    <row r="2253" spans="1:15" x14ac:dyDescent="0.3">
      <c r="A2253">
        <v>81494</v>
      </c>
      <c r="B2253" t="s">
        <v>20</v>
      </c>
      <c r="C2253" t="s">
        <v>29</v>
      </c>
      <c r="D2253">
        <v>206</v>
      </c>
      <c r="E2253">
        <v>50</v>
      </c>
      <c r="F2253">
        <v>160.80000000000001</v>
      </c>
      <c r="G2253" t="s">
        <v>33</v>
      </c>
      <c r="H2253" s="1">
        <v>45501</v>
      </c>
      <c r="I2253" s="1">
        <v>45522</v>
      </c>
      <c r="J2253" t="s">
        <v>37</v>
      </c>
      <c r="K2253" t="b">
        <f>Table1[[#This Row],[CurrentStock]]&lt;Table1[[#This Row],[ReorderLevel]]</f>
        <v>0</v>
      </c>
      <c r="L2253" s="9">
        <f>Table1[[#This Row],[CurrentStock]]*Table1[[#This Row],[UnitPrice]]</f>
        <v>33124.800000000003</v>
      </c>
      <c r="M2253" t="str">
        <f>IF(Table1[[#This Row],[ReorderLevel]]-Table1[[#This Row],[CurrentStock]]&gt;0,Table1[[#This Row],[ReorderLevel]]-Table1[[#This Row],[CurrentStock]],"")</f>
        <v/>
      </c>
      <c r="N2253" t="str">
        <f>IF(Table1[[#This Row],[CurrentStock]]&gt;Table1[[#This Row],[ReorderLevel]]*3,"Over Stock","Okay")</f>
        <v>Over Stock</v>
      </c>
      <c r="O2253" t="str">
        <f>IF(Table1[[#This Row],[CurrentStock]]&lt;Table1[[#This Row],[ReorderLevel]],"Reorder","Okay")</f>
        <v>Okay</v>
      </c>
    </row>
    <row r="2254" spans="1:15" x14ac:dyDescent="0.3">
      <c r="A2254">
        <v>39663</v>
      </c>
      <c r="B2254" t="s">
        <v>11</v>
      </c>
      <c r="C2254" t="s">
        <v>27</v>
      </c>
      <c r="D2254">
        <v>380</v>
      </c>
      <c r="E2254">
        <v>30</v>
      </c>
      <c r="F2254">
        <v>66.260000000000005</v>
      </c>
      <c r="G2254" t="s">
        <v>36</v>
      </c>
      <c r="H2254" s="1">
        <v>45421</v>
      </c>
      <c r="I2254" s="1">
        <v>45447</v>
      </c>
      <c r="J2254" t="s">
        <v>38</v>
      </c>
      <c r="K2254" t="b">
        <f>Table1[[#This Row],[CurrentStock]]&lt;Table1[[#This Row],[ReorderLevel]]</f>
        <v>0</v>
      </c>
      <c r="L2254" s="9">
        <f>Table1[[#This Row],[CurrentStock]]*Table1[[#This Row],[UnitPrice]]</f>
        <v>25178.800000000003</v>
      </c>
      <c r="M2254" t="str">
        <f>IF(Table1[[#This Row],[ReorderLevel]]-Table1[[#This Row],[CurrentStock]]&gt;0,Table1[[#This Row],[ReorderLevel]]-Table1[[#This Row],[CurrentStock]],"")</f>
        <v/>
      </c>
      <c r="N2254" t="str">
        <f>IF(Table1[[#This Row],[CurrentStock]]&gt;Table1[[#This Row],[ReorderLevel]]*3,"Over Stock","Okay")</f>
        <v>Over Stock</v>
      </c>
      <c r="O2254" t="str">
        <f>IF(Table1[[#This Row],[CurrentStock]]&lt;Table1[[#This Row],[ReorderLevel]],"Reorder","Okay")</f>
        <v>Okay</v>
      </c>
    </row>
    <row r="2255" spans="1:15" x14ac:dyDescent="0.3">
      <c r="A2255">
        <v>88267</v>
      </c>
      <c r="B2255" t="s">
        <v>12</v>
      </c>
      <c r="C2255" t="s">
        <v>28</v>
      </c>
      <c r="D2255">
        <v>235</v>
      </c>
      <c r="E2255">
        <v>100</v>
      </c>
      <c r="F2255">
        <v>33.71</v>
      </c>
      <c r="G2255" t="s">
        <v>35</v>
      </c>
      <c r="H2255" s="1">
        <v>45618</v>
      </c>
      <c r="I2255" s="1">
        <v>45629</v>
      </c>
      <c r="J2255" t="s">
        <v>39</v>
      </c>
      <c r="K2255" t="b">
        <f>Table1[[#This Row],[CurrentStock]]&lt;Table1[[#This Row],[ReorderLevel]]</f>
        <v>0</v>
      </c>
      <c r="L2255" s="9">
        <f>Table1[[#This Row],[CurrentStock]]*Table1[[#This Row],[UnitPrice]]</f>
        <v>7921.85</v>
      </c>
      <c r="M2255" t="str">
        <f>IF(Table1[[#This Row],[ReorderLevel]]-Table1[[#This Row],[CurrentStock]]&gt;0,Table1[[#This Row],[ReorderLevel]]-Table1[[#This Row],[CurrentStock]],"")</f>
        <v/>
      </c>
      <c r="N2255" t="str">
        <f>IF(Table1[[#This Row],[CurrentStock]]&gt;Table1[[#This Row],[ReorderLevel]]*3,"Over Stock","Okay")</f>
        <v>Okay</v>
      </c>
      <c r="O2255" t="str">
        <f>IF(Table1[[#This Row],[CurrentStock]]&lt;Table1[[#This Row],[ReorderLevel]],"Reorder","Okay")</f>
        <v>Okay</v>
      </c>
    </row>
    <row r="2256" spans="1:15" x14ac:dyDescent="0.3">
      <c r="A2256">
        <v>68570</v>
      </c>
      <c r="B2256" t="s">
        <v>10</v>
      </c>
      <c r="C2256" t="s">
        <v>27</v>
      </c>
      <c r="D2256">
        <v>478</v>
      </c>
      <c r="E2256">
        <v>30</v>
      </c>
      <c r="F2256">
        <v>13.33</v>
      </c>
      <c r="G2256" t="s">
        <v>33</v>
      </c>
      <c r="H2256" s="1">
        <v>45421</v>
      </c>
      <c r="I2256" s="1">
        <v>45458</v>
      </c>
      <c r="J2256" t="s">
        <v>39</v>
      </c>
      <c r="K2256" t="b">
        <f>Table1[[#This Row],[CurrentStock]]&lt;Table1[[#This Row],[ReorderLevel]]</f>
        <v>0</v>
      </c>
      <c r="L2256" s="9">
        <f>Table1[[#This Row],[CurrentStock]]*Table1[[#This Row],[UnitPrice]]</f>
        <v>6371.74</v>
      </c>
      <c r="M2256" t="str">
        <f>IF(Table1[[#This Row],[ReorderLevel]]-Table1[[#This Row],[CurrentStock]]&gt;0,Table1[[#This Row],[ReorderLevel]]-Table1[[#This Row],[CurrentStock]],"")</f>
        <v/>
      </c>
      <c r="N2256" t="str">
        <f>IF(Table1[[#This Row],[CurrentStock]]&gt;Table1[[#This Row],[ReorderLevel]]*3,"Over Stock","Okay")</f>
        <v>Over Stock</v>
      </c>
      <c r="O2256" t="str">
        <f>IF(Table1[[#This Row],[CurrentStock]]&lt;Table1[[#This Row],[ReorderLevel]],"Reorder","Okay")</f>
        <v>Okay</v>
      </c>
    </row>
    <row r="2257" spans="1:15" x14ac:dyDescent="0.3">
      <c r="A2257">
        <v>33997</v>
      </c>
      <c r="B2257" t="s">
        <v>20</v>
      </c>
      <c r="C2257" t="s">
        <v>29</v>
      </c>
      <c r="D2257">
        <v>468</v>
      </c>
      <c r="E2257">
        <v>50</v>
      </c>
      <c r="F2257">
        <v>379.37</v>
      </c>
      <c r="G2257" t="s">
        <v>36</v>
      </c>
      <c r="H2257" s="1">
        <v>45317</v>
      </c>
      <c r="I2257" s="1">
        <v>45354</v>
      </c>
      <c r="J2257" t="s">
        <v>39</v>
      </c>
      <c r="K2257" t="b">
        <f>Table1[[#This Row],[CurrentStock]]&lt;Table1[[#This Row],[ReorderLevel]]</f>
        <v>0</v>
      </c>
      <c r="L2257" s="9">
        <f>Table1[[#This Row],[CurrentStock]]*Table1[[#This Row],[UnitPrice]]</f>
        <v>177545.16</v>
      </c>
      <c r="M2257" t="str">
        <f>IF(Table1[[#This Row],[ReorderLevel]]-Table1[[#This Row],[CurrentStock]]&gt;0,Table1[[#This Row],[ReorderLevel]]-Table1[[#This Row],[CurrentStock]],"")</f>
        <v/>
      </c>
      <c r="N2257" t="str">
        <f>IF(Table1[[#This Row],[CurrentStock]]&gt;Table1[[#This Row],[ReorderLevel]]*3,"Over Stock","Okay")</f>
        <v>Over Stock</v>
      </c>
      <c r="O2257" t="str">
        <f>IF(Table1[[#This Row],[CurrentStock]]&lt;Table1[[#This Row],[ReorderLevel]],"Reorder","Okay")</f>
        <v>Okay</v>
      </c>
    </row>
    <row r="2258" spans="1:15" x14ac:dyDescent="0.3">
      <c r="A2258">
        <v>50894</v>
      </c>
      <c r="B2258" t="s">
        <v>23</v>
      </c>
      <c r="C2258" t="s">
        <v>30</v>
      </c>
      <c r="D2258">
        <v>94</v>
      </c>
      <c r="E2258">
        <v>20</v>
      </c>
      <c r="F2258">
        <v>382.95</v>
      </c>
      <c r="G2258" t="s">
        <v>33</v>
      </c>
      <c r="H2258" s="1">
        <v>45332</v>
      </c>
      <c r="I2258" s="1">
        <v>45341</v>
      </c>
      <c r="J2258" t="s">
        <v>39</v>
      </c>
      <c r="K2258" t="b">
        <f>Table1[[#This Row],[CurrentStock]]&lt;Table1[[#This Row],[ReorderLevel]]</f>
        <v>0</v>
      </c>
      <c r="L2258" s="9">
        <f>Table1[[#This Row],[CurrentStock]]*Table1[[#This Row],[UnitPrice]]</f>
        <v>35997.299999999996</v>
      </c>
      <c r="M2258" t="str">
        <f>IF(Table1[[#This Row],[ReorderLevel]]-Table1[[#This Row],[CurrentStock]]&gt;0,Table1[[#This Row],[ReorderLevel]]-Table1[[#This Row],[CurrentStock]],"")</f>
        <v/>
      </c>
      <c r="N2258" t="str">
        <f>IF(Table1[[#This Row],[CurrentStock]]&gt;Table1[[#This Row],[ReorderLevel]]*3,"Over Stock","Okay")</f>
        <v>Over Stock</v>
      </c>
      <c r="O2258" t="str">
        <f>IF(Table1[[#This Row],[CurrentStock]]&lt;Table1[[#This Row],[ReorderLevel]],"Reorder","Okay")</f>
        <v>Okay</v>
      </c>
    </row>
    <row r="2259" spans="1:15" x14ac:dyDescent="0.3">
      <c r="A2259">
        <v>17691</v>
      </c>
      <c r="B2259" t="s">
        <v>12</v>
      </c>
      <c r="C2259" t="s">
        <v>28</v>
      </c>
      <c r="D2259">
        <v>324</v>
      </c>
      <c r="E2259">
        <v>40</v>
      </c>
      <c r="F2259">
        <v>264.06</v>
      </c>
      <c r="G2259" t="s">
        <v>32</v>
      </c>
      <c r="H2259" s="1">
        <v>45471</v>
      </c>
      <c r="I2259" s="1">
        <v>45477</v>
      </c>
      <c r="J2259" t="s">
        <v>38</v>
      </c>
      <c r="K2259" t="b">
        <f>Table1[[#This Row],[CurrentStock]]&lt;Table1[[#This Row],[ReorderLevel]]</f>
        <v>0</v>
      </c>
      <c r="L2259" s="9">
        <f>Table1[[#This Row],[CurrentStock]]*Table1[[#This Row],[UnitPrice]]</f>
        <v>85555.44</v>
      </c>
      <c r="M2259" t="str">
        <f>IF(Table1[[#This Row],[ReorderLevel]]-Table1[[#This Row],[CurrentStock]]&gt;0,Table1[[#This Row],[ReorderLevel]]-Table1[[#This Row],[CurrentStock]],"")</f>
        <v/>
      </c>
      <c r="N2259" t="str">
        <f>IF(Table1[[#This Row],[CurrentStock]]&gt;Table1[[#This Row],[ReorderLevel]]*3,"Over Stock","Okay")</f>
        <v>Over Stock</v>
      </c>
      <c r="O2259" t="str">
        <f>IF(Table1[[#This Row],[CurrentStock]]&lt;Table1[[#This Row],[ReorderLevel]],"Reorder","Okay")</f>
        <v>Okay</v>
      </c>
    </row>
    <row r="2260" spans="1:15" x14ac:dyDescent="0.3">
      <c r="A2260">
        <v>83396</v>
      </c>
      <c r="B2260" t="s">
        <v>12</v>
      </c>
      <c r="C2260" t="s">
        <v>28</v>
      </c>
      <c r="D2260">
        <v>474</v>
      </c>
      <c r="E2260">
        <v>100</v>
      </c>
      <c r="F2260">
        <v>129.43</v>
      </c>
      <c r="G2260" t="s">
        <v>35</v>
      </c>
      <c r="H2260" s="1">
        <v>45322</v>
      </c>
      <c r="I2260" s="1">
        <v>45348</v>
      </c>
      <c r="J2260" t="s">
        <v>37</v>
      </c>
      <c r="K2260" t="b">
        <f>Table1[[#This Row],[CurrentStock]]&lt;Table1[[#This Row],[ReorderLevel]]</f>
        <v>0</v>
      </c>
      <c r="L2260" s="9">
        <f>Table1[[#This Row],[CurrentStock]]*Table1[[#This Row],[UnitPrice]]</f>
        <v>61349.82</v>
      </c>
      <c r="M2260" t="str">
        <f>IF(Table1[[#This Row],[ReorderLevel]]-Table1[[#This Row],[CurrentStock]]&gt;0,Table1[[#This Row],[ReorderLevel]]-Table1[[#This Row],[CurrentStock]],"")</f>
        <v/>
      </c>
      <c r="N2260" t="str">
        <f>IF(Table1[[#This Row],[CurrentStock]]&gt;Table1[[#This Row],[ReorderLevel]]*3,"Over Stock","Okay")</f>
        <v>Over Stock</v>
      </c>
      <c r="O2260" t="str">
        <f>IF(Table1[[#This Row],[CurrentStock]]&lt;Table1[[#This Row],[ReorderLevel]],"Reorder","Okay")</f>
        <v>Okay</v>
      </c>
    </row>
    <row r="2261" spans="1:15" x14ac:dyDescent="0.3">
      <c r="A2261">
        <v>15293</v>
      </c>
      <c r="B2261" t="s">
        <v>17</v>
      </c>
      <c r="C2261" t="s">
        <v>30</v>
      </c>
      <c r="D2261">
        <v>181</v>
      </c>
      <c r="E2261">
        <v>50</v>
      </c>
      <c r="F2261">
        <v>144.36000000000001</v>
      </c>
      <c r="G2261" t="s">
        <v>34</v>
      </c>
      <c r="H2261" s="1">
        <v>45547</v>
      </c>
      <c r="I2261" s="1">
        <v>45573</v>
      </c>
      <c r="J2261" t="s">
        <v>39</v>
      </c>
      <c r="K2261" t="b">
        <f>Table1[[#This Row],[CurrentStock]]&lt;Table1[[#This Row],[ReorderLevel]]</f>
        <v>0</v>
      </c>
      <c r="L2261" s="9">
        <f>Table1[[#This Row],[CurrentStock]]*Table1[[#This Row],[UnitPrice]]</f>
        <v>26129.160000000003</v>
      </c>
      <c r="M2261" t="str">
        <f>IF(Table1[[#This Row],[ReorderLevel]]-Table1[[#This Row],[CurrentStock]]&gt;0,Table1[[#This Row],[ReorderLevel]]-Table1[[#This Row],[CurrentStock]],"")</f>
        <v/>
      </c>
      <c r="N2261" t="str">
        <f>IF(Table1[[#This Row],[CurrentStock]]&gt;Table1[[#This Row],[ReorderLevel]]*3,"Over Stock","Okay")</f>
        <v>Over Stock</v>
      </c>
      <c r="O2261" t="str">
        <f>IF(Table1[[#This Row],[CurrentStock]]&lt;Table1[[#This Row],[ReorderLevel]],"Reorder","Okay")</f>
        <v>Okay</v>
      </c>
    </row>
    <row r="2262" spans="1:15" x14ac:dyDescent="0.3">
      <c r="A2262">
        <v>93127</v>
      </c>
      <c r="B2262" t="s">
        <v>17</v>
      </c>
      <c r="C2262" t="s">
        <v>30</v>
      </c>
      <c r="D2262">
        <v>59</v>
      </c>
      <c r="E2262">
        <v>40</v>
      </c>
      <c r="F2262">
        <v>434.71</v>
      </c>
      <c r="G2262" t="s">
        <v>35</v>
      </c>
      <c r="H2262" s="1">
        <v>45523</v>
      </c>
      <c r="I2262" s="1">
        <v>45540</v>
      </c>
      <c r="J2262" t="s">
        <v>39</v>
      </c>
      <c r="K2262" t="b">
        <f>Table1[[#This Row],[CurrentStock]]&lt;Table1[[#This Row],[ReorderLevel]]</f>
        <v>0</v>
      </c>
      <c r="L2262" s="9">
        <f>Table1[[#This Row],[CurrentStock]]*Table1[[#This Row],[UnitPrice]]</f>
        <v>25647.89</v>
      </c>
      <c r="M2262" t="str">
        <f>IF(Table1[[#This Row],[ReorderLevel]]-Table1[[#This Row],[CurrentStock]]&gt;0,Table1[[#This Row],[ReorderLevel]]-Table1[[#This Row],[CurrentStock]],"")</f>
        <v/>
      </c>
      <c r="N2262" t="str">
        <f>IF(Table1[[#This Row],[CurrentStock]]&gt;Table1[[#This Row],[ReorderLevel]]*3,"Over Stock","Okay")</f>
        <v>Okay</v>
      </c>
      <c r="O2262" t="str">
        <f>IF(Table1[[#This Row],[CurrentStock]]&lt;Table1[[#This Row],[ReorderLevel]],"Reorder","Okay")</f>
        <v>Okay</v>
      </c>
    </row>
    <row r="2263" spans="1:15" x14ac:dyDescent="0.3">
      <c r="A2263">
        <v>98672</v>
      </c>
      <c r="B2263" t="s">
        <v>19</v>
      </c>
      <c r="C2263" t="s">
        <v>28</v>
      </c>
      <c r="D2263">
        <v>12</v>
      </c>
      <c r="E2263">
        <v>30</v>
      </c>
      <c r="F2263">
        <v>355.54</v>
      </c>
      <c r="G2263" t="s">
        <v>33</v>
      </c>
      <c r="H2263" s="1">
        <v>45558</v>
      </c>
      <c r="I2263" s="1">
        <v>45575</v>
      </c>
      <c r="J2263" t="s">
        <v>37</v>
      </c>
      <c r="K2263" t="b">
        <f>Table1[[#This Row],[CurrentStock]]&lt;Table1[[#This Row],[ReorderLevel]]</f>
        <v>1</v>
      </c>
      <c r="L2263" s="9">
        <f>Table1[[#This Row],[CurrentStock]]*Table1[[#This Row],[UnitPrice]]</f>
        <v>4266.4800000000005</v>
      </c>
      <c r="M2263">
        <f>IF(Table1[[#This Row],[ReorderLevel]]-Table1[[#This Row],[CurrentStock]]&gt;0,Table1[[#This Row],[ReorderLevel]]-Table1[[#This Row],[CurrentStock]],"")</f>
        <v>18</v>
      </c>
      <c r="N2263" t="str">
        <f>IF(Table1[[#This Row],[CurrentStock]]&gt;Table1[[#This Row],[ReorderLevel]]*3,"Over Stock","Okay")</f>
        <v>Okay</v>
      </c>
      <c r="O2263" t="str">
        <f>IF(Table1[[#This Row],[CurrentStock]]&lt;Table1[[#This Row],[ReorderLevel]],"Reorder","Okay")</f>
        <v>Reorder</v>
      </c>
    </row>
    <row r="2264" spans="1:15" x14ac:dyDescent="0.3">
      <c r="A2264">
        <v>54016</v>
      </c>
      <c r="B2264" t="s">
        <v>19</v>
      </c>
      <c r="C2264" t="s">
        <v>28</v>
      </c>
      <c r="D2264">
        <v>26</v>
      </c>
      <c r="E2264">
        <v>50</v>
      </c>
      <c r="F2264">
        <v>365.64</v>
      </c>
      <c r="G2264" t="s">
        <v>34</v>
      </c>
      <c r="H2264" s="1">
        <v>45322</v>
      </c>
      <c r="I2264" s="1">
        <v>45332</v>
      </c>
      <c r="J2264" t="s">
        <v>39</v>
      </c>
      <c r="K2264" t="b">
        <f>Table1[[#This Row],[CurrentStock]]&lt;Table1[[#This Row],[ReorderLevel]]</f>
        <v>1</v>
      </c>
      <c r="L2264" s="9">
        <f>Table1[[#This Row],[CurrentStock]]*Table1[[#This Row],[UnitPrice]]</f>
        <v>9506.64</v>
      </c>
      <c r="M2264">
        <f>IF(Table1[[#This Row],[ReorderLevel]]-Table1[[#This Row],[CurrentStock]]&gt;0,Table1[[#This Row],[ReorderLevel]]-Table1[[#This Row],[CurrentStock]],"")</f>
        <v>24</v>
      </c>
      <c r="N2264" t="str">
        <f>IF(Table1[[#This Row],[CurrentStock]]&gt;Table1[[#This Row],[ReorderLevel]]*3,"Over Stock","Okay")</f>
        <v>Okay</v>
      </c>
      <c r="O2264" t="str">
        <f>IF(Table1[[#This Row],[CurrentStock]]&lt;Table1[[#This Row],[ReorderLevel]],"Reorder","Okay")</f>
        <v>Reorder</v>
      </c>
    </row>
    <row r="2265" spans="1:15" x14ac:dyDescent="0.3">
      <c r="A2265">
        <v>35515</v>
      </c>
      <c r="B2265" t="s">
        <v>10</v>
      </c>
      <c r="C2265" t="s">
        <v>27</v>
      </c>
      <c r="D2265">
        <v>301</v>
      </c>
      <c r="E2265">
        <v>40</v>
      </c>
      <c r="F2265">
        <v>36.659999999999997</v>
      </c>
      <c r="G2265" t="s">
        <v>35</v>
      </c>
      <c r="H2265" s="1">
        <v>45544</v>
      </c>
      <c r="I2265" s="1">
        <v>45549</v>
      </c>
      <c r="J2265" t="s">
        <v>37</v>
      </c>
      <c r="K2265" t="b">
        <f>Table1[[#This Row],[CurrentStock]]&lt;Table1[[#This Row],[ReorderLevel]]</f>
        <v>0</v>
      </c>
      <c r="L2265" s="9">
        <f>Table1[[#This Row],[CurrentStock]]*Table1[[#This Row],[UnitPrice]]</f>
        <v>11034.66</v>
      </c>
      <c r="M2265" t="str">
        <f>IF(Table1[[#This Row],[ReorderLevel]]-Table1[[#This Row],[CurrentStock]]&gt;0,Table1[[#This Row],[ReorderLevel]]-Table1[[#This Row],[CurrentStock]],"")</f>
        <v/>
      </c>
      <c r="N2265" t="str">
        <f>IF(Table1[[#This Row],[CurrentStock]]&gt;Table1[[#This Row],[ReorderLevel]]*3,"Over Stock","Okay")</f>
        <v>Over Stock</v>
      </c>
      <c r="O2265" t="str">
        <f>IF(Table1[[#This Row],[CurrentStock]]&lt;Table1[[#This Row],[ReorderLevel]],"Reorder","Okay")</f>
        <v>Okay</v>
      </c>
    </row>
    <row r="2266" spans="1:15" x14ac:dyDescent="0.3">
      <c r="A2266">
        <v>41212</v>
      </c>
      <c r="B2266" t="s">
        <v>16</v>
      </c>
      <c r="C2266" t="s">
        <v>30</v>
      </c>
      <c r="D2266">
        <v>113</v>
      </c>
      <c r="E2266">
        <v>20</v>
      </c>
      <c r="F2266">
        <v>229.93</v>
      </c>
      <c r="G2266" t="s">
        <v>32</v>
      </c>
      <c r="H2266" s="1">
        <v>45496</v>
      </c>
      <c r="I2266" s="1">
        <v>45524</v>
      </c>
      <c r="J2266" t="s">
        <v>39</v>
      </c>
      <c r="K2266" t="b">
        <f>Table1[[#This Row],[CurrentStock]]&lt;Table1[[#This Row],[ReorderLevel]]</f>
        <v>0</v>
      </c>
      <c r="L2266" s="9">
        <f>Table1[[#This Row],[CurrentStock]]*Table1[[#This Row],[UnitPrice]]</f>
        <v>25982.09</v>
      </c>
      <c r="M2266" t="str">
        <f>IF(Table1[[#This Row],[ReorderLevel]]-Table1[[#This Row],[CurrentStock]]&gt;0,Table1[[#This Row],[ReorderLevel]]-Table1[[#This Row],[CurrentStock]],"")</f>
        <v/>
      </c>
      <c r="N2266" t="str">
        <f>IF(Table1[[#This Row],[CurrentStock]]&gt;Table1[[#This Row],[ReorderLevel]]*3,"Over Stock","Okay")</f>
        <v>Over Stock</v>
      </c>
      <c r="O2266" t="str">
        <f>IF(Table1[[#This Row],[CurrentStock]]&lt;Table1[[#This Row],[ReorderLevel]],"Reorder","Okay")</f>
        <v>Okay</v>
      </c>
    </row>
    <row r="2267" spans="1:15" x14ac:dyDescent="0.3">
      <c r="A2267">
        <v>26585</v>
      </c>
      <c r="B2267" t="s">
        <v>21</v>
      </c>
      <c r="C2267" t="s">
        <v>31</v>
      </c>
      <c r="D2267">
        <v>102</v>
      </c>
      <c r="E2267">
        <v>50</v>
      </c>
      <c r="F2267">
        <v>342.94</v>
      </c>
      <c r="G2267" t="s">
        <v>33</v>
      </c>
      <c r="H2267" s="1">
        <v>45456</v>
      </c>
      <c r="I2267" s="1">
        <v>45480</v>
      </c>
      <c r="J2267" t="s">
        <v>37</v>
      </c>
      <c r="K2267" t="b">
        <f>Table1[[#This Row],[CurrentStock]]&lt;Table1[[#This Row],[ReorderLevel]]</f>
        <v>0</v>
      </c>
      <c r="L2267" s="9">
        <f>Table1[[#This Row],[CurrentStock]]*Table1[[#This Row],[UnitPrice]]</f>
        <v>34979.879999999997</v>
      </c>
      <c r="M2267" t="str">
        <f>IF(Table1[[#This Row],[ReorderLevel]]-Table1[[#This Row],[CurrentStock]]&gt;0,Table1[[#This Row],[ReorderLevel]]-Table1[[#This Row],[CurrentStock]],"")</f>
        <v/>
      </c>
      <c r="N2267" t="str">
        <f>IF(Table1[[#This Row],[CurrentStock]]&gt;Table1[[#This Row],[ReorderLevel]]*3,"Over Stock","Okay")</f>
        <v>Okay</v>
      </c>
      <c r="O2267" t="str">
        <f>IF(Table1[[#This Row],[CurrentStock]]&lt;Table1[[#This Row],[ReorderLevel]],"Reorder","Okay")</f>
        <v>Okay</v>
      </c>
    </row>
    <row r="2268" spans="1:15" x14ac:dyDescent="0.3">
      <c r="A2268">
        <v>97091</v>
      </c>
      <c r="B2268" t="s">
        <v>17</v>
      </c>
      <c r="C2268" t="s">
        <v>30</v>
      </c>
      <c r="D2268">
        <v>155</v>
      </c>
      <c r="E2268">
        <v>80</v>
      </c>
      <c r="F2268">
        <v>38.880000000000003</v>
      </c>
      <c r="G2268" t="s">
        <v>34</v>
      </c>
      <c r="H2268" s="1">
        <v>45479</v>
      </c>
      <c r="I2268" s="1">
        <v>45489</v>
      </c>
      <c r="J2268" t="s">
        <v>38</v>
      </c>
      <c r="K2268" t="b">
        <f>Table1[[#This Row],[CurrentStock]]&lt;Table1[[#This Row],[ReorderLevel]]</f>
        <v>0</v>
      </c>
      <c r="L2268" s="9">
        <f>Table1[[#This Row],[CurrentStock]]*Table1[[#This Row],[UnitPrice]]</f>
        <v>6026.4000000000005</v>
      </c>
      <c r="M2268" t="str">
        <f>IF(Table1[[#This Row],[ReorderLevel]]-Table1[[#This Row],[CurrentStock]]&gt;0,Table1[[#This Row],[ReorderLevel]]-Table1[[#This Row],[CurrentStock]],"")</f>
        <v/>
      </c>
      <c r="N2268" t="str">
        <f>IF(Table1[[#This Row],[CurrentStock]]&gt;Table1[[#This Row],[ReorderLevel]]*3,"Over Stock","Okay")</f>
        <v>Okay</v>
      </c>
      <c r="O2268" t="str">
        <f>IF(Table1[[#This Row],[CurrentStock]]&lt;Table1[[#This Row],[ReorderLevel]],"Reorder","Okay")</f>
        <v>Okay</v>
      </c>
    </row>
    <row r="2269" spans="1:15" x14ac:dyDescent="0.3">
      <c r="A2269">
        <v>37946</v>
      </c>
      <c r="B2269" t="s">
        <v>15</v>
      </c>
      <c r="C2269" t="s">
        <v>29</v>
      </c>
      <c r="D2269">
        <v>480</v>
      </c>
      <c r="E2269">
        <v>30</v>
      </c>
      <c r="F2269">
        <v>306.89</v>
      </c>
      <c r="G2269" t="s">
        <v>33</v>
      </c>
      <c r="H2269" s="1">
        <v>45391</v>
      </c>
      <c r="I2269" s="1">
        <v>45400</v>
      </c>
      <c r="J2269" t="s">
        <v>37</v>
      </c>
      <c r="K2269" t="b">
        <f>Table1[[#This Row],[CurrentStock]]&lt;Table1[[#This Row],[ReorderLevel]]</f>
        <v>0</v>
      </c>
      <c r="L2269" s="9">
        <f>Table1[[#This Row],[CurrentStock]]*Table1[[#This Row],[UnitPrice]]</f>
        <v>147307.19999999998</v>
      </c>
      <c r="M2269" t="str">
        <f>IF(Table1[[#This Row],[ReorderLevel]]-Table1[[#This Row],[CurrentStock]]&gt;0,Table1[[#This Row],[ReorderLevel]]-Table1[[#This Row],[CurrentStock]],"")</f>
        <v/>
      </c>
      <c r="N2269" t="str">
        <f>IF(Table1[[#This Row],[CurrentStock]]&gt;Table1[[#This Row],[ReorderLevel]]*3,"Over Stock","Okay")</f>
        <v>Over Stock</v>
      </c>
      <c r="O2269" t="str">
        <f>IF(Table1[[#This Row],[CurrentStock]]&lt;Table1[[#This Row],[ReorderLevel]],"Reorder","Okay")</f>
        <v>Okay</v>
      </c>
    </row>
    <row r="2270" spans="1:15" x14ac:dyDescent="0.3">
      <c r="A2270">
        <v>34935</v>
      </c>
      <c r="B2270" t="s">
        <v>21</v>
      </c>
      <c r="C2270" t="s">
        <v>31</v>
      </c>
      <c r="D2270">
        <v>115</v>
      </c>
      <c r="E2270">
        <v>100</v>
      </c>
      <c r="F2270">
        <v>338.56</v>
      </c>
      <c r="G2270" t="s">
        <v>36</v>
      </c>
      <c r="H2270" s="1">
        <v>45351</v>
      </c>
      <c r="I2270" s="1">
        <v>45358</v>
      </c>
      <c r="J2270" t="s">
        <v>39</v>
      </c>
      <c r="K2270" t="b">
        <f>Table1[[#This Row],[CurrentStock]]&lt;Table1[[#This Row],[ReorderLevel]]</f>
        <v>0</v>
      </c>
      <c r="L2270" s="9">
        <f>Table1[[#This Row],[CurrentStock]]*Table1[[#This Row],[UnitPrice]]</f>
        <v>38934.400000000001</v>
      </c>
      <c r="M2270" t="str">
        <f>IF(Table1[[#This Row],[ReorderLevel]]-Table1[[#This Row],[CurrentStock]]&gt;0,Table1[[#This Row],[ReorderLevel]]-Table1[[#This Row],[CurrentStock]],"")</f>
        <v/>
      </c>
      <c r="N2270" t="str">
        <f>IF(Table1[[#This Row],[CurrentStock]]&gt;Table1[[#This Row],[ReorderLevel]]*3,"Over Stock","Okay")</f>
        <v>Okay</v>
      </c>
      <c r="O2270" t="str">
        <f>IF(Table1[[#This Row],[CurrentStock]]&lt;Table1[[#This Row],[ReorderLevel]],"Reorder","Okay")</f>
        <v>Okay</v>
      </c>
    </row>
    <row r="2271" spans="1:15" x14ac:dyDescent="0.3">
      <c r="A2271">
        <v>44062</v>
      </c>
      <c r="B2271" t="s">
        <v>14</v>
      </c>
      <c r="C2271" t="s">
        <v>27</v>
      </c>
      <c r="D2271">
        <v>230</v>
      </c>
      <c r="E2271">
        <v>40</v>
      </c>
      <c r="F2271">
        <v>438.01</v>
      </c>
      <c r="G2271" t="s">
        <v>32</v>
      </c>
      <c r="H2271" s="1">
        <v>45491</v>
      </c>
      <c r="I2271" s="1">
        <v>45507</v>
      </c>
      <c r="J2271" t="s">
        <v>38</v>
      </c>
      <c r="K2271" t="b">
        <f>Table1[[#This Row],[CurrentStock]]&lt;Table1[[#This Row],[ReorderLevel]]</f>
        <v>0</v>
      </c>
      <c r="L2271" s="9">
        <f>Table1[[#This Row],[CurrentStock]]*Table1[[#This Row],[UnitPrice]]</f>
        <v>100742.3</v>
      </c>
      <c r="M2271" t="str">
        <f>IF(Table1[[#This Row],[ReorderLevel]]-Table1[[#This Row],[CurrentStock]]&gt;0,Table1[[#This Row],[ReorderLevel]]-Table1[[#This Row],[CurrentStock]],"")</f>
        <v/>
      </c>
      <c r="N2271" t="str">
        <f>IF(Table1[[#This Row],[CurrentStock]]&gt;Table1[[#This Row],[ReorderLevel]]*3,"Over Stock","Okay")</f>
        <v>Over Stock</v>
      </c>
      <c r="O2271" t="str">
        <f>IF(Table1[[#This Row],[CurrentStock]]&lt;Table1[[#This Row],[ReorderLevel]],"Reorder","Okay")</f>
        <v>Okay</v>
      </c>
    </row>
    <row r="2272" spans="1:15" x14ac:dyDescent="0.3">
      <c r="A2272">
        <v>48585</v>
      </c>
      <c r="B2272" t="s">
        <v>22</v>
      </c>
      <c r="C2272" t="s">
        <v>27</v>
      </c>
      <c r="D2272">
        <v>231</v>
      </c>
      <c r="E2272">
        <v>150</v>
      </c>
      <c r="F2272">
        <v>146.06</v>
      </c>
      <c r="G2272" t="s">
        <v>32</v>
      </c>
      <c r="H2272" s="1">
        <v>45379</v>
      </c>
      <c r="I2272" s="1">
        <v>45389</v>
      </c>
      <c r="J2272" t="s">
        <v>38</v>
      </c>
      <c r="K2272" t="b">
        <f>Table1[[#This Row],[CurrentStock]]&lt;Table1[[#This Row],[ReorderLevel]]</f>
        <v>0</v>
      </c>
      <c r="L2272" s="9">
        <f>Table1[[#This Row],[CurrentStock]]*Table1[[#This Row],[UnitPrice]]</f>
        <v>33739.86</v>
      </c>
      <c r="M2272" t="str">
        <f>IF(Table1[[#This Row],[ReorderLevel]]-Table1[[#This Row],[CurrentStock]]&gt;0,Table1[[#This Row],[ReorderLevel]]-Table1[[#This Row],[CurrentStock]],"")</f>
        <v/>
      </c>
      <c r="N2272" t="str">
        <f>IF(Table1[[#This Row],[CurrentStock]]&gt;Table1[[#This Row],[ReorderLevel]]*3,"Over Stock","Okay")</f>
        <v>Okay</v>
      </c>
      <c r="O2272" t="str">
        <f>IF(Table1[[#This Row],[CurrentStock]]&lt;Table1[[#This Row],[ReorderLevel]],"Reorder","Okay")</f>
        <v>Okay</v>
      </c>
    </row>
    <row r="2273" spans="1:15" x14ac:dyDescent="0.3">
      <c r="A2273">
        <v>30828</v>
      </c>
      <c r="B2273" t="s">
        <v>20</v>
      </c>
      <c r="C2273" t="s">
        <v>29</v>
      </c>
      <c r="D2273">
        <v>373</v>
      </c>
      <c r="E2273">
        <v>40</v>
      </c>
      <c r="F2273">
        <v>215.07</v>
      </c>
      <c r="G2273" t="s">
        <v>34</v>
      </c>
      <c r="H2273" s="1">
        <v>45509</v>
      </c>
      <c r="I2273" s="1">
        <v>45524</v>
      </c>
      <c r="J2273" t="s">
        <v>39</v>
      </c>
      <c r="K2273" t="b">
        <f>Table1[[#This Row],[CurrentStock]]&lt;Table1[[#This Row],[ReorderLevel]]</f>
        <v>0</v>
      </c>
      <c r="L2273" s="9">
        <f>Table1[[#This Row],[CurrentStock]]*Table1[[#This Row],[UnitPrice]]</f>
        <v>80221.11</v>
      </c>
      <c r="M2273" t="str">
        <f>IF(Table1[[#This Row],[ReorderLevel]]-Table1[[#This Row],[CurrentStock]]&gt;0,Table1[[#This Row],[ReorderLevel]]-Table1[[#This Row],[CurrentStock]],"")</f>
        <v/>
      </c>
      <c r="N2273" t="str">
        <f>IF(Table1[[#This Row],[CurrentStock]]&gt;Table1[[#This Row],[ReorderLevel]]*3,"Over Stock","Okay")</f>
        <v>Over Stock</v>
      </c>
      <c r="O2273" t="str">
        <f>IF(Table1[[#This Row],[CurrentStock]]&lt;Table1[[#This Row],[ReorderLevel]],"Reorder","Okay")</f>
        <v>Okay</v>
      </c>
    </row>
    <row r="2274" spans="1:15" x14ac:dyDescent="0.3">
      <c r="A2274">
        <v>73828</v>
      </c>
      <c r="B2274" t="s">
        <v>25</v>
      </c>
      <c r="C2274" t="s">
        <v>31</v>
      </c>
      <c r="D2274">
        <v>369</v>
      </c>
      <c r="E2274">
        <v>100</v>
      </c>
      <c r="F2274">
        <v>257.64</v>
      </c>
      <c r="G2274" t="s">
        <v>33</v>
      </c>
      <c r="H2274" s="1">
        <v>45303</v>
      </c>
      <c r="I2274" s="1">
        <v>45330</v>
      </c>
      <c r="J2274" t="s">
        <v>37</v>
      </c>
      <c r="K2274" t="b">
        <f>Table1[[#This Row],[CurrentStock]]&lt;Table1[[#This Row],[ReorderLevel]]</f>
        <v>0</v>
      </c>
      <c r="L2274" s="9">
        <f>Table1[[#This Row],[CurrentStock]]*Table1[[#This Row],[UnitPrice]]</f>
        <v>95069.159999999989</v>
      </c>
      <c r="M2274" t="str">
        <f>IF(Table1[[#This Row],[ReorderLevel]]-Table1[[#This Row],[CurrentStock]]&gt;0,Table1[[#This Row],[ReorderLevel]]-Table1[[#This Row],[CurrentStock]],"")</f>
        <v/>
      </c>
      <c r="N2274" t="str">
        <f>IF(Table1[[#This Row],[CurrentStock]]&gt;Table1[[#This Row],[ReorderLevel]]*3,"Over Stock","Okay")</f>
        <v>Over Stock</v>
      </c>
      <c r="O2274" t="str">
        <f>IF(Table1[[#This Row],[CurrentStock]]&lt;Table1[[#This Row],[ReorderLevel]],"Reorder","Okay")</f>
        <v>Okay</v>
      </c>
    </row>
    <row r="2275" spans="1:15" x14ac:dyDescent="0.3">
      <c r="A2275">
        <v>31773</v>
      </c>
      <c r="B2275" t="s">
        <v>18</v>
      </c>
      <c r="C2275" t="s">
        <v>28</v>
      </c>
      <c r="D2275">
        <v>425</v>
      </c>
      <c r="E2275">
        <v>80</v>
      </c>
      <c r="F2275">
        <v>326.99</v>
      </c>
      <c r="G2275" t="s">
        <v>33</v>
      </c>
      <c r="H2275" s="1">
        <v>45632</v>
      </c>
      <c r="I2275" s="1">
        <v>45644</v>
      </c>
      <c r="J2275" t="s">
        <v>38</v>
      </c>
      <c r="K2275" t="b">
        <f>Table1[[#This Row],[CurrentStock]]&lt;Table1[[#This Row],[ReorderLevel]]</f>
        <v>0</v>
      </c>
      <c r="L2275" s="9">
        <f>Table1[[#This Row],[CurrentStock]]*Table1[[#This Row],[UnitPrice]]</f>
        <v>138970.75</v>
      </c>
      <c r="M2275" t="str">
        <f>IF(Table1[[#This Row],[ReorderLevel]]-Table1[[#This Row],[CurrentStock]]&gt;0,Table1[[#This Row],[ReorderLevel]]-Table1[[#This Row],[CurrentStock]],"")</f>
        <v/>
      </c>
      <c r="N2275" t="str">
        <f>IF(Table1[[#This Row],[CurrentStock]]&gt;Table1[[#This Row],[ReorderLevel]]*3,"Over Stock","Okay")</f>
        <v>Over Stock</v>
      </c>
      <c r="O2275" t="str">
        <f>IF(Table1[[#This Row],[CurrentStock]]&lt;Table1[[#This Row],[ReorderLevel]],"Reorder","Okay")</f>
        <v>Okay</v>
      </c>
    </row>
    <row r="2276" spans="1:15" x14ac:dyDescent="0.3">
      <c r="A2276">
        <v>79086</v>
      </c>
      <c r="B2276" t="s">
        <v>25</v>
      </c>
      <c r="C2276" t="s">
        <v>31</v>
      </c>
      <c r="D2276">
        <v>74</v>
      </c>
      <c r="E2276">
        <v>100</v>
      </c>
      <c r="F2276">
        <v>307.95999999999998</v>
      </c>
      <c r="G2276" t="s">
        <v>34</v>
      </c>
      <c r="H2276" s="1">
        <v>45465</v>
      </c>
      <c r="I2276" s="1">
        <v>45473</v>
      </c>
      <c r="J2276" t="s">
        <v>38</v>
      </c>
      <c r="K2276" t="b">
        <f>Table1[[#This Row],[CurrentStock]]&lt;Table1[[#This Row],[ReorderLevel]]</f>
        <v>1</v>
      </c>
      <c r="L2276" s="9">
        <f>Table1[[#This Row],[CurrentStock]]*Table1[[#This Row],[UnitPrice]]</f>
        <v>22789.039999999997</v>
      </c>
      <c r="M2276">
        <f>IF(Table1[[#This Row],[ReorderLevel]]-Table1[[#This Row],[CurrentStock]]&gt;0,Table1[[#This Row],[ReorderLevel]]-Table1[[#This Row],[CurrentStock]],"")</f>
        <v>26</v>
      </c>
      <c r="N2276" t="str">
        <f>IF(Table1[[#This Row],[CurrentStock]]&gt;Table1[[#This Row],[ReorderLevel]]*3,"Over Stock","Okay")</f>
        <v>Okay</v>
      </c>
      <c r="O2276" t="str">
        <f>IF(Table1[[#This Row],[CurrentStock]]&lt;Table1[[#This Row],[ReorderLevel]],"Reorder","Okay")</f>
        <v>Reorder</v>
      </c>
    </row>
    <row r="2277" spans="1:15" x14ac:dyDescent="0.3">
      <c r="A2277">
        <v>99262</v>
      </c>
      <c r="B2277" t="s">
        <v>24</v>
      </c>
      <c r="C2277" t="s">
        <v>31</v>
      </c>
      <c r="D2277">
        <v>491</v>
      </c>
      <c r="E2277">
        <v>30</v>
      </c>
      <c r="F2277">
        <v>62.65</v>
      </c>
      <c r="G2277" t="s">
        <v>32</v>
      </c>
      <c r="H2277" s="1">
        <v>45409</v>
      </c>
      <c r="I2277" s="1">
        <v>45431</v>
      </c>
      <c r="J2277" t="s">
        <v>38</v>
      </c>
      <c r="K2277" t="b">
        <f>Table1[[#This Row],[CurrentStock]]&lt;Table1[[#This Row],[ReorderLevel]]</f>
        <v>0</v>
      </c>
      <c r="L2277" s="9">
        <f>Table1[[#This Row],[CurrentStock]]*Table1[[#This Row],[UnitPrice]]</f>
        <v>30761.149999999998</v>
      </c>
      <c r="M2277" t="str">
        <f>IF(Table1[[#This Row],[ReorderLevel]]-Table1[[#This Row],[CurrentStock]]&gt;0,Table1[[#This Row],[ReorderLevel]]-Table1[[#This Row],[CurrentStock]],"")</f>
        <v/>
      </c>
      <c r="N2277" t="str">
        <f>IF(Table1[[#This Row],[CurrentStock]]&gt;Table1[[#This Row],[ReorderLevel]]*3,"Over Stock","Okay")</f>
        <v>Over Stock</v>
      </c>
      <c r="O2277" t="str">
        <f>IF(Table1[[#This Row],[CurrentStock]]&lt;Table1[[#This Row],[ReorderLevel]],"Reorder","Okay")</f>
        <v>Okay</v>
      </c>
    </row>
    <row r="2278" spans="1:15" x14ac:dyDescent="0.3">
      <c r="A2278">
        <v>72395</v>
      </c>
      <c r="B2278" t="s">
        <v>12</v>
      </c>
      <c r="C2278" t="s">
        <v>28</v>
      </c>
      <c r="D2278">
        <v>12</v>
      </c>
      <c r="E2278">
        <v>150</v>
      </c>
      <c r="F2278">
        <v>23.46</v>
      </c>
      <c r="G2278" t="s">
        <v>34</v>
      </c>
      <c r="H2278" s="1">
        <v>45400</v>
      </c>
      <c r="I2278" s="1">
        <v>45408</v>
      </c>
      <c r="J2278" t="s">
        <v>38</v>
      </c>
      <c r="K2278" t="b">
        <f>Table1[[#This Row],[CurrentStock]]&lt;Table1[[#This Row],[ReorderLevel]]</f>
        <v>1</v>
      </c>
      <c r="L2278" s="9">
        <f>Table1[[#This Row],[CurrentStock]]*Table1[[#This Row],[UnitPrice]]</f>
        <v>281.52</v>
      </c>
      <c r="M2278">
        <f>IF(Table1[[#This Row],[ReorderLevel]]-Table1[[#This Row],[CurrentStock]]&gt;0,Table1[[#This Row],[ReorderLevel]]-Table1[[#This Row],[CurrentStock]],"")</f>
        <v>138</v>
      </c>
      <c r="N2278" t="str">
        <f>IF(Table1[[#This Row],[CurrentStock]]&gt;Table1[[#This Row],[ReorderLevel]]*3,"Over Stock","Okay")</f>
        <v>Okay</v>
      </c>
      <c r="O2278" t="str">
        <f>IF(Table1[[#This Row],[CurrentStock]]&lt;Table1[[#This Row],[ReorderLevel]],"Reorder","Okay")</f>
        <v>Reorder</v>
      </c>
    </row>
    <row r="2279" spans="1:15" x14ac:dyDescent="0.3">
      <c r="A2279">
        <v>22003</v>
      </c>
      <c r="B2279" t="s">
        <v>23</v>
      </c>
      <c r="C2279" t="s">
        <v>30</v>
      </c>
      <c r="D2279">
        <v>43</v>
      </c>
      <c r="E2279">
        <v>100</v>
      </c>
      <c r="F2279">
        <v>471.09</v>
      </c>
      <c r="G2279" t="s">
        <v>36</v>
      </c>
      <c r="H2279" s="1">
        <v>45403</v>
      </c>
      <c r="I2279" s="1">
        <v>45438</v>
      </c>
      <c r="J2279" t="s">
        <v>37</v>
      </c>
      <c r="K2279" t="b">
        <f>Table1[[#This Row],[CurrentStock]]&lt;Table1[[#This Row],[ReorderLevel]]</f>
        <v>1</v>
      </c>
      <c r="L2279" s="9">
        <f>Table1[[#This Row],[CurrentStock]]*Table1[[#This Row],[UnitPrice]]</f>
        <v>20256.87</v>
      </c>
      <c r="M2279">
        <f>IF(Table1[[#This Row],[ReorderLevel]]-Table1[[#This Row],[CurrentStock]]&gt;0,Table1[[#This Row],[ReorderLevel]]-Table1[[#This Row],[CurrentStock]],"")</f>
        <v>57</v>
      </c>
      <c r="N2279" t="str">
        <f>IF(Table1[[#This Row],[CurrentStock]]&gt;Table1[[#This Row],[ReorderLevel]]*3,"Over Stock","Okay")</f>
        <v>Okay</v>
      </c>
      <c r="O2279" t="str">
        <f>IF(Table1[[#This Row],[CurrentStock]]&lt;Table1[[#This Row],[ReorderLevel]],"Reorder","Okay")</f>
        <v>Reorder</v>
      </c>
    </row>
    <row r="2280" spans="1:15" x14ac:dyDescent="0.3">
      <c r="A2280">
        <v>32098</v>
      </c>
      <c r="B2280" t="s">
        <v>15</v>
      </c>
      <c r="C2280" t="s">
        <v>29</v>
      </c>
      <c r="D2280">
        <v>265</v>
      </c>
      <c r="E2280">
        <v>20</v>
      </c>
      <c r="F2280">
        <v>291.06</v>
      </c>
      <c r="G2280" t="s">
        <v>34</v>
      </c>
      <c r="H2280" s="1">
        <v>45449</v>
      </c>
      <c r="I2280" s="1">
        <v>45460</v>
      </c>
      <c r="J2280" t="s">
        <v>39</v>
      </c>
      <c r="K2280" t="b">
        <f>Table1[[#This Row],[CurrentStock]]&lt;Table1[[#This Row],[ReorderLevel]]</f>
        <v>0</v>
      </c>
      <c r="L2280" s="9">
        <f>Table1[[#This Row],[CurrentStock]]*Table1[[#This Row],[UnitPrice]]</f>
        <v>77130.899999999994</v>
      </c>
      <c r="M2280" t="str">
        <f>IF(Table1[[#This Row],[ReorderLevel]]-Table1[[#This Row],[CurrentStock]]&gt;0,Table1[[#This Row],[ReorderLevel]]-Table1[[#This Row],[CurrentStock]],"")</f>
        <v/>
      </c>
      <c r="N2280" t="str">
        <f>IF(Table1[[#This Row],[CurrentStock]]&gt;Table1[[#This Row],[ReorderLevel]]*3,"Over Stock","Okay")</f>
        <v>Over Stock</v>
      </c>
      <c r="O2280" t="str">
        <f>IF(Table1[[#This Row],[CurrentStock]]&lt;Table1[[#This Row],[ReorderLevel]],"Reorder","Okay")</f>
        <v>Okay</v>
      </c>
    </row>
    <row r="2281" spans="1:15" x14ac:dyDescent="0.3">
      <c r="A2281">
        <v>69261</v>
      </c>
      <c r="B2281" t="s">
        <v>16</v>
      </c>
      <c r="C2281" t="s">
        <v>30</v>
      </c>
      <c r="D2281">
        <v>41</v>
      </c>
      <c r="E2281">
        <v>20</v>
      </c>
      <c r="F2281">
        <v>167.03</v>
      </c>
      <c r="G2281" t="s">
        <v>36</v>
      </c>
      <c r="H2281" s="1">
        <v>45577</v>
      </c>
      <c r="I2281" s="1">
        <v>45601</v>
      </c>
      <c r="J2281" t="s">
        <v>39</v>
      </c>
      <c r="K2281" t="b">
        <f>Table1[[#This Row],[CurrentStock]]&lt;Table1[[#This Row],[ReorderLevel]]</f>
        <v>0</v>
      </c>
      <c r="L2281" s="9">
        <f>Table1[[#This Row],[CurrentStock]]*Table1[[#This Row],[UnitPrice]]</f>
        <v>6848.2300000000005</v>
      </c>
      <c r="M2281" t="str">
        <f>IF(Table1[[#This Row],[ReorderLevel]]-Table1[[#This Row],[CurrentStock]]&gt;0,Table1[[#This Row],[ReorderLevel]]-Table1[[#This Row],[CurrentStock]],"")</f>
        <v/>
      </c>
      <c r="N2281" t="str">
        <f>IF(Table1[[#This Row],[CurrentStock]]&gt;Table1[[#This Row],[ReorderLevel]]*3,"Over Stock","Okay")</f>
        <v>Okay</v>
      </c>
      <c r="O2281" t="str">
        <f>IF(Table1[[#This Row],[CurrentStock]]&lt;Table1[[#This Row],[ReorderLevel]],"Reorder","Okay")</f>
        <v>Okay</v>
      </c>
    </row>
    <row r="2282" spans="1:15" x14ac:dyDescent="0.3">
      <c r="A2282">
        <v>77561</v>
      </c>
      <c r="B2282" t="s">
        <v>19</v>
      </c>
      <c r="C2282" t="s">
        <v>28</v>
      </c>
      <c r="D2282">
        <v>260</v>
      </c>
      <c r="E2282">
        <v>30</v>
      </c>
      <c r="F2282">
        <v>50.25</v>
      </c>
      <c r="G2282" t="s">
        <v>36</v>
      </c>
      <c r="H2282" s="1">
        <v>45531</v>
      </c>
      <c r="I2282" s="1">
        <v>45562</v>
      </c>
      <c r="J2282" t="s">
        <v>38</v>
      </c>
      <c r="K2282" t="b">
        <f>Table1[[#This Row],[CurrentStock]]&lt;Table1[[#This Row],[ReorderLevel]]</f>
        <v>0</v>
      </c>
      <c r="L2282" s="9">
        <f>Table1[[#This Row],[CurrentStock]]*Table1[[#This Row],[UnitPrice]]</f>
        <v>13065</v>
      </c>
      <c r="M2282" t="str">
        <f>IF(Table1[[#This Row],[ReorderLevel]]-Table1[[#This Row],[CurrentStock]]&gt;0,Table1[[#This Row],[ReorderLevel]]-Table1[[#This Row],[CurrentStock]],"")</f>
        <v/>
      </c>
      <c r="N2282" t="str">
        <f>IF(Table1[[#This Row],[CurrentStock]]&gt;Table1[[#This Row],[ReorderLevel]]*3,"Over Stock","Okay")</f>
        <v>Over Stock</v>
      </c>
      <c r="O2282" t="str">
        <f>IF(Table1[[#This Row],[CurrentStock]]&lt;Table1[[#This Row],[ReorderLevel]],"Reorder","Okay")</f>
        <v>Okay</v>
      </c>
    </row>
    <row r="2283" spans="1:15" x14ac:dyDescent="0.3">
      <c r="A2283">
        <v>30221</v>
      </c>
      <c r="B2283" t="s">
        <v>16</v>
      </c>
      <c r="C2283" t="s">
        <v>30</v>
      </c>
      <c r="D2283">
        <v>50</v>
      </c>
      <c r="E2283">
        <v>30</v>
      </c>
      <c r="F2283">
        <v>321.68</v>
      </c>
      <c r="G2283" t="s">
        <v>34</v>
      </c>
      <c r="H2283" s="1">
        <v>45492</v>
      </c>
      <c r="I2283" s="1">
        <v>45507</v>
      </c>
      <c r="J2283" t="s">
        <v>39</v>
      </c>
      <c r="K2283" t="b">
        <f>Table1[[#This Row],[CurrentStock]]&lt;Table1[[#This Row],[ReorderLevel]]</f>
        <v>0</v>
      </c>
      <c r="L2283" s="9">
        <f>Table1[[#This Row],[CurrentStock]]*Table1[[#This Row],[UnitPrice]]</f>
        <v>16084</v>
      </c>
      <c r="M2283" t="str">
        <f>IF(Table1[[#This Row],[ReorderLevel]]-Table1[[#This Row],[CurrentStock]]&gt;0,Table1[[#This Row],[ReorderLevel]]-Table1[[#This Row],[CurrentStock]],"")</f>
        <v/>
      </c>
      <c r="N2283" t="str">
        <f>IF(Table1[[#This Row],[CurrentStock]]&gt;Table1[[#This Row],[ReorderLevel]]*3,"Over Stock","Okay")</f>
        <v>Okay</v>
      </c>
      <c r="O2283" t="str">
        <f>IF(Table1[[#This Row],[CurrentStock]]&lt;Table1[[#This Row],[ReorderLevel]],"Reorder","Okay")</f>
        <v>Okay</v>
      </c>
    </row>
    <row r="2284" spans="1:15" x14ac:dyDescent="0.3">
      <c r="A2284">
        <v>41232</v>
      </c>
      <c r="B2284" t="s">
        <v>25</v>
      </c>
      <c r="C2284" t="s">
        <v>31</v>
      </c>
      <c r="D2284">
        <v>460</v>
      </c>
      <c r="E2284">
        <v>40</v>
      </c>
      <c r="F2284">
        <v>56.65</v>
      </c>
      <c r="G2284" t="s">
        <v>33</v>
      </c>
      <c r="H2284" s="1">
        <v>45397</v>
      </c>
      <c r="I2284" s="1">
        <v>45416</v>
      </c>
      <c r="J2284" t="s">
        <v>38</v>
      </c>
      <c r="K2284" t="b">
        <f>Table1[[#This Row],[CurrentStock]]&lt;Table1[[#This Row],[ReorderLevel]]</f>
        <v>0</v>
      </c>
      <c r="L2284" s="9">
        <f>Table1[[#This Row],[CurrentStock]]*Table1[[#This Row],[UnitPrice]]</f>
        <v>26059</v>
      </c>
      <c r="M2284" t="str">
        <f>IF(Table1[[#This Row],[ReorderLevel]]-Table1[[#This Row],[CurrentStock]]&gt;0,Table1[[#This Row],[ReorderLevel]]-Table1[[#This Row],[CurrentStock]],"")</f>
        <v/>
      </c>
      <c r="N2284" t="str">
        <f>IF(Table1[[#This Row],[CurrentStock]]&gt;Table1[[#This Row],[ReorderLevel]]*3,"Over Stock","Okay")</f>
        <v>Over Stock</v>
      </c>
      <c r="O2284" t="str">
        <f>IF(Table1[[#This Row],[CurrentStock]]&lt;Table1[[#This Row],[ReorderLevel]],"Reorder","Okay")</f>
        <v>Okay</v>
      </c>
    </row>
    <row r="2285" spans="1:15" x14ac:dyDescent="0.3">
      <c r="A2285">
        <v>99257</v>
      </c>
      <c r="B2285" t="s">
        <v>15</v>
      </c>
      <c r="C2285" t="s">
        <v>29</v>
      </c>
      <c r="D2285">
        <v>385</v>
      </c>
      <c r="E2285">
        <v>80</v>
      </c>
      <c r="F2285">
        <v>165.69</v>
      </c>
      <c r="G2285" t="s">
        <v>35</v>
      </c>
      <c r="H2285" s="1">
        <v>45585</v>
      </c>
      <c r="I2285" s="1">
        <v>45622</v>
      </c>
      <c r="J2285" t="s">
        <v>38</v>
      </c>
      <c r="K2285" t="b">
        <f>Table1[[#This Row],[CurrentStock]]&lt;Table1[[#This Row],[ReorderLevel]]</f>
        <v>0</v>
      </c>
      <c r="L2285" s="9">
        <f>Table1[[#This Row],[CurrentStock]]*Table1[[#This Row],[UnitPrice]]</f>
        <v>63790.65</v>
      </c>
      <c r="M2285" t="str">
        <f>IF(Table1[[#This Row],[ReorderLevel]]-Table1[[#This Row],[CurrentStock]]&gt;0,Table1[[#This Row],[ReorderLevel]]-Table1[[#This Row],[CurrentStock]],"")</f>
        <v/>
      </c>
      <c r="N2285" t="str">
        <f>IF(Table1[[#This Row],[CurrentStock]]&gt;Table1[[#This Row],[ReorderLevel]]*3,"Over Stock","Okay")</f>
        <v>Over Stock</v>
      </c>
      <c r="O2285" t="str">
        <f>IF(Table1[[#This Row],[CurrentStock]]&lt;Table1[[#This Row],[ReorderLevel]],"Reorder","Okay")</f>
        <v>Okay</v>
      </c>
    </row>
    <row r="2286" spans="1:15" x14ac:dyDescent="0.3">
      <c r="A2286">
        <v>21439</v>
      </c>
      <c r="B2286" t="s">
        <v>12</v>
      </c>
      <c r="C2286" t="s">
        <v>28</v>
      </c>
      <c r="D2286">
        <v>138</v>
      </c>
      <c r="E2286">
        <v>100</v>
      </c>
      <c r="F2286">
        <v>363.57</v>
      </c>
      <c r="G2286" t="s">
        <v>33</v>
      </c>
      <c r="H2286" s="1">
        <v>45348</v>
      </c>
      <c r="I2286" s="1">
        <v>45374</v>
      </c>
      <c r="J2286" t="s">
        <v>37</v>
      </c>
      <c r="K2286" t="b">
        <f>Table1[[#This Row],[CurrentStock]]&lt;Table1[[#This Row],[ReorderLevel]]</f>
        <v>0</v>
      </c>
      <c r="L2286" s="9">
        <f>Table1[[#This Row],[CurrentStock]]*Table1[[#This Row],[UnitPrice]]</f>
        <v>50172.659999999996</v>
      </c>
      <c r="M2286" t="str">
        <f>IF(Table1[[#This Row],[ReorderLevel]]-Table1[[#This Row],[CurrentStock]]&gt;0,Table1[[#This Row],[ReorderLevel]]-Table1[[#This Row],[CurrentStock]],"")</f>
        <v/>
      </c>
      <c r="N2286" t="str">
        <f>IF(Table1[[#This Row],[CurrentStock]]&gt;Table1[[#This Row],[ReorderLevel]]*3,"Over Stock","Okay")</f>
        <v>Okay</v>
      </c>
      <c r="O2286" t="str">
        <f>IF(Table1[[#This Row],[CurrentStock]]&lt;Table1[[#This Row],[ReorderLevel]],"Reorder","Okay")</f>
        <v>Okay</v>
      </c>
    </row>
    <row r="2287" spans="1:15" x14ac:dyDescent="0.3">
      <c r="A2287">
        <v>72134</v>
      </c>
      <c r="B2287" t="s">
        <v>18</v>
      </c>
      <c r="C2287" t="s">
        <v>28</v>
      </c>
      <c r="D2287">
        <v>225</v>
      </c>
      <c r="E2287">
        <v>40</v>
      </c>
      <c r="F2287">
        <v>235.82</v>
      </c>
      <c r="G2287" t="s">
        <v>35</v>
      </c>
      <c r="H2287" s="1">
        <v>45318</v>
      </c>
      <c r="I2287" s="1">
        <v>45331</v>
      </c>
      <c r="J2287" t="s">
        <v>37</v>
      </c>
      <c r="K2287" t="b">
        <f>Table1[[#This Row],[CurrentStock]]&lt;Table1[[#This Row],[ReorderLevel]]</f>
        <v>0</v>
      </c>
      <c r="L2287" s="9">
        <f>Table1[[#This Row],[CurrentStock]]*Table1[[#This Row],[UnitPrice]]</f>
        <v>53059.5</v>
      </c>
      <c r="M2287" t="str">
        <f>IF(Table1[[#This Row],[ReorderLevel]]-Table1[[#This Row],[CurrentStock]]&gt;0,Table1[[#This Row],[ReorderLevel]]-Table1[[#This Row],[CurrentStock]],"")</f>
        <v/>
      </c>
      <c r="N2287" t="str">
        <f>IF(Table1[[#This Row],[CurrentStock]]&gt;Table1[[#This Row],[ReorderLevel]]*3,"Over Stock","Okay")</f>
        <v>Over Stock</v>
      </c>
      <c r="O2287" t="str">
        <f>IF(Table1[[#This Row],[CurrentStock]]&lt;Table1[[#This Row],[ReorderLevel]],"Reorder","Okay")</f>
        <v>Okay</v>
      </c>
    </row>
    <row r="2288" spans="1:15" x14ac:dyDescent="0.3">
      <c r="A2288">
        <v>52530</v>
      </c>
      <c r="B2288" t="s">
        <v>20</v>
      </c>
      <c r="C2288" t="s">
        <v>29</v>
      </c>
      <c r="D2288">
        <v>35</v>
      </c>
      <c r="E2288">
        <v>80</v>
      </c>
      <c r="F2288">
        <v>328.43</v>
      </c>
      <c r="G2288" t="s">
        <v>34</v>
      </c>
      <c r="H2288" s="1">
        <v>45575</v>
      </c>
      <c r="I2288" s="1">
        <v>45595</v>
      </c>
      <c r="J2288" t="s">
        <v>38</v>
      </c>
      <c r="K2288" t="b">
        <f>Table1[[#This Row],[CurrentStock]]&lt;Table1[[#This Row],[ReorderLevel]]</f>
        <v>1</v>
      </c>
      <c r="L2288" s="9">
        <f>Table1[[#This Row],[CurrentStock]]*Table1[[#This Row],[UnitPrice]]</f>
        <v>11495.050000000001</v>
      </c>
      <c r="M2288">
        <f>IF(Table1[[#This Row],[ReorderLevel]]-Table1[[#This Row],[CurrentStock]]&gt;0,Table1[[#This Row],[ReorderLevel]]-Table1[[#This Row],[CurrentStock]],"")</f>
        <v>45</v>
      </c>
      <c r="N2288" t="str">
        <f>IF(Table1[[#This Row],[CurrentStock]]&gt;Table1[[#This Row],[ReorderLevel]]*3,"Over Stock","Okay")</f>
        <v>Okay</v>
      </c>
      <c r="O2288" t="str">
        <f>IF(Table1[[#This Row],[CurrentStock]]&lt;Table1[[#This Row],[ReorderLevel]],"Reorder","Okay")</f>
        <v>Reorder</v>
      </c>
    </row>
    <row r="2289" spans="1:15" x14ac:dyDescent="0.3">
      <c r="A2289">
        <v>97519</v>
      </c>
      <c r="B2289" t="s">
        <v>16</v>
      </c>
      <c r="C2289" t="s">
        <v>30</v>
      </c>
      <c r="D2289">
        <v>440</v>
      </c>
      <c r="E2289">
        <v>80</v>
      </c>
      <c r="F2289">
        <v>388.2</v>
      </c>
      <c r="G2289" t="s">
        <v>32</v>
      </c>
      <c r="H2289" s="1">
        <v>45314</v>
      </c>
      <c r="I2289" s="1">
        <v>45324</v>
      </c>
      <c r="J2289" t="s">
        <v>38</v>
      </c>
      <c r="K2289" t="b">
        <f>Table1[[#This Row],[CurrentStock]]&lt;Table1[[#This Row],[ReorderLevel]]</f>
        <v>0</v>
      </c>
      <c r="L2289" s="9">
        <f>Table1[[#This Row],[CurrentStock]]*Table1[[#This Row],[UnitPrice]]</f>
        <v>170808</v>
      </c>
      <c r="M2289" t="str">
        <f>IF(Table1[[#This Row],[ReorderLevel]]-Table1[[#This Row],[CurrentStock]]&gt;0,Table1[[#This Row],[ReorderLevel]]-Table1[[#This Row],[CurrentStock]],"")</f>
        <v/>
      </c>
      <c r="N2289" t="str">
        <f>IF(Table1[[#This Row],[CurrentStock]]&gt;Table1[[#This Row],[ReorderLevel]]*3,"Over Stock","Okay")</f>
        <v>Over Stock</v>
      </c>
      <c r="O2289" t="str">
        <f>IF(Table1[[#This Row],[CurrentStock]]&lt;Table1[[#This Row],[ReorderLevel]],"Reorder","Okay")</f>
        <v>Okay</v>
      </c>
    </row>
    <row r="2290" spans="1:15" x14ac:dyDescent="0.3">
      <c r="A2290">
        <v>74713</v>
      </c>
      <c r="B2290" t="s">
        <v>25</v>
      </c>
      <c r="C2290" t="s">
        <v>31</v>
      </c>
      <c r="D2290">
        <v>152</v>
      </c>
      <c r="E2290">
        <v>20</v>
      </c>
      <c r="F2290">
        <v>109.57</v>
      </c>
      <c r="G2290" t="s">
        <v>35</v>
      </c>
      <c r="H2290" s="1">
        <v>45639</v>
      </c>
      <c r="I2290" s="1">
        <v>45654</v>
      </c>
      <c r="J2290" t="s">
        <v>37</v>
      </c>
      <c r="K2290" t="b">
        <f>Table1[[#This Row],[CurrentStock]]&lt;Table1[[#This Row],[ReorderLevel]]</f>
        <v>0</v>
      </c>
      <c r="L2290" s="9">
        <f>Table1[[#This Row],[CurrentStock]]*Table1[[#This Row],[UnitPrice]]</f>
        <v>16654.64</v>
      </c>
      <c r="M2290" t="str">
        <f>IF(Table1[[#This Row],[ReorderLevel]]-Table1[[#This Row],[CurrentStock]]&gt;0,Table1[[#This Row],[ReorderLevel]]-Table1[[#This Row],[CurrentStock]],"")</f>
        <v/>
      </c>
      <c r="N2290" t="str">
        <f>IF(Table1[[#This Row],[CurrentStock]]&gt;Table1[[#This Row],[ReorderLevel]]*3,"Over Stock","Okay")</f>
        <v>Over Stock</v>
      </c>
      <c r="O2290" t="str">
        <f>IF(Table1[[#This Row],[CurrentStock]]&lt;Table1[[#This Row],[ReorderLevel]],"Reorder","Okay")</f>
        <v>Okay</v>
      </c>
    </row>
    <row r="2291" spans="1:15" x14ac:dyDescent="0.3">
      <c r="A2291">
        <v>21955</v>
      </c>
      <c r="B2291" t="s">
        <v>19</v>
      </c>
      <c r="C2291" t="s">
        <v>28</v>
      </c>
      <c r="D2291">
        <v>69</v>
      </c>
      <c r="E2291">
        <v>30</v>
      </c>
      <c r="F2291">
        <v>171.25</v>
      </c>
      <c r="G2291" t="s">
        <v>35</v>
      </c>
      <c r="H2291" s="1">
        <v>45336</v>
      </c>
      <c r="I2291" s="1">
        <v>45368</v>
      </c>
      <c r="J2291" t="s">
        <v>38</v>
      </c>
      <c r="K2291" t="b">
        <f>Table1[[#This Row],[CurrentStock]]&lt;Table1[[#This Row],[ReorderLevel]]</f>
        <v>0</v>
      </c>
      <c r="L2291" s="9">
        <f>Table1[[#This Row],[CurrentStock]]*Table1[[#This Row],[UnitPrice]]</f>
        <v>11816.25</v>
      </c>
      <c r="M2291" t="str">
        <f>IF(Table1[[#This Row],[ReorderLevel]]-Table1[[#This Row],[CurrentStock]]&gt;0,Table1[[#This Row],[ReorderLevel]]-Table1[[#This Row],[CurrentStock]],"")</f>
        <v/>
      </c>
      <c r="N2291" t="str">
        <f>IF(Table1[[#This Row],[CurrentStock]]&gt;Table1[[#This Row],[ReorderLevel]]*3,"Over Stock","Okay")</f>
        <v>Okay</v>
      </c>
      <c r="O2291" t="str">
        <f>IF(Table1[[#This Row],[CurrentStock]]&lt;Table1[[#This Row],[ReorderLevel]],"Reorder","Okay")</f>
        <v>Okay</v>
      </c>
    </row>
    <row r="2292" spans="1:15" x14ac:dyDescent="0.3">
      <c r="A2292">
        <v>77959</v>
      </c>
      <c r="B2292" t="s">
        <v>26</v>
      </c>
      <c r="C2292" t="s">
        <v>30</v>
      </c>
      <c r="D2292">
        <v>370</v>
      </c>
      <c r="E2292">
        <v>40</v>
      </c>
      <c r="F2292">
        <v>452.14</v>
      </c>
      <c r="G2292" t="s">
        <v>35</v>
      </c>
      <c r="H2292" s="1">
        <v>45331</v>
      </c>
      <c r="I2292" s="1">
        <v>45360</v>
      </c>
      <c r="J2292" t="s">
        <v>39</v>
      </c>
      <c r="K2292" t="b">
        <f>Table1[[#This Row],[CurrentStock]]&lt;Table1[[#This Row],[ReorderLevel]]</f>
        <v>0</v>
      </c>
      <c r="L2292" s="9">
        <f>Table1[[#This Row],[CurrentStock]]*Table1[[#This Row],[UnitPrice]]</f>
        <v>167291.79999999999</v>
      </c>
      <c r="M2292" t="str">
        <f>IF(Table1[[#This Row],[ReorderLevel]]-Table1[[#This Row],[CurrentStock]]&gt;0,Table1[[#This Row],[ReorderLevel]]-Table1[[#This Row],[CurrentStock]],"")</f>
        <v/>
      </c>
      <c r="N2292" t="str">
        <f>IF(Table1[[#This Row],[CurrentStock]]&gt;Table1[[#This Row],[ReorderLevel]]*3,"Over Stock","Okay")</f>
        <v>Over Stock</v>
      </c>
      <c r="O2292" t="str">
        <f>IF(Table1[[#This Row],[CurrentStock]]&lt;Table1[[#This Row],[ReorderLevel]],"Reorder","Okay")</f>
        <v>Okay</v>
      </c>
    </row>
    <row r="2293" spans="1:15" x14ac:dyDescent="0.3">
      <c r="A2293">
        <v>25164</v>
      </c>
      <c r="B2293" t="s">
        <v>11</v>
      </c>
      <c r="C2293" t="s">
        <v>27</v>
      </c>
      <c r="D2293">
        <v>466</v>
      </c>
      <c r="E2293">
        <v>50</v>
      </c>
      <c r="F2293">
        <v>77.040000000000006</v>
      </c>
      <c r="G2293" t="s">
        <v>34</v>
      </c>
      <c r="H2293" s="1">
        <v>45321</v>
      </c>
      <c r="I2293" s="1">
        <v>45335</v>
      </c>
      <c r="J2293" t="s">
        <v>39</v>
      </c>
      <c r="K2293" t="b">
        <f>Table1[[#This Row],[CurrentStock]]&lt;Table1[[#This Row],[ReorderLevel]]</f>
        <v>0</v>
      </c>
      <c r="L2293" s="9">
        <f>Table1[[#This Row],[CurrentStock]]*Table1[[#This Row],[UnitPrice]]</f>
        <v>35900.639999999999</v>
      </c>
      <c r="M2293" t="str">
        <f>IF(Table1[[#This Row],[ReorderLevel]]-Table1[[#This Row],[CurrentStock]]&gt;0,Table1[[#This Row],[ReorderLevel]]-Table1[[#This Row],[CurrentStock]],"")</f>
        <v/>
      </c>
      <c r="N2293" t="str">
        <f>IF(Table1[[#This Row],[CurrentStock]]&gt;Table1[[#This Row],[ReorderLevel]]*3,"Over Stock","Okay")</f>
        <v>Over Stock</v>
      </c>
      <c r="O2293" t="str">
        <f>IF(Table1[[#This Row],[CurrentStock]]&lt;Table1[[#This Row],[ReorderLevel]],"Reorder","Okay")</f>
        <v>Okay</v>
      </c>
    </row>
    <row r="2294" spans="1:15" x14ac:dyDescent="0.3">
      <c r="A2294">
        <v>53327</v>
      </c>
      <c r="B2294" t="s">
        <v>18</v>
      </c>
      <c r="C2294" t="s">
        <v>28</v>
      </c>
      <c r="D2294">
        <v>465</v>
      </c>
      <c r="E2294">
        <v>50</v>
      </c>
      <c r="F2294">
        <v>177.51</v>
      </c>
      <c r="G2294" t="s">
        <v>34</v>
      </c>
      <c r="H2294" s="1">
        <v>45382</v>
      </c>
      <c r="I2294" s="1">
        <v>45411</v>
      </c>
      <c r="J2294" t="s">
        <v>37</v>
      </c>
      <c r="K2294" t="b">
        <f>Table1[[#This Row],[CurrentStock]]&lt;Table1[[#This Row],[ReorderLevel]]</f>
        <v>0</v>
      </c>
      <c r="L2294" s="9">
        <f>Table1[[#This Row],[CurrentStock]]*Table1[[#This Row],[UnitPrice]]</f>
        <v>82542.149999999994</v>
      </c>
      <c r="M2294" t="str">
        <f>IF(Table1[[#This Row],[ReorderLevel]]-Table1[[#This Row],[CurrentStock]]&gt;0,Table1[[#This Row],[ReorderLevel]]-Table1[[#This Row],[CurrentStock]],"")</f>
        <v/>
      </c>
      <c r="N2294" t="str">
        <f>IF(Table1[[#This Row],[CurrentStock]]&gt;Table1[[#This Row],[ReorderLevel]]*3,"Over Stock","Okay")</f>
        <v>Over Stock</v>
      </c>
      <c r="O2294" t="str">
        <f>IF(Table1[[#This Row],[CurrentStock]]&lt;Table1[[#This Row],[ReorderLevel]],"Reorder","Okay")</f>
        <v>Okay</v>
      </c>
    </row>
    <row r="2295" spans="1:15" x14ac:dyDescent="0.3">
      <c r="A2295">
        <v>75167</v>
      </c>
      <c r="B2295" t="s">
        <v>24</v>
      </c>
      <c r="C2295" t="s">
        <v>31</v>
      </c>
      <c r="D2295">
        <v>336</v>
      </c>
      <c r="E2295">
        <v>40</v>
      </c>
      <c r="F2295">
        <v>488.41</v>
      </c>
      <c r="G2295" t="s">
        <v>36</v>
      </c>
      <c r="H2295" s="1">
        <v>45335</v>
      </c>
      <c r="I2295" s="1">
        <v>45351</v>
      </c>
      <c r="J2295" t="s">
        <v>37</v>
      </c>
      <c r="K2295" t="b">
        <f>Table1[[#This Row],[CurrentStock]]&lt;Table1[[#This Row],[ReorderLevel]]</f>
        <v>0</v>
      </c>
      <c r="L2295" s="9">
        <f>Table1[[#This Row],[CurrentStock]]*Table1[[#This Row],[UnitPrice]]</f>
        <v>164105.76</v>
      </c>
      <c r="M2295" t="str">
        <f>IF(Table1[[#This Row],[ReorderLevel]]-Table1[[#This Row],[CurrentStock]]&gt;0,Table1[[#This Row],[ReorderLevel]]-Table1[[#This Row],[CurrentStock]],"")</f>
        <v/>
      </c>
      <c r="N2295" t="str">
        <f>IF(Table1[[#This Row],[CurrentStock]]&gt;Table1[[#This Row],[ReorderLevel]]*3,"Over Stock","Okay")</f>
        <v>Over Stock</v>
      </c>
      <c r="O2295" t="str">
        <f>IF(Table1[[#This Row],[CurrentStock]]&lt;Table1[[#This Row],[ReorderLevel]],"Reorder","Okay")</f>
        <v>Okay</v>
      </c>
    </row>
    <row r="2296" spans="1:15" x14ac:dyDescent="0.3">
      <c r="A2296">
        <v>46116</v>
      </c>
      <c r="B2296" t="s">
        <v>19</v>
      </c>
      <c r="C2296" t="s">
        <v>28</v>
      </c>
      <c r="D2296">
        <v>188</v>
      </c>
      <c r="E2296">
        <v>150</v>
      </c>
      <c r="F2296">
        <v>286.97000000000003</v>
      </c>
      <c r="G2296" t="s">
        <v>33</v>
      </c>
      <c r="H2296" s="1">
        <v>45587</v>
      </c>
      <c r="I2296" s="1">
        <v>45618</v>
      </c>
      <c r="J2296" t="s">
        <v>39</v>
      </c>
      <c r="K2296" t="b">
        <f>Table1[[#This Row],[CurrentStock]]&lt;Table1[[#This Row],[ReorderLevel]]</f>
        <v>0</v>
      </c>
      <c r="L2296" s="9">
        <f>Table1[[#This Row],[CurrentStock]]*Table1[[#This Row],[UnitPrice]]</f>
        <v>53950.360000000008</v>
      </c>
      <c r="M2296" t="str">
        <f>IF(Table1[[#This Row],[ReorderLevel]]-Table1[[#This Row],[CurrentStock]]&gt;0,Table1[[#This Row],[ReorderLevel]]-Table1[[#This Row],[CurrentStock]],"")</f>
        <v/>
      </c>
      <c r="N2296" t="str">
        <f>IF(Table1[[#This Row],[CurrentStock]]&gt;Table1[[#This Row],[ReorderLevel]]*3,"Over Stock","Okay")</f>
        <v>Okay</v>
      </c>
      <c r="O2296" t="str">
        <f>IF(Table1[[#This Row],[CurrentStock]]&lt;Table1[[#This Row],[ReorderLevel]],"Reorder","Okay")</f>
        <v>Okay</v>
      </c>
    </row>
    <row r="2297" spans="1:15" x14ac:dyDescent="0.3">
      <c r="A2297">
        <v>78345</v>
      </c>
      <c r="B2297" t="s">
        <v>24</v>
      </c>
      <c r="C2297" t="s">
        <v>31</v>
      </c>
      <c r="D2297">
        <v>387</v>
      </c>
      <c r="E2297">
        <v>40</v>
      </c>
      <c r="F2297">
        <v>111.67</v>
      </c>
      <c r="G2297" t="s">
        <v>33</v>
      </c>
      <c r="H2297" s="1">
        <v>45518</v>
      </c>
      <c r="I2297" s="1">
        <v>45525</v>
      </c>
      <c r="J2297" t="s">
        <v>39</v>
      </c>
      <c r="K2297" t="b">
        <f>Table1[[#This Row],[CurrentStock]]&lt;Table1[[#This Row],[ReorderLevel]]</f>
        <v>0</v>
      </c>
      <c r="L2297" s="9">
        <f>Table1[[#This Row],[CurrentStock]]*Table1[[#This Row],[UnitPrice]]</f>
        <v>43216.29</v>
      </c>
      <c r="M2297" t="str">
        <f>IF(Table1[[#This Row],[ReorderLevel]]-Table1[[#This Row],[CurrentStock]]&gt;0,Table1[[#This Row],[ReorderLevel]]-Table1[[#This Row],[CurrentStock]],"")</f>
        <v/>
      </c>
      <c r="N2297" t="str">
        <f>IF(Table1[[#This Row],[CurrentStock]]&gt;Table1[[#This Row],[ReorderLevel]]*3,"Over Stock","Okay")</f>
        <v>Over Stock</v>
      </c>
      <c r="O2297" t="str">
        <f>IF(Table1[[#This Row],[CurrentStock]]&lt;Table1[[#This Row],[ReorderLevel]],"Reorder","Okay")</f>
        <v>Okay</v>
      </c>
    </row>
    <row r="2298" spans="1:15" x14ac:dyDescent="0.3">
      <c r="A2298">
        <v>92049</v>
      </c>
      <c r="B2298" t="s">
        <v>15</v>
      </c>
      <c r="C2298" t="s">
        <v>29</v>
      </c>
      <c r="D2298">
        <v>55</v>
      </c>
      <c r="E2298">
        <v>40</v>
      </c>
      <c r="F2298">
        <v>263.74</v>
      </c>
      <c r="G2298" t="s">
        <v>33</v>
      </c>
      <c r="H2298" s="1">
        <v>45325</v>
      </c>
      <c r="I2298" s="1">
        <v>45331</v>
      </c>
      <c r="J2298" t="s">
        <v>38</v>
      </c>
      <c r="K2298" t="b">
        <f>Table1[[#This Row],[CurrentStock]]&lt;Table1[[#This Row],[ReorderLevel]]</f>
        <v>0</v>
      </c>
      <c r="L2298" s="9">
        <f>Table1[[#This Row],[CurrentStock]]*Table1[[#This Row],[UnitPrice]]</f>
        <v>14505.7</v>
      </c>
      <c r="M2298" t="str">
        <f>IF(Table1[[#This Row],[ReorderLevel]]-Table1[[#This Row],[CurrentStock]]&gt;0,Table1[[#This Row],[ReorderLevel]]-Table1[[#This Row],[CurrentStock]],"")</f>
        <v/>
      </c>
      <c r="N2298" t="str">
        <f>IF(Table1[[#This Row],[CurrentStock]]&gt;Table1[[#This Row],[ReorderLevel]]*3,"Over Stock","Okay")</f>
        <v>Okay</v>
      </c>
      <c r="O2298" t="str">
        <f>IF(Table1[[#This Row],[CurrentStock]]&lt;Table1[[#This Row],[ReorderLevel]],"Reorder","Okay")</f>
        <v>Okay</v>
      </c>
    </row>
    <row r="2299" spans="1:15" x14ac:dyDescent="0.3">
      <c r="A2299">
        <v>88027</v>
      </c>
      <c r="B2299" t="s">
        <v>11</v>
      </c>
      <c r="C2299" t="s">
        <v>27</v>
      </c>
      <c r="D2299">
        <v>234</v>
      </c>
      <c r="E2299">
        <v>20</v>
      </c>
      <c r="F2299">
        <v>352.65</v>
      </c>
      <c r="G2299" t="s">
        <v>32</v>
      </c>
      <c r="H2299" s="1">
        <v>45372</v>
      </c>
      <c r="I2299" s="1">
        <v>45391</v>
      </c>
      <c r="J2299" t="s">
        <v>38</v>
      </c>
      <c r="K2299" t="b">
        <f>Table1[[#This Row],[CurrentStock]]&lt;Table1[[#This Row],[ReorderLevel]]</f>
        <v>0</v>
      </c>
      <c r="L2299" s="9">
        <f>Table1[[#This Row],[CurrentStock]]*Table1[[#This Row],[UnitPrice]]</f>
        <v>82520.099999999991</v>
      </c>
      <c r="M2299" t="str">
        <f>IF(Table1[[#This Row],[ReorderLevel]]-Table1[[#This Row],[CurrentStock]]&gt;0,Table1[[#This Row],[ReorderLevel]]-Table1[[#This Row],[CurrentStock]],"")</f>
        <v/>
      </c>
      <c r="N2299" t="str">
        <f>IF(Table1[[#This Row],[CurrentStock]]&gt;Table1[[#This Row],[ReorderLevel]]*3,"Over Stock","Okay")</f>
        <v>Over Stock</v>
      </c>
      <c r="O2299" t="str">
        <f>IF(Table1[[#This Row],[CurrentStock]]&lt;Table1[[#This Row],[ReorderLevel]],"Reorder","Okay")</f>
        <v>Okay</v>
      </c>
    </row>
    <row r="2300" spans="1:15" x14ac:dyDescent="0.3">
      <c r="A2300">
        <v>71713</v>
      </c>
      <c r="B2300" t="s">
        <v>21</v>
      </c>
      <c r="C2300" t="s">
        <v>31</v>
      </c>
      <c r="D2300">
        <v>143</v>
      </c>
      <c r="E2300">
        <v>30</v>
      </c>
      <c r="F2300">
        <v>89.72</v>
      </c>
      <c r="G2300" t="s">
        <v>34</v>
      </c>
      <c r="H2300" s="1">
        <v>45615</v>
      </c>
      <c r="I2300" s="1">
        <v>45626</v>
      </c>
      <c r="J2300" t="s">
        <v>37</v>
      </c>
      <c r="K2300" t="b">
        <f>Table1[[#This Row],[CurrentStock]]&lt;Table1[[#This Row],[ReorderLevel]]</f>
        <v>0</v>
      </c>
      <c r="L2300" s="9">
        <f>Table1[[#This Row],[CurrentStock]]*Table1[[#This Row],[UnitPrice]]</f>
        <v>12829.96</v>
      </c>
      <c r="M2300" t="str">
        <f>IF(Table1[[#This Row],[ReorderLevel]]-Table1[[#This Row],[CurrentStock]]&gt;0,Table1[[#This Row],[ReorderLevel]]-Table1[[#This Row],[CurrentStock]],"")</f>
        <v/>
      </c>
      <c r="N2300" t="str">
        <f>IF(Table1[[#This Row],[CurrentStock]]&gt;Table1[[#This Row],[ReorderLevel]]*3,"Over Stock","Okay")</f>
        <v>Over Stock</v>
      </c>
      <c r="O2300" t="str">
        <f>IF(Table1[[#This Row],[CurrentStock]]&lt;Table1[[#This Row],[ReorderLevel]],"Reorder","Okay")</f>
        <v>Okay</v>
      </c>
    </row>
    <row r="2301" spans="1:15" x14ac:dyDescent="0.3">
      <c r="A2301">
        <v>42481</v>
      </c>
      <c r="B2301" t="s">
        <v>16</v>
      </c>
      <c r="C2301" t="s">
        <v>30</v>
      </c>
      <c r="D2301">
        <v>316</v>
      </c>
      <c r="E2301">
        <v>40</v>
      </c>
      <c r="F2301">
        <v>420.31</v>
      </c>
      <c r="G2301" t="s">
        <v>33</v>
      </c>
      <c r="H2301" s="1">
        <v>45483</v>
      </c>
      <c r="I2301" s="1">
        <v>45504</v>
      </c>
      <c r="J2301" t="s">
        <v>39</v>
      </c>
      <c r="K2301" t="b">
        <f>Table1[[#This Row],[CurrentStock]]&lt;Table1[[#This Row],[ReorderLevel]]</f>
        <v>0</v>
      </c>
      <c r="L2301" s="9">
        <f>Table1[[#This Row],[CurrentStock]]*Table1[[#This Row],[UnitPrice]]</f>
        <v>132817.96</v>
      </c>
      <c r="M2301" t="str">
        <f>IF(Table1[[#This Row],[ReorderLevel]]-Table1[[#This Row],[CurrentStock]]&gt;0,Table1[[#This Row],[ReorderLevel]]-Table1[[#This Row],[CurrentStock]],"")</f>
        <v/>
      </c>
      <c r="N2301" t="str">
        <f>IF(Table1[[#This Row],[CurrentStock]]&gt;Table1[[#This Row],[ReorderLevel]]*3,"Over Stock","Okay")</f>
        <v>Over Stock</v>
      </c>
      <c r="O2301" t="str">
        <f>IF(Table1[[#This Row],[CurrentStock]]&lt;Table1[[#This Row],[ReorderLevel]],"Reorder","Okay")</f>
        <v>Okay</v>
      </c>
    </row>
    <row r="2302" spans="1:15" x14ac:dyDescent="0.3">
      <c r="A2302">
        <v>50149</v>
      </c>
      <c r="B2302" t="s">
        <v>11</v>
      </c>
      <c r="C2302" t="s">
        <v>27</v>
      </c>
      <c r="D2302">
        <v>162</v>
      </c>
      <c r="E2302">
        <v>40</v>
      </c>
      <c r="F2302">
        <v>333.59</v>
      </c>
      <c r="G2302" t="s">
        <v>35</v>
      </c>
      <c r="H2302" s="1">
        <v>45443</v>
      </c>
      <c r="I2302" s="1">
        <v>45449</v>
      </c>
      <c r="J2302" t="s">
        <v>37</v>
      </c>
      <c r="K2302" t="b">
        <f>Table1[[#This Row],[CurrentStock]]&lt;Table1[[#This Row],[ReorderLevel]]</f>
        <v>0</v>
      </c>
      <c r="L2302" s="9">
        <f>Table1[[#This Row],[CurrentStock]]*Table1[[#This Row],[UnitPrice]]</f>
        <v>54041.579999999994</v>
      </c>
      <c r="M2302" t="str">
        <f>IF(Table1[[#This Row],[ReorderLevel]]-Table1[[#This Row],[CurrentStock]]&gt;0,Table1[[#This Row],[ReorderLevel]]-Table1[[#This Row],[CurrentStock]],"")</f>
        <v/>
      </c>
      <c r="N2302" t="str">
        <f>IF(Table1[[#This Row],[CurrentStock]]&gt;Table1[[#This Row],[ReorderLevel]]*3,"Over Stock","Okay")</f>
        <v>Over Stock</v>
      </c>
      <c r="O2302" t="str">
        <f>IF(Table1[[#This Row],[CurrentStock]]&lt;Table1[[#This Row],[ReorderLevel]],"Reorder","Okay")</f>
        <v>Okay</v>
      </c>
    </row>
    <row r="2303" spans="1:15" x14ac:dyDescent="0.3">
      <c r="A2303">
        <v>44409</v>
      </c>
      <c r="B2303" t="s">
        <v>18</v>
      </c>
      <c r="C2303" t="s">
        <v>28</v>
      </c>
      <c r="D2303">
        <v>130</v>
      </c>
      <c r="E2303">
        <v>80</v>
      </c>
      <c r="F2303">
        <v>108.1</v>
      </c>
      <c r="G2303" t="s">
        <v>34</v>
      </c>
      <c r="H2303" s="1">
        <v>45310</v>
      </c>
      <c r="I2303" s="1">
        <v>45347</v>
      </c>
      <c r="J2303" t="s">
        <v>39</v>
      </c>
      <c r="K2303" t="b">
        <f>Table1[[#This Row],[CurrentStock]]&lt;Table1[[#This Row],[ReorderLevel]]</f>
        <v>0</v>
      </c>
      <c r="L2303" s="9">
        <f>Table1[[#This Row],[CurrentStock]]*Table1[[#This Row],[UnitPrice]]</f>
        <v>14053</v>
      </c>
      <c r="M2303" t="str">
        <f>IF(Table1[[#This Row],[ReorderLevel]]-Table1[[#This Row],[CurrentStock]]&gt;0,Table1[[#This Row],[ReorderLevel]]-Table1[[#This Row],[CurrentStock]],"")</f>
        <v/>
      </c>
      <c r="N2303" t="str">
        <f>IF(Table1[[#This Row],[CurrentStock]]&gt;Table1[[#This Row],[ReorderLevel]]*3,"Over Stock","Okay")</f>
        <v>Okay</v>
      </c>
      <c r="O2303" t="str">
        <f>IF(Table1[[#This Row],[CurrentStock]]&lt;Table1[[#This Row],[ReorderLevel]],"Reorder","Okay")</f>
        <v>Okay</v>
      </c>
    </row>
    <row r="2304" spans="1:15" x14ac:dyDescent="0.3">
      <c r="A2304">
        <v>27864</v>
      </c>
      <c r="B2304" t="s">
        <v>21</v>
      </c>
      <c r="C2304" t="s">
        <v>31</v>
      </c>
      <c r="D2304">
        <v>412</v>
      </c>
      <c r="E2304">
        <v>150</v>
      </c>
      <c r="F2304">
        <v>167.54</v>
      </c>
      <c r="G2304" t="s">
        <v>33</v>
      </c>
      <c r="H2304" s="1">
        <v>45325</v>
      </c>
      <c r="I2304" s="1">
        <v>45359</v>
      </c>
      <c r="J2304" t="s">
        <v>38</v>
      </c>
      <c r="K2304" t="b">
        <f>Table1[[#This Row],[CurrentStock]]&lt;Table1[[#This Row],[ReorderLevel]]</f>
        <v>0</v>
      </c>
      <c r="L2304" s="9">
        <f>Table1[[#This Row],[CurrentStock]]*Table1[[#This Row],[UnitPrice]]</f>
        <v>69026.48</v>
      </c>
      <c r="M2304" t="str">
        <f>IF(Table1[[#This Row],[ReorderLevel]]-Table1[[#This Row],[CurrentStock]]&gt;0,Table1[[#This Row],[ReorderLevel]]-Table1[[#This Row],[CurrentStock]],"")</f>
        <v/>
      </c>
      <c r="N2304" t="str">
        <f>IF(Table1[[#This Row],[CurrentStock]]&gt;Table1[[#This Row],[ReorderLevel]]*3,"Over Stock","Okay")</f>
        <v>Okay</v>
      </c>
      <c r="O2304" t="str">
        <f>IF(Table1[[#This Row],[CurrentStock]]&lt;Table1[[#This Row],[ReorderLevel]],"Reorder","Okay")</f>
        <v>Okay</v>
      </c>
    </row>
    <row r="2305" spans="1:15" x14ac:dyDescent="0.3">
      <c r="A2305">
        <v>44851</v>
      </c>
      <c r="B2305" t="s">
        <v>14</v>
      </c>
      <c r="C2305" t="s">
        <v>27</v>
      </c>
      <c r="D2305">
        <v>114</v>
      </c>
      <c r="E2305">
        <v>20</v>
      </c>
      <c r="F2305">
        <v>347.58</v>
      </c>
      <c r="G2305" t="s">
        <v>33</v>
      </c>
      <c r="H2305" s="1">
        <v>45366</v>
      </c>
      <c r="I2305" s="1">
        <v>45392</v>
      </c>
      <c r="J2305" t="s">
        <v>38</v>
      </c>
      <c r="K2305" t="b">
        <f>Table1[[#This Row],[CurrentStock]]&lt;Table1[[#This Row],[ReorderLevel]]</f>
        <v>0</v>
      </c>
      <c r="L2305" s="9">
        <f>Table1[[#This Row],[CurrentStock]]*Table1[[#This Row],[UnitPrice]]</f>
        <v>39624.119999999995</v>
      </c>
      <c r="M2305" t="str">
        <f>IF(Table1[[#This Row],[ReorderLevel]]-Table1[[#This Row],[CurrentStock]]&gt;0,Table1[[#This Row],[ReorderLevel]]-Table1[[#This Row],[CurrentStock]],"")</f>
        <v/>
      </c>
      <c r="N2305" t="str">
        <f>IF(Table1[[#This Row],[CurrentStock]]&gt;Table1[[#This Row],[ReorderLevel]]*3,"Over Stock","Okay")</f>
        <v>Over Stock</v>
      </c>
      <c r="O2305" t="str">
        <f>IF(Table1[[#This Row],[CurrentStock]]&lt;Table1[[#This Row],[ReorderLevel]],"Reorder","Okay")</f>
        <v>Okay</v>
      </c>
    </row>
    <row r="2306" spans="1:15" x14ac:dyDescent="0.3">
      <c r="A2306">
        <v>65803</v>
      </c>
      <c r="B2306" t="s">
        <v>24</v>
      </c>
      <c r="C2306" t="s">
        <v>31</v>
      </c>
      <c r="D2306">
        <v>187</v>
      </c>
      <c r="E2306">
        <v>150</v>
      </c>
      <c r="F2306">
        <v>95.73</v>
      </c>
      <c r="G2306" t="s">
        <v>33</v>
      </c>
      <c r="H2306" s="1">
        <v>45457</v>
      </c>
      <c r="I2306" s="1">
        <v>45486</v>
      </c>
      <c r="J2306" t="s">
        <v>39</v>
      </c>
      <c r="K2306" t="b">
        <f>Table1[[#This Row],[CurrentStock]]&lt;Table1[[#This Row],[ReorderLevel]]</f>
        <v>0</v>
      </c>
      <c r="L2306" s="9">
        <f>Table1[[#This Row],[CurrentStock]]*Table1[[#This Row],[UnitPrice]]</f>
        <v>17901.510000000002</v>
      </c>
      <c r="M2306" t="str">
        <f>IF(Table1[[#This Row],[ReorderLevel]]-Table1[[#This Row],[CurrentStock]]&gt;0,Table1[[#This Row],[ReorderLevel]]-Table1[[#This Row],[CurrentStock]],"")</f>
        <v/>
      </c>
      <c r="N2306" t="str">
        <f>IF(Table1[[#This Row],[CurrentStock]]&gt;Table1[[#This Row],[ReorderLevel]]*3,"Over Stock","Okay")</f>
        <v>Okay</v>
      </c>
      <c r="O2306" t="str">
        <f>IF(Table1[[#This Row],[CurrentStock]]&lt;Table1[[#This Row],[ReorderLevel]],"Reorder","Okay")</f>
        <v>Okay</v>
      </c>
    </row>
    <row r="2307" spans="1:15" x14ac:dyDescent="0.3">
      <c r="A2307">
        <v>23068</v>
      </c>
      <c r="B2307" t="s">
        <v>18</v>
      </c>
      <c r="C2307" t="s">
        <v>28</v>
      </c>
      <c r="D2307">
        <v>171</v>
      </c>
      <c r="E2307">
        <v>80</v>
      </c>
      <c r="F2307">
        <v>163.52000000000001</v>
      </c>
      <c r="G2307" t="s">
        <v>33</v>
      </c>
      <c r="H2307" s="1">
        <v>45537</v>
      </c>
      <c r="I2307" s="1">
        <v>45558</v>
      </c>
      <c r="J2307" t="s">
        <v>38</v>
      </c>
      <c r="K2307" t="b">
        <f>Table1[[#This Row],[CurrentStock]]&lt;Table1[[#This Row],[ReorderLevel]]</f>
        <v>0</v>
      </c>
      <c r="L2307" s="9">
        <f>Table1[[#This Row],[CurrentStock]]*Table1[[#This Row],[UnitPrice]]</f>
        <v>27961.920000000002</v>
      </c>
      <c r="M2307" t="str">
        <f>IF(Table1[[#This Row],[ReorderLevel]]-Table1[[#This Row],[CurrentStock]]&gt;0,Table1[[#This Row],[ReorderLevel]]-Table1[[#This Row],[CurrentStock]],"")</f>
        <v/>
      </c>
      <c r="N2307" t="str">
        <f>IF(Table1[[#This Row],[CurrentStock]]&gt;Table1[[#This Row],[ReorderLevel]]*3,"Over Stock","Okay")</f>
        <v>Okay</v>
      </c>
      <c r="O2307" t="str">
        <f>IF(Table1[[#This Row],[CurrentStock]]&lt;Table1[[#This Row],[ReorderLevel]],"Reorder","Okay")</f>
        <v>Okay</v>
      </c>
    </row>
    <row r="2308" spans="1:15" x14ac:dyDescent="0.3">
      <c r="A2308">
        <v>17089</v>
      </c>
      <c r="B2308" t="s">
        <v>21</v>
      </c>
      <c r="C2308" t="s">
        <v>31</v>
      </c>
      <c r="D2308">
        <v>257</v>
      </c>
      <c r="E2308">
        <v>150</v>
      </c>
      <c r="F2308">
        <v>453.02</v>
      </c>
      <c r="G2308" t="s">
        <v>33</v>
      </c>
      <c r="H2308" s="1">
        <v>45338</v>
      </c>
      <c r="I2308" s="1">
        <v>45367</v>
      </c>
      <c r="J2308" t="s">
        <v>37</v>
      </c>
      <c r="K2308" t="b">
        <f>Table1[[#This Row],[CurrentStock]]&lt;Table1[[#This Row],[ReorderLevel]]</f>
        <v>0</v>
      </c>
      <c r="L2308" s="9">
        <f>Table1[[#This Row],[CurrentStock]]*Table1[[#This Row],[UnitPrice]]</f>
        <v>116426.14</v>
      </c>
      <c r="M2308" t="str">
        <f>IF(Table1[[#This Row],[ReorderLevel]]-Table1[[#This Row],[CurrentStock]]&gt;0,Table1[[#This Row],[ReorderLevel]]-Table1[[#This Row],[CurrentStock]],"")</f>
        <v/>
      </c>
      <c r="N2308" t="str">
        <f>IF(Table1[[#This Row],[CurrentStock]]&gt;Table1[[#This Row],[ReorderLevel]]*3,"Over Stock","Okay")</f>
        <v>Okay</v>
      </c>
      <c r="O2308" t="str">
        <f>IF(Table1[[#This Row],[CurrentStock]]&lt;Table1[[#This Row],[ReorderLevel]],"Reorder","Okay")</f>
        <v>Okay</v>
      </c>
    </row>
    <row r="2309" spans="1:15" x14ac:dyDescent="0.3">
      <c r="A2309">
        <v>26150</v>
      </c>
      <c r="B2309" t="s">
        <v>19</v>
      </c>
      <c r="C2309" t="s">
        <v>28</v>
      </c>
      <c r="D2309">
        <v>172</v>
      </c>
      <c r="E2309">
        <v>100</v>
      </c>
      <c r="F2309">
        <v>127.92</v>
      </c>
      <c r="G2309" t="s">
        <v>36</v>
      </c>
      <c r="H2309" s="1">
        <v>45534</v>
      </c>
      <c r="I2309" s="1">
        <v>45548</v>
      </c>
      <c r="J2309" t="s">
        <v>38</v>
      </c>
      <c r="K2309" t="b">
        <f>Table1[[#This Row],[CurrentStock]]&lt;Table1[[#This Row],[ReorderLevel]]</f>
        <v>0</v>
      </c>
      <c r="L2309" s="9">
        <f>Table1[[#This Row],[CurrentStock]]*Table1[[#This Row],[UnitPrice]]</f>
        <v>22002.240000000002</v>
      </c>
      <c r="M2309" t="str">
        <f>IF(Table1[[#This Row],[ReorderLevel]]-Table1[[#This Row],[CurrentStock]]&gt;0,Table1[[#This Row],[ReorderLevel]]-Table1[[#This Row],[CurrentStock]],"")</f>
        <v/>
      </c>
      <c r="N2309" t="str">
        <f>IF(Table1[[#This Row],[CurrentStock]]&gt;Table1[[#This Row],[ReorderLevel]]*3,"Over Stock","Okay")</f>
        <v>Okay</v>
      </c>
      <c r="O2309" t="str">
        <f>IF(Table1[[#This Row],[CurrentStock]]&lt;Table1[[#This Row],[ReorderLevel]],"Reorder","Okay")</f>
        <v>Okay</v>
      </c>
    </row>
    <row r="2310" spans="1:15" x14ac:dyDescent="0.3">
      <c r="A2310">
        <v>33461</v>
      </c>
      <c r="B2310" t="s">
        <v>23</v>
      </c>
      <c r="C2310" t="s">
        <v>30</v>
      </c>
      <c r="D2310">
        <v>143</v>
      </c>
      <c r="E2310">
        <v>150</v>
      </c>
      <c r="F2310">
        <v>262.04000000000002</v>
      </c>
      <c r="G2310" t="s">
        <v>36</v>
      </c>
      <c r="H2310" s="1">
        <v>45524</v>
      </c>
      <c r="I2310" s="1">
        <v>45560</v>
      </c>
      <c r="J2310" t="s">
        <v>37</v>
      </c>
      <c r="K2310" t="b">
        <f>Table1[[#This Row],[CurrentStock]]&lt;Table1[[#This Row],[ReorderLevel]]</f>
        <v>1</v>
      </c>
      <c r="L2310" s="9">
        <f>Table1[[#This Row],[CurrentStock]]*Table1[[#This Row],[UnitPrice]]</f>
        <v>37471.72</v>
      </c>
      <c r="M2310">
        <f>IF(Table1[[#This Row],[ReorderLevel]]-Table1[[#This Row],[CurrentStock]]&gt;0,Table1[[#This Row],[ReorderLevel]]-Table1[[#This Row],[CurrentStock]],"")</f>
        <v>7</v>
      </c>
      <c r="N2310" t="str">
        <f>IF(Table1[[#This Row],[CurrentStock]]&gt;Table1[[#This Row],[ReorderLevel]]*3,"Over Stock","Okay")</f>
        <v>Okay</v>
      </c>
      <c r="O2310" t="str">
        <f>IF(Table1[[#This Row],[CurrentStock]]&lt;Table1[[#This Row],[ReorderLevel]],"Reorder","Okay")</f>
        <v>Reorder</v>
      </c>
    </row>
    <row r="2311" spans="1:15" x14ac:dyDescent="0.3">
      <c r="A2311">
        <v>90865</v>
      </c>
      <c r="B2311" t="s">
        <v>12</v>
      </c>
      <c r="C2311" t="s">
        <v>28</v>
      </c>
      <c r="D2311">
        <v>411</v>
      </c>
      <c r="E2311">
        <v>80</v>
      </c>
      <c r="F2311">
        <v>124.14</v>
      </c>
      <c r="G2311" t="s">
        <v>32</v>
      </c>
      <c r="H2311" s="1">
        <v>45548</v>
      </c>
      <c r="I2311" s="1">
        <v>45571</v>
      </c>
      <c r="J2311" t="s">
        <v>38</v>
      </c>
      <c r="K2311" t="b">
        <f>Table1[[#This Row],[CurrentStock]]&lt;Table1[[#This Row],[ReorderLevel]]</f>
        <v>0</v>
      </c>
      <c r="L2311" s="9">
        <f>Table1[[#This Row],[CurrentStock]]*Table1[[#This Row],[UnitPrice]]</f>
        <v>51021.54</v>
      </c>
      <c r="M2311" t="str">
        <f>IF(Table1[[#This Row],[ReorderLevel]]-Table1[[#This Row],[CurrentStock]]&gt;0,Table1[[#This Row],[ReorderLevel]]-Table1[[#This Row],[CurrentStock]],"")</f>
        <v/>
      </c>
      <c r="N2311" t="str">
        <f>IF(Table1[[#This Row],[CurrentStock]]&gt;Table1[[#This Row],[ReorderLevel]]*3,"Over Stock","Okay")</f>
        <v>Over Stock</v>
      </c>
      <c r="O2311" t="str">
        <f>IF(Table1[[#This Row],[CurrentStock]]&lt;Table1[[#This Row],[ReorderLevel]],"Reorder","Okay")</f>
        <v>Okay</v>
      </c>
    </row>
    <row r="2312" spans="1:15" x14ac:dyDescent="0.3">
      <c r="A2312">
        <v>87027</v>
      </c>
      <c r="B2312" t="s">
        <v>20</v>
      </c>
      <c r="C2312" t="s">
        <v>29</v>
      </c>
      <c r="D2312">
        <v>393</v>
      </c>
      <c r="E2312">
        <v>50</v>
      </c>
      <c r="F2312">
        <v>276.86</v>
      </c>
      <c r="G2312" t="s">
        <v>35</v>
      </c>
      <c r="H2312" s="1">
        <v>45542</v>
      </c>
      <c r="I2312" s="1">
        <v>45565</v>
      </c>
      <c r="J2312" t="s">
        <v>38</v>
      </c>
      <c r="K2312" t="b">
        <f>Table1[[#This Row],[CurrentStock]]&lt;Table1[[#This Row],[ReorderLevel]]</f>
        <v>0</v>
      </c>
      <c r="L2312" s="9">
        <f>Table1[[#This Row],[CurrentStock]]*Table1[[#This Row],[UnitPrice]]</f>
        <v>108805.98000000001</v>
      </c>
      <c r="M2312" t="str">
        <f>IF(Table1[[#This Row],[ReorderLevel]]-Table1[[#This Row],[CurrentStock]]&gt;0,Table1[[#This Row],[ReorderLevel]]-Table1[[#This Row],[CurrentStock]],"")</f>
        <v/>
      </c>
      <c r="N2312" t="str">
        <f>IF(Table1[[#This Row],[CurrentStock]]&gt;Table1[[#This Row],[ReorderLevel]]*3,"Over Stock","Okay")</f>
        <v>Over Stock</v>
      </c>
      <c r="O2312" t="str">
        <f>IF(Table1[[#This Row],[CurrentStock]]&lt;Table1[[#This Row],[ReorderLevel]],"Reorder","Okay")</f>
        <v>Okay</v>
      </c>
    </row>
    <row r="2313" spans="1:15" x14ac:dyDescent="0.3">
      <c r="A2313">
        <v>21356</v>
      </c>
      <c r="B2313" t="s">
        <v>13</v>
      </c>
      <c r="C2313" t="s">
        <v>29</v>
      </c>
      <c r="D2313">
        <v>144</v>
      </c>
      <c r="E2313">
        <v>150</v>
      </c>
      <c r="F2313">
        <v>93.47</v>
      </c>
      <c r="G2313" t="s">
        <v>35</v>
      </c>
      <c r="H2313" s="1">
        <v>45437</v>
      </c>
      <c r="I2313" s="1">
        <v>45447</v>
      </c>
      <c r="J2313" t="s">
        <v>39</v>
      </c>
      <c r="K2313" t="b">
        <f>Table1[[#This Row],[CurrentStock]]&lt;Table1[[#This Row],[ReorderLevel]]</f>
        <v>1</v>
      </c>
      <c r="L2313" s="9">
        <f>Table1[[#This Row],[CurrentStock]]*Table1[[#This Row],[UnitPrice]]</f>
        <v>13459.68</v>
      </c>
      <c r="M2313">
        <f>IF(Table1[[#This Row],[ReorderLevel]]-Table1[[#This Row],[CurrentStock]]&gt;0,Table1[[#This Row],[ReorderLevel]]-Table1[[#This Row],[CurrentStock]],"")</f>
        <v>6</v>
      </c>
      <c r="N2313" t="str">
        <f>IF(Table1[[#This Row],[CurrentStock]]&gt;Table1[[#This Row],[ReorderLevel]]*3,"Over Stock","Okay")</f>
        <v>Okay</v>
      </c>
      <c r="O2313" t="str">
        <f>IF(Table1[[#This Row],[CurrentStock]]&lt;Table1[[#This Row],[ReorderLevel]],"Reorder","Okay")</f>
        <v>Reorder</v>
      </c>
    </row>
    <row r="2314" spans="1:15" x14ac:dyDescent="0.3">
      <c r="A2314">
        <v>70217</v>
      </c>
      <c r="B2314" t="s">
        <v>20</v>
      </c>
      <c r="C2314" t="s">
        <v>29</v>
      </c>
      <c r="D2314">
        <v>315</v>
      </c>
      <c r="E2314">
        <v>50</v>
      </c>
      <c r="F2314">
        <v>293.89</v>
      </c>
      <c r="G2314" t="s">
        <v>36</v>
      </c>
      <c r="H2314" s="1">
        <v>45339</v>
      </c>
      <c r="I2314" s="1">
        <v>45367</v>
      </c>
      <c r="J2314" t="s">
        <v>38</v>
      </c>
      <c r="K2314" t="b">
        <f>Table1[[#This Row],[CurrentStock]]&lt;Table1[[#This Row],[ReorderLevel]]</f>
        <v>0</v>
      </c>
      <c r="L2314" s="9">
        <f>Table1[[#This Row],[CurrentStock]]*Table1[[#This Row],[UnitPrice]]</f>
        <v>92575.349999999991</v>
      </c>
      <c r="M2314" t="str">
        <f>IF(Table1[[#This Row],[ReorderLevel]]-Table1[[#This Row],[CurrentStock]]&gt;0,Table1[[#This Row],[ReorderLevel]]-Table1[[#This Row],[CurrentStock]],"")</f>
        <v/>
      </c>
      <c r="N2314" t="str">
        <f>IF(Table1[[#This Row],[CurrentStock]]&gt;Table1[[#This Row],[ReorderLevel]]*3,"Over Stock","Okay")</f>
        <v>Over Stock</v>
      </c>
      <c r="O2314" t="str">
        <f>IF(Table1[[#This Row],[CurrentStock]]&lt;Table1[[#This Row],[ReorderLevel]],"Reorder","Okay")</f>
        <v>Okay</v>
      </c>
    </row>
    <row r="2315" spans="1:15" x14ac:dyDescent="0.3">
      <c r="A2315">
        <v>45402</v>
      </c>
      <c r="B2315" t="s">
        <v>25</v>
      </c>
      <c r="C2315" t="s">
        <v>31</v>
      </c>
      <c r="D2315">
        <v>54</v>
      </c>
      <c r="E2315">
        <v>50</v>
      </c>
      <c r="F2315">
        <v>158.57</v>
      </c>
      <c r="G2315" t="s">
        <v>35</v>
      </c>
      <c r="H2315" s="1">
        <v>45409</v>
      </c>
      <c r="I2315" s="1">
        <v>45430</v>
      </c>
      <c r="J2315" t="s">
        <v>37</v>
      </c>
      <c r="K2315" t="b">
        <f>Table1[[#This Row],[CurrentStock]]&lt;Table1[[#This Row],[ReorderLevel]]</f>
        <v>0</v>
      </c>
      <c r="L2315" s="9">
        <f>Table1[[#This Row],[CurrentStock]]*Table1[[#This Row],[UnitPrice]]</f>
        <v>8562.7799999999988</v>
      </c>
      <c r="M2315" t="str">
        <f>IF(Table1[[#This Row],[ReorderLevel]]-Table1[[#This Row],[CurrentStock]]&gt;0,Table1[[#This Row],[ReorderLevel]]-Table1[[#This Row],[CurrentStock]],"")</f>
        <v/>
      </c>
      <c r="N2315" t="str">
        <f>IF(Table1[[#This Row],[CurrentStock]]&gt;Table1[[#This Row],[ReorderLevel]]*3,"Over Stock","Okay")</f>
        <v>Okay</v>
      </c>
      <c r="O2315" t="str">
        <f>IF(Table1[[#This Row],[CurrentStock]]&lt;Table1[[#This Row],[ReorderLevel]],"Reorder","Okay")</f>
        <v>Okay</v>
      </c>
    </row>
    <row r="2316" spans="1:15" x14ac:dyDescent="0.3">
      <c r="A2316">
        <v>50194</v>
      </c>
      <c r="B2316" t="s">
        <v>11</v>
      </c>
      <c r="C2316" t="s">
        <v>27</v>
      </c>
      <c r="D2316">
        <v>45</v>
      </c>
      <c r="E2316">
        <v>50</v>
      </c>
      <c r="F2316">
        <v>270.77</v>
      </c>
      <c r="G2316" t="s">
        <v>32</v>
      </c>
      <c r="H2316" s="1">
        <v>45447</v>
      </c>
      <c r="I2316" s="1">
        <v>45484</v>
      </c>
      <c r="J2316" t="s">
        <v>39</v>
      </c>
      <c r="K2316" t="b">
        <f>Table1[[#This Row],[CurrentStock]]&lt;Table1[[#This Row],[ReorderLevel]]</f>
        <v>1</v>
      </c>
      <c r="L2316" s="9">
        <f>Table1[[#This Row],[CurrentStock]]*Table1[[#This Row],[UnitPrice]]</f>
        <v>12184.65</v>
      </c>
      <c r="M2316">
        <f>IF(Table1[[#This Row],[ReorderLevel]]-Table1[[#This Row],[CurrentStock]]&gt;0,Table1[[#This Row],[ReorderLevel]]-Table1[[#This Row],[CurrentStock]],"")</f>
        <v>5</v>
      </c>
      <c r="N2316" t="str">
        <f>IF(Table1[[#This Row],[CurrentStock]]&gt;Table1[[#This Row],[ReorderLevel]]*3,"Over Stock","Okay")</f>
        <v>Okay</v>
      </c>
      <c r="O2316" t="str">
        <f>IF(Table1[[#This Row],[CurrentStock]]&lt;Table1[[#This Row],[ReorderLevel]],"Reorder","Okay")</f>
        <v>Reorder</v>
      </c>
    </row>
    <row r="2317" spans="1:15" x14ac:dyDescent="0.3">
      <c r="A2317">
        <v>67872</v>
      </c>
      <c r="B2317" t="s">
        <v>20</v>
      </c>
      <c r="C2317" t="s">
        <v>29</v>
      </c>
      <c r="D2317">
        <v>57</v>
      </c>
      <c r="E2317">
        <v>100</v>
      </c>
      <c r="F2317">
        <v>379.73</v>
      </c>
      <c r="G2317" t="s">
        <v>34</v>
      </c>
      <c r="H2317" s="1">
        <v>45428</v>
      </c>
      <c r="I2317" s="1">
        <v>45451</v>
      </c>
      <c r="J2317" t="s">
        <v>38</v>
      </c>
      <c r="K2317" t="b">
        <f>Table1[[#This Row],[CurrentStock]]&lt;Table1[[#This Row],[ReorderLevel]]</f>
        <v>1</v>
      </c>
      <c r="L2317" s="9">
        <f>Table1[[#This Row],[CurrentStock]]*Table1[[#This Row],[UnitPrice]]</f>
        <v>21644.61</v>
      </c>
      <c r="M2317">
        <f>IF(Table1[[#This Row],[ReorderLevel]]-Table1[[#This Row],[CurrentStock]]&gt;0,Table1[[#This Row],[ReorderLevel]]-Table1[[#This Row],[CurrentStock]],"")</f>
        <v>43</v>
      </c>
      <c r="N2317" t="str">
        <f>IF(Table1[[#This Row],[CurrentStock]]&gt;Table1[[#This Row],[ReorderLevel]]*3,"Over Stock","Okay")</f>
        <v>Okay</v>
      </c>
      <c r="O2317" t="str">
        <f>IF(Table1[[#This Row],[CurrentStock]]&lt;Table1[[#This Row],[ReorderLevel]],"Reorder","Okay")</f>
        <v>Reorder</v>
      </c>
    </row>
    <row r="2318" spans="1:15" x14ac:dyDescent="0.3">
      <c r="A2318">
        <v>54935</v>
      </c>
      <c r="B2318" t="s">
        <v>12</v>
      </c>
      <c r="C2318" t="s">
        <v>28</v>
      </c>
      <c r="D2318">
        <v>143</v>
      </c>
      <c r="E2318">
        <v>80</v>
      </c>
      <c r="F2318">
        <v>395.41</v>
      </c>
      <c r="G2318" t="s">
        <v>34</v>
      </c>
      <c r="H2318" s="1">
        <v>45507</v>
      </c>
      <c r="I2318" s="1">
        <v>45545</v>
      </c>
      <c r="J2318" t="s">
        <v>37</v>
      </c>
      <c r="K2318" t="b">
        <f>Table1[[#This Row],[CurrentStock]]&lt;Table1[[#This Row],[ReorderLevel]]</f>
        <v>0</v>
      </c>
      <c r="L2318" s="9">
        <f>Table1[[#This Row],[CurrentStock]]*Table1[[#This Row],[UnitPrice]]</f>
        <v>56543.630000000005</v>
      </c>
      <c r="M2318" t="str">
        <f>IF(Table1[[#This Row],[ReorderLevel]]-Table1[[#This Row],[CurrentStock]]&gt;0,Table1[[#This Row],[ReorderLevel]]-Table1[[#This Row],[CurrentStock]],"")</f>
        <v/>
      </c>
      <c r="N2318" t="str">
        <f>IF(Table1[[#This Row],[CurrentStock]]&gt;Table1[[#This Row],[ReorderLevel]]*3,"Over Stock","Okay")</f>
        <v>Okay</v>
      </c>
      <c r="O2318" t="str">
        <f>IF(Table1[[#This Row],[CurrentStock]]&lt;Table1[[#This Row],[ReorderLevel]],"Reorder","Okay")</f>
        <v>Okay</v>
      </c>
    </row>
    <row r="2319" spans="1:15" x14ac:dyDescent="0.3">
      <c r="A2319">
        <v>71407</v>
      </c>
      <c r="B2319" t="s">
        <v>11</v>
      </c>
      <c r="C2319" t="s">
        <v>27</v>
      </c>
      <c r="D2319">
        <v>265</v>
      </c>
      <c r="E2319">
        <v>50</v>
      </c>
      <c r="F2319">
        <v>38.54</v>
      </c>
      <c r="G2319" t="s">
        <v>32</v>
      </c>
      <c r="H2319" s="1">
        <v>45637</v>
      </c>
      <c r="I2319" s="1">
        <v>45656</v>
      </c>
      <c r="J2319" t="s">
        <v>38</v>
      </c>
      <c r="K2319" t="b">
        <f>Table1[[#This Row],[CurrentStock]]&lt;Table1[[#This Row],[ReorderLevel]]</f>
        <v>0</v>
      </c>
      <c r="L2319" s="9">
        <f>Table1[[#This Row],[CurrentStock]]*Table1[[#This Row],[UnitPrice]]</f>
        <v>10213.1</v>
      </c>
      <c r="M2319" t="str">
        <f>IF(Table1[[#This Row],[ReorderLevel]]-Table1[[#This Row],[CurrentStock]]&gt;0,Table1[[#This Row],[ReorderLevel]]-Table1[[#This Row],[CurrentStock]],"")</f>
        <v/>
      </c>
      <c r="N2319" t="str">
        <f>IF(Table1[[#This Row],[CurrentStock]]&gt;Table1[[#This Row],[ReorderLevel]]*3,"Over Stock","Okay")</f>
        <v>Over Stock</v>
      </c>
      <c r="O2319" t="str">
        <f>IF(Table1[[#This Row],[CurrentStock]]&lt;Table1[[#This Row],[ReorderLevel]],"Reorder","Okay")</f>
        <v>Okay</v>
      </c>
    </row>
    <row r="2320" spans="1:15" x14ac:dyDescent="0.3">
      <c r="A2320">
        <v>14225</v>
      </c>
      <c r="B2320" t="s">
        <v>10</v>
      </c>
      <c r="C2320" t="s">
        <v>27</v>
      </c>
      <c r="D2320">
        <v>200</v>
      </c>
      <c r="E2320">
        <v>40</v>
      </c>
      <c r="F2320">
        <v>298.27</v>
      </c>
      <c r="G2320" t="s">
        <v>32</v>
      </c>
      <c r="H2320" s="1">
        <v>45648</v>
      </c>
      <c r="I2320" s="1">
        <v>45661</v>
      </c>
      <c r="J2320" t="s">
        <v>39</v>
      </c>
      <c r="K2320" t="b">
        <f>Table1[[#This Row],[CurrentStock]]&lt;Table1[[#This Row],[ReorderLevel]]</f>
        <v>0</v>
      </c>
      <c r="L2320" s="9">
        <f>Table1[[#This Row],[CurrentStock]]*Table1[[#This Row],[UnitPrice]]</f>
        <v>59654</v>
      </c>
      <c r="M2320" t="str">
        <f>IF(Table1[[#This Row],[ReorderLevel]]-Table1[[#This Row],[CurrentStock]]&gt;0,Table1[[#This Row],[ReorderLevel]]-Table1[[#This Row],[CurrentStock]],"")</f>
        <v/>
      </c>
      <c r="N2320" t="str">
        <f>IF(Table1[[#This Row],[CurrentStock]]&gt;Table1[[#This Row],[ReorderLevel]]*3,"Over Stock","Okay")</f>
        <v>Over Stock</v>
      </c>
      <c r="O2320" t="str">
        <f>IF(Table1[[#This Row],[CurrentStock]]&lt;Table1[[#This Row],[ReorderLevel]],"Reorder","Okay")</f>
        <v>Okay</v>
      </c>
    </row>
    <row r="2321" spans="1:15" x14ac:dyDescent="0.3">
      <c r="A2321">
        <v>28989</v>
      </c>
      <c r="B2321" t="s">
        <v>17</v>
      </c>
      <c r="C2321" t="s">
        <v>30</v>
      </c>
      <c r="D2321">
        <v>431</v>
      </c>
      <c r="E2321">
        <v>80</v>
      </c>
      <c r="F2321">
        <v>40.049999999999997</v>
      </c>
      <c r="G2321" t="s">
        <v>36</v>
      </c>
      <c r="H2321" s="1">
        <v>45626</v>
      </c>
      <c r="I2321" s="1">
        <v>45644</v>
      </c>
      <c r="J2321" t="s">
        <v>39</v>
      </c>
      <c r="K2321" t="b">
        <f>Table1[[#This Row],[CurrentStock]]&lt;Table1[[#This Row],[ReorderLevel]]</f>
        <v>0</v>
      </c>
      <c r="L2321" s="9">
        <f>Table1[[#This Row],[CurrentStock]]*Table1[[#This Row],[UnitPrice]]</f>
        <v>17261.55</v>
      </c>
      <c r="M2321" t="str">
        <f>IF(Table1[[#This Row],[ReorderLevel]]-Table1[[#This Row],[CurrentStock]]&gt;0,Table1[[#This Row],[ReorderLevel]]-Table1[[#This Row],[CurrentStock]],"")</f>
        <v/>
      </c>
      <c r="N2321" t="str">
        <f>IF(Table1[[#This Row],[CurrentStock]]&gt;Table1[[#This Row],[ReorderLevel]]*3,"Over Stock","Okay")</f>
        <v>Over Stock</v>
      </c>
      <c r="O2321" t="str">
        <f>IF(Table1[[#This Row],[CurrentStock]]&lt;Table1[[#This Row],[ReorderLevel]],"Reorder","Okay")</f>
        <v>Okay</v>
      </c>
    </row>
    <row r="2322" spans="1:15" x14ac:dyDescent="0.3">
      <c r="A2322">
        <v>21055</v>
      </c>
      <c r="B2322" t="s">
        <v>12</v>
      </c>
      <c r="C2322" t="s">
        <v>28</v>
      </c>
      <c r="D2322">
        <v>336</v>
      </c>
      <c r="E2322">
        <v>40</v>
      </c>
      <c r="F2322">
        <v>148.72999999999999</v>
      </c>
      <c r="G2322" t="s">
        <v>35</v>
      </c>
      <c r="H2322" s="1">
        <v>45349</v>
      </c>
      <c r="I2322" s="1">
        <v>45377</v>
      </c>
      <c r="J2322" t="s">
        <v>37</v>
      </c>
      <c r="K2322" t="b">
        <f>Table1[[#This Row],[CurrentStock]]&lt;Table1[[#This Row],[ReorderLevel]]</f>
        <v>0</v>
      </c>
      <c r="L2322" s="9">
        <f>Table1[[#This Row],[CurrentStock]]*Table1[[#This Row],[UnitPrice]]</f>
        <v>49973.279999999999</v>
      </c>
      <c r="M2322" t="str">
        <f>IF(Table1[[#This Row],[ReorderLevel]]-Table1[[#This Row],[CurrentStock]]&gt;0,Table1[[#This Row],[ReorderLevel]]-Table1[[#This Row],[CurrentStock]],"")</f>
        <v/>
      </c>
      <c r="N2322" t="str">
        <f>IF(Table1[[#This Row],[CurrentStock]]&gt;Table1[[#This Row],[ReorderLevel]]*3,"Over Stock","Okay")</f>
        <v>Over Stock</v>
      </c>
      <c r="O2322" t="str">
        <f>IF(Table1[[#This Row],[CurrentStock]]&lt;Table1[[#This Row],[ReorderLevel]],"Reorder","Okay")</f>
        <v>Okay</v>
      </c>
    </row>
    <row r="2323" spans="1:15" x14ac:dyDescent="0.3">
      <c r="A2323">
        <v>83541</v>
      </c>
      <c r="B2323" t="s">
        <v>24</v>
      </c>
      <c r="C2323" t="s">
        <v>31</v>
      </c>
      <c r="D2323">
        <v>13</v>
      </c>
      <c r="E2323">
        <v>150</v>
      </c>
      <c r="F2323">
        <v>345.33</v>
      </c>
      <c r="G2323" t="s">
        <v>35</v>
      </c>
      <c r="H2323" s="1">
        <v>45436</v>
      </c>
      <c r="I2323" s="1">
        <v>45471</v>
      </c>
      <c r="J2323" t="s">
        <v>39</v>
      </c>
      <c r="K2323" t="b">
        <f>Table1[[#This Row],[CurrentStock]]&lt;Table1[[#This Row],[ReorderLevel]]</f>
        <v>1</v>
      </c>
      <c r="L2323" s="9">
        <f>Table1[[#This Row],[CurrentStock]]*Table1[[#This Row],[UnitPrice]]</f>
        <v>4489.29</v>
      </c>
      <c r="M2323">
        <f>IF(Table1[[#This Row],[ReorderLevel]]-Table1[[#This Row],[CurrentStock]]&gt;0,Table1[[#This Row],[ReorderLevel]]-Table1[[#This Row],[CurrentStock]],"")</f>
        <v>137</v>
      </c>
      <c r="N2323" t="str">
        <f>IF(Table1[[#This Row],[CurrentStock]]&gt;Table1[[#This Row],[ReorderLevel]]*3,"Over Stock","Okay")</f>
        <v>Okay</v>
      </c>
      <c r="O2323" t="str">
        <f>IF(Table1[[#This Row],[CurrentStock]]&lt;Table1[[#This Row],[ReorderLevel]],"Reorder","Okay")</f>
        <v>Reorder</v>
      </c>
    </row>
    <row r="2324" spans="1:15" x14ac:dyDescent="0.3">
      <c r="A2324">
        <v>29513</v>
      </c>
      <c r="B2324" t="s">
        <v>17</v>
      </c>
      <c r="C2324" t="s">
        <v>30</v>
      </c>
      <c r="D2324">
        <v>157</v>
      </c>
      <c r="E2324">
        <v>30</v>
      </c>
      <c r="F2324">
        <v>199.44</v>
      </c>
      <c r="G2324" t="s">
        <v>32</v>
      </c>
      <c r="H2324" s="1">
        <v>45610</v>
      </c>
      <c r="I2324" s="1">
        <v>45641</v>
      </c>
      <c r="J2324" t="s">
        <v>38</v>
      </c>
      <c r="K2324" t="b">
        <f>Table1[[#This Row],[CurrentStock]]&lt;Table1[[#This Row],[ReorderLevel]]</f>
        <v>0</v>
      </c>
      <c r="L2324" s="9">
        <f>Table1[[#This Row],[CurrentStock]]*Table1[[#This Row],[UnitPrice]]</f>
        <v>31312.079999999998</v>
      </c>
      <c r="M2324" t="str">
        <f>IF(Table1[[#This Row],[ReorderLevel]]-Table1[[#This Row],[CurrentStock]]&gt;0,Table1[[#This Row],[ReorderLevel]]-Table1[[#This Row],[CurrentStock]],"")</f>
        <v/>
      </c>
      <c r="N2324" t="str">
        <f>IF(Table1[[#This Row],[CurrentStock]]&gt;Table1[[#This Row],[ReorderLevel]]*3,"Over Stock","Okay")</f>
        <v>Over Stock</v>
      </c>
      <c r="O2324" t="str">
        <f>IF(Table1[[#This Row],[CurrentStock]]&lt;Table1[[#This Row],[ReorderLevel]],"Reorder","Okay")</f>
        <v>Okay</v>
      </c>
    </row>
    <row r="2325" spans="1:15" x14ac:dyDescent="0.3">
      <c r="A2325">
        <v>67194</v>
      </c>
      <c r="B2325" t="s">
        <v>16</v>
      </c>
      <c r="C2325" t="s">
        <v>30</v>
      </c>
      <c r="D2325">
        <v>486</v>
      </c>
      <c r="E2325">
        <v>150</v>
      </c>
      <c r="F2325">
        <v>137.97</v>
      </c>
      <c r="G2325" t="s">
        <v>33</v>
      </c>
      <c r="H2325" s="1">
        <v>45399</v>
      </c>
      <c r="I2325" s="1">
        <v>45418</v>
      </c>
      <c r="J2325" t="s">
        <v>38</v>
      </c>
      <c r="K2325" t="b">
        <f>Table1[[#This Row],[CurrentStock]]&lt;Table1[[#This Row],[ReorderLevel]]</f>
        <v>0</v>
      </c>
      <c r="L2325" s="9">
        <f>Table1[[#This Row],[CurrentStock]]*Table1[[#This Row],[UnitPrice]]</f>
        <v>67053.42</v>
      </c>
      <c r="M2325" t="str">
        <f>IF(Table1[[#This Row],[ReorderLevel]]-Table1[[#This Row],[CurrentStock]]&gt;0,Table1[[#This Row],[ReorderLevel]]-Table1[[#This Row],[CurrentStock]],"")</f>
        <v/>
      </c>
      <c r="N2325" t="str">
        <f>IF(Table1[[#This Row],[CurrentStock]]&gt;Table1[[#This Row],[ReorderLevel]]*3,"Over Stock","Okay")</f>
        <v>Over Stock</v>
      </c>
      <c r="O2325" t="str">
        <f>IF(Table1[[#This Row],[CurrentStock]]&lt;Table1[[#This Row],[ReorderLevel]],"Reorder","Okay")</f>
        <v>Okay</v>
      </c>
    </row>
    <row r="2326" spans="1:15" x14ac:dyDescent="0.3">
      <c r="A2326">
        <v>72054</v>
      </c>
      <c r="B2326" t="s">
        <v>20</v>
      </c>
      <c r="C2326" t="s">
        <v>29</v>
      </c>
      <c r="D2326">
        <v>57</v>
      </c>
      <c r="E2326">
        <v>150</v>
      </c>
      <c r="F2326">
        <v>117.51</v>
      </c>
      <c r="G2326" t="s">
        <v>32</v>
      </c>
      <c r="H2326" s="1">
        <v>45338</v>
      </c>
      <c r="I2326" s="1">
        <v>45354</v>
      </c>
      <c r="J2326" t="s">
        <v>37</v>
      </c>
      <c r="K2326" t="b">
        <f>Table1[[#This Row],[CurrentStock]]&lt;Table1[[#This Row],[ReorderLevel]]</f>
        <v>1</v>
      </c>
      <c r="L2326" s="9">
        <f>Table1[[#This Row],[CurrentStock]]*Table1[[#This Row],[UnitPrice]]</f>
        <v>6698.0700000000006</v>
      </c>
      <c r="M2326">
        <f>IF(Table1[[#This Row],[ReorderLevel]]-Table1[[#This Row],[CurrentStock]]&gt;0,Table1[[#This Row],[ReorderLevel]]-Table1[[#This Row],[CurrentStock]],"")</f>
        <v>93</v>
      </c>
      <c r="N2326" t="str">
        <f>IF(Table1[[#This Row],[CurrentStock]]&gt;Table1[[#This Row],[ReorderLevel]]*3,"Over Stock","Okay")</f>
        <v>Okay</v>
      </c>
      <c r="O2326" t="str">
        <f>IF(Table1[[#This Row],[CurrentStock]]&lt;Table1[[#This Row],[ReorderLevel]],"Reorder","Okay")</f>
        <v>Reorder</v>
      </c>
    </row>
    <row r="2327" spans="1:15" x14ac:dyDescent="0.3">
      <c r="A2327">
        <v>90635</v>
      </c>
      <c r="B2327" t="s">
        <v>20</v>
      </c>
      <c r="C2327" t="s">
        <v>29</v>
      </c>
      <c r="D2327">
        <v>386</v>
      </c>
      <c r="E2327">
        <v>80</v>
      </c>
      <c r="F2327">
        <v>145.38</v>
      </c>
      <c r="G2327" t="s">
        <v>33</v>
      </c>
      <c r="H2327" s="1">
        <v>45378</v>
      </c>
      <c r="I2327" s="1">
        <v>45408</v>
      </c>
      <c r="J2327" t="s">
        <v>37</v>
      </c>
      <c r="K2327" t="b">
        <f>Table1[[#This Row],[CurrentStock]]&lt;Table1[[#This Row],[ReorderLevel]]</f>
        <v>0</v>
      </c>
      <c r="L2327" s="9">
        <f>Table1[[#This Row],[CurrentStock]]*Table1[[#This Row],[UnitPrice]]</f>
        <v>56116.68</v>
      </c>
      <c r="M2327" t="str">
        <f>IF(Table1[[#This Row],[ReorderLevel]]-Table1[[#This Row],[CurrentStock]]&gt;0,Table1[[#This Row],[ReorderLevel]]-Table1[[#This Row],[CurrentStock]],"")</f>
        <v/>
      </c>
      <c r="N2327" t="str">
        <f>IF(Table1[[#This Row],[CurrentStock]]&gt;Table1[[#This Row],[ReorderLevel]]*3,"Over Stock","Okay")</f>
        <v>Over Stock</v>
      </c>
      <c r="O2327" t="str">
        <f>IF(Table1[[#This Row],[CurrentStock]]&lt;Table1[[#This Row],[ReorderLevel]],"Reorder","Okay")</f>
        <v>Okay</v>
      </c>
    </row>
    <row r="2328" spans="1:15" x14ac:dyDescent="0.3">
      <c r="A2328">
        <v>39063</v>
      </c>
      <c r="B2328" t="s">
        <v>11</v>
      </c>
      <c r="C2328" t="s">
        <v>27</v>
      </c>
      <c r="D2328">
        <v>425</v>
      </c>
      <c r="E2328">
        <v>150</v>
      </c>
      <c r="F2328">
        <v>415.88</v>
      </c>
      <c r="G2328" t="s">
        <v>33</v>
      </c>
      <c r="H2328" s="1">
        <v>45503</v>
      </c>
      <c r="I2328" s="1">
        <v>45527</v>
      </c>
      <c r="J2328" t="s">
        <v>37</v>
      </c>
      <c r="K2328" t="b">
        <f>Table1[[#This Row],[CurrentStock]]&lt;Table1[[#This Row],[ReorderLevel]]</f>
        <v>0</v>
      </c>
      <c r="L2328" s="9">
        <f>Table1[[#This Row],[CurrentStock]]*Table1[[#This Row],[UnitPrice]]</f>
        <v>176749</v>
      </c>
      <c r="M2328" t="str">
        <f>IF(Table1[[#This Row],[ReorderLevel]]-Table1[[#This Row],[CurrentStock]]&gt;0,Table1[[#This Row],[ReorderLevel]]-Table1[[#This Row],[CurrentStock]],"")</f>
        <v/>
      </c>
      <c r="N2328" t="str">
        <f>IF(Table1[[#This Row],[CurrentStock]]&gt;Table1[[#This Row],[ReorderLevel]]*3,"Over Stock","Okay")</f>
        <v>Okay</v>
      </c>
      <c r="O2328" t="str">
        <f>IF(Table1[[#This Row],[CurrentStock]]&lt;Table1[[#This Row],[ReorderLevel]],"Reorder","Okay")</f>
        <v>Okay</v>
      </c>
    </row>
    <row r="2329" spans="1:15" x14ac:dyDescent="0.3">
      <c r="A2329">
        <v>25921</v>
      </c>
      <c r="B2329" t="s">
        <v>17</v>
      </c>
      <c r="C2329" t="s">
        <v>30</v>
      </c>
      <c r="D2329">
        <v>76</v>
      </c>
      <c r="E2329">
        <v>80</v>
      </c>
      <c r="F2329">
        <v>186.81</v>
      </c>
      <c r="G2329" t="s">
        <v>35</v>
      </c>
      <c r="H2329" s="1">
        <v>45464</v>
      </c>
      <c r="I2329" s="1">
        <v>45486</v>
      </c>
      <c r="J2329" t="s">
        <v>37</v>
      </c>
      <c r="K2329" t="b">
        <f>Table1[[#This Row],[CurrentStock]]&lt;Table1[[#This Row],[ReorderLevel]]</f>
        <v>1</v>
      </c>
      <c r="L2329" s="9">
        <f>Table1[[#This Row],[CurrentStock]]*Table1[[#This Row],[UnitPrice]]</f>
        <v>14197.56</v>
      </c>
      <c r="M2329">
        <f>IF(Table1[[#This Row],[ReorderLevel]]-Table1[[#This Row],[CurrentStock]]&gt;0,Table1[[#This Row],[ReorderLevel]]-Table1[[#This Row],[CurrentStock]],"")</f>
        <v>4</v>
      </c>
      <c r="N2329" t="str">
        <f>IF(Table1[[#This Row],[CurrentStock]]&gt;Table1[[#This Row],[ReorderLevel]]*3,"Over Stock","Okay")</f>
        <v>Okay</v>
      </c>
      <c r="O2329" t="str">
        <f>IF(Table1[[#This Row],[CurrentStock]]&lt;Table1[[#This Row],[ReorderLevel]],"Reorder","Okay")</f>
        <v>Reorder</v>
      </c>
    </row>
    <row r="2330" spans="1:15" x14ac:dyDescent="0.3">
      <c r="A2330">
        <v>21683</v>
      </c>
      <c r="B2330" t="s">
        <v>26</v>
      </c>
      <c r="C2330" t="s">
        <v>30</v>
      </c>
      <c r="D2330">
        <v>226</v>
      </c>
      <c r="E2330">
        <v>150</v>
      </c>
      <c r="F2330">
        <v>44.63</v>
      </c>
      <c r="G2330" t="s">
        <v>32</v>
      </c>
      <c r="H2330" s="1">
        <v>45490</v>
      </c>
      <c r="I2330" s="1">
        <v>45506</v>
      </c>
      <c r="J2330" t="s">
        <v>38</v>
      </c>
      <c r="K2330" t="b">
        <f>Table1[[#This Row],[CurrentStock]]&lt;Table1[[#This Row],[ReorderLevel]]</f>
        <v>0</v>
      </c>
      <c r="L2330" s="9">
        <f>Table1[[#This Row],[CurrentStock]]*Table1[[#This Row],[UnitPrice]]</f>
        <v>10086.380000000001</v>
      </c>
      <c r="M2330" t="str">
        <f>IF(Table1[[#This Row],[ReorderLevel]]-Table1[[#This Row],[CurrentStock]]&gt;0,Table1[[#This Row],[ReorderLevel]]-Table1[[#This Row],[CurrentStock]],"")</f>
        <v/>
      </c>
      <c r="N2330" t="str">
        <f>IF(Table1[[#This Row],[CurrentStock]]&gt;Table1[[#This Row],[ReorderLevel]]*3,"Over Stock","Okay")</f>
        <v>Okay</v>
      </c>
      <c r="O2330" t="str">
        <f>IF(Table1[[#This Row],[CurrentStock]]&lt;Table1[[#This Row],[ReorderLevel]],"Reorder","Okay")</f>
        <v>Okay</v>
      </c>
    </row>
    <row r="2331" spans="1:15" x14ac:dyDescent="0.3">
      <c r="A2331">
        <v>58266</v>
      </c>
      <c r="B2331" t="s">
        <v>25</v>
      </c>
      <c r="C2331" t="s">
        <v>31</v>
      </c>
      <c r="D2331">
        <v>365</v>
      </c>
      <c r="E2331">
        <v>30</v>
      </c>
      <c r="F2331">
        <v>444.17</v>
      </c>
      <c r="G2331" t="s">
        <v>32</v>
      </c>
      <c r="H2331" s="1">
        <v>45424</v>
      </c>
      <c r="I2331" s="1">
        <v>45444</v>
      </c>
      <c r="J2331" t="s">
        <v>38</v>
      </c>
      <c r="K2331" t="b">
        <f>Table1[[#This Row],[CurrentStock]]&lt;Table1[[#This Row],[ReorderLevel]]</f>
        <v>0</v>
      </c>
      <c r="L2331" s="9">
        <f>Table1[[#This Row],[CurrentStock]]*Table1[[#This Row],[UnitPrice]]</f>
        <v>162122.05000000002</v>
      </c>
      <c r="M2331" t="str">
        <f>IF(Table1[[#This Row],[ReorderLevel]]-Table1[[#This Row],[CurrentStock]]&gt;0,Table1[[#This Row],[ReorderLevel]]-Table1[[#This Row],[CurrentStock]],"")</f>
        <v/>
      </c>
      <c r="N2331" t="str">
        <f>IF(Table1[[#This Row],[CurrentStock]]&gt;Table1[[#This Row],[ReorderLevel]]*3,"Over Stock","Okay")</f>
        <v>Over Stock</v>
      </c>
      <c r="O2331" t="str">
        <f>IF(Table1[[#This Row],[CurrentStock]]&lt;Table1[[#This Row],[ReorderLevel]],"Reorder","Okay")</f>
        <v>Okay</v>
      </c>
    </row>
    <row r="2332" spans="1:15" x14ac:dyDescent="0.3">
      <c r="A2332">
        <v>60411</v>
      </c>
      <c r="B2332" t="s">
        <v>25</v>
      </c>
      <c r="C2332" t="s">
        <v>31</v>
      </c>
      <c r="D2332">
        <v>118</v>
      </c>
      <c r="E2332">
        <v>30</v>
      </c>
      <c r="F2332">
        <v>364.87</v>
      </c>
      <c r="G2332" t="s">
        <v>32</v>
      </c>
      <c r="H2332" s="1">
        <v>45429</v>
      </c>
      <c r="I2332" s="1">
        <v>45451</v>
      </c>
      <c r="J2332" t="s">
        <v>39</v>
      </c>
      <c r="K2332" t="b">
        <f>Table1[[#This Row],[CurrentStock]]&lt;Table1[[#This Row],[ReorderLevel]]</f>
        <v>0</v>
      </c>
      <c r="L2332" s="9">
        <f>Table1[[#This Row],[CurrentStock]]*Table1[[#This Row],[UnitPrice]]</f>
        <v>43054.66</v>
      </c>
      <c r="M2332" t="str">
        <f>IF(Table1[[#This Row],[ReorderLevel]]-Table1[[#This Row],[CurrentStock]]&gt;0,Table1[[#This Row],[ReorderLevel]]-Table1[[#This Row],[CurrentStock]],"")</f>
        <v/>
      </c>
      <c r="N2332" t="str">
        <f>IF(Table1[[#This Row],[CurrentStock]]&gt;Table1[[#This Row],[ReorderLevel]]*3,"Over Stock","Okay")</f>
        <v>Over Stock</v>
      </c>
      <c r="O2332" t="str">
        <f>IF(Table1[[#This Row],[CurrentStock]]&lt;Table1[[#This Row],[ReorderLevel]],"Reorder","Okay")</f>
        <v>Okay</v>
      </c>
    </row>
    <row r="2333" spans="1:15" x14ac:dyDescent="0.3">
      <c r="A2333">
        <v>83694</v>
      </c>
      <c r="B2333" t="s">
        <v>13</v>
      </c>
      <c r="C2333" t="s">
        <v>29</v>
      </c>
      <c r="D2333">
        <v>115</v>
      </c>
      <c r="E2333">
        <v>40</v>
      </c>
      <c r="F2333">
        <v>174.3</v>
      </c>
      <c r="G2333" t="s">
        <v>33</v>
      </c>
      <c r="H2333" s="1">
        <v>45492</v>
      </c>
      <c r="I2333" s="1">
        <v>45518</v>
      </c>
      <c r="J2333" t="s">
        <v>37</v>
      </c>
      <c r="K2333" t="b">
        <f>Table1[[#This Row],[CurrentStock]]&lt;Table1[[#This Row],[ReorderLevel]]</f>
        <v>0</v>
      </c>
      <c r="L2333" s="9">
        <f>Table1[[#This Row],[CurrentStock]]*Table1[[#This Row],[UnitPrice]]</f>
        <v>20044.5</v>
      </c>
      <c r="M2333" t="str">
        <f>IF(Table1[[#This Row],[ReorderLevel]]-Table1[[#This Row],[CurrentStock]]&gt;0,Table1[[#This Row],[ReorderLevel]]-Table1[[#This Row],[CurrentStock]],"")</f>
        <v/>
      </c>
      <c r="N2333" t="str">
        <f>IF(Table1[[#This Row],[CurrentStock]]&gt;Table1[[#This Row],[ReorderLevel]]*3,"Over Stock","Okay")</f>
        <v>Okay</v>
      </c>
      <c r="O2333" t="str">
        <f>IF(Table1[[#This Row],[CurrentStock]]&lt;Table1[[#This Row],[ReorderLevel]],"Reorder","Okay")</f>
        <v>Okay</v>
      </c>
    </row>
    <row r="2334" spans="1:15" x14ac:dyDescent="0.3">
      <c r="A2334">
        <v>27301</v>
      </c>
      <c r="B2334" t="s">
        <v>25</v>
      </c>
      <c r="C2334" t="s">
        <v>31</v>
      </c>
      <c r="D2334">
        <v>129</v>
      </c>
      <c r="E2334">
        <v>80</v>
      </c>
      <c r="F2334">
        <v>314.19</v>
      </c>
      <c r="G2334" t="s">
        <v>34</v>
      </c>
      <c r="H2334" s="1">
        <v>45456</v>
      </c>
      <c r="I2334" s="1">
        <v>45467</v>
      </c>
      <c r="J2334" t="s">
        <v>39</v>
      </c>
      <c r="K2334" t="b">
        <f>Table1[[#This Row],[CurrentStock]]&lt;Table1[[#This Row],[ReorderLevel]]</f>
        <v>0</v>
      </c>
      <c r="L2334" s="9">
        <f>Table1[[#This Row],[CurrentStock]]*Table1[[#This Row],[UnitPrice]]</f>
        <v>40530.51</v>
      </c>
      <c r="M2334" t="str">
        <f>IF(Table1[[#This Row],[ReorderLevel]]-Table1[[#This Row],[CurrentStock]]&gt;0,Table1[[#This Row],[ReorderLevel]]-Table1[[#This Row],[CurrentStock]],"")</f>
        <v/>
      </c>
      <c r="N2334" t="str">
        <f>IF(Table1[[#This Row],[CurrentStock]]&gt;Table1[[#This Row],[ReorderLevel]]*3,"Over Stock","Okay")</f>
        <v>Okay</v>
      </c>
      <c r="O2334" t="str">
        <f>IF(Table1[[#This Row],[CurrentStock]]&lt;Table1[[#This Row],[ReorderLevel]],"Reorder","Okay")</f>
        <v>Okay</v>
      </c>
    </row>
    <row r="2335" spans="1:15" x14ac:dyDescent="0.3">
      <c r="A2335">
        <v>48751</v>
      </c>
      <c r="B2335" t="s">
        <v>25</v>
      </c>
      <c r="C2335" t="s">
        <v>31</v>
      </c>
      <c r="D2335">
        <v>427</v>
      </c>
      <c r="E2335">
        <v>30</v>
      </c>
      <c r="F2335">
        <v>97.28</v>
      </c>
      <c r="G2335" t="s">
        <v>35</v>
      </c>
      <c r="H2335" s="1">
        <v>45538</v>
      </c>
      <c r="I2335" s="1">
        <v>45557</v>
      </c>
      <c r="J2335" t="s">
        <v>37</v>
      </c>
      <c r="K2335" t="b">
        <f>Table1[[#This Row],[CurrentStock]]&lt;Table1[[#This Row],[ReorderLevel]]</f>
        <v>0</v>
      </c>
      <c r="L2335" s="9">
        <f>Table1[[#This Row],[CurrentStock]]*Table1[[#This Row],[UnitPrice]]</f>
        <v>41538.559999999998</v>
      </c>
      <c r="M2335" t="str">
        <f>IF(Table1[[#This Row],[ReorderLevel]]-Table1[[#This Row],[CurrentStock]]&gt;0,Table1[[#This Row],[ReorderLevel]]-Table1[[#This Row],[CurrentStock]],"")</f>
        <v/>
      </c>
      <c r="N2335" t="str">
        <f>IF(Table1[[#This Row],[CurrentStock]]&gt;Table1[[#This Row],[ReorderLevel]]*3,"Over Stock","Okay")</f>
        <v>Over Stock</v>
      </c>
      <c r="O2335" t="str">
        <f>IF(Table1[[#This Row],[CurrentStock]]&lt;Table1[[#This Row],[ReorderLevel]],"Reorder","Okay")</f>
        <v>Okay</v>
      </c>
    </row>
    <row r="2336" spans="1:15" x14ac:dyDescent="0.3">
      <c r="A2336">
        <v>66782</v>
      </c>
      <c r="B2336" t="s">
        <v>16</v>
      </c>
      <c r="C2336" t="s">
        <v>30</v>
      </c>
      <c r="D2336">
        <v>238</v>
      </c>
      <c r="E2336">
        <v>30</v>
      </c>
      <c r="F2336">
        <v>46.17</v>
      </c>
      <c r="G2336" t="s">
        <v>35</v>
      </c>
      <c r="H2336" s="1">
        <v>45376</v>
      </c>
      <c r="I2336" s="1">
        <v>45392</v>
      </c>
      <c r="J2336" t="s">
        <v>39</v>
      </c>
      <c r="K2336" t="b">
        <f>Table1[[#This Row],[CurrentStock]]&lt;Table1[[#This Row],[ReorderLevel]]</f>
        <v>0</v>
      </c>
      <c r="L2336" s="9">
        <f>Table1[[#This Row],[CurrentStock]]*Table1[[#This Row],[UnitPrice]]</f>
        <v>10988.460000000001</v>
      </c>
      <c r="M2336" t="str">
        <f>IF(Table1[[#This Row],[ReorderLevel]]-Table1[[#This Row],[CurrentStock]]&gt;0,Table1[[#This Row],[ReorderLevel]]-Table1[[#This Row],[CurrentStock]],"")</f>
        <v/>
      </c>
      <c r="N2336" t="str">
        <f>IF(Table1[[#This Row],[CurrentStock]]&gt;Table1[[#This Row],[ReorderLevel]]*3,"Over Stock","Okay")</f>
        <v>Over Stock</v>
      </c>
      <c r="O2336" t="str">
        <f>IF(Table1[[#This Row],[CurrentStock]]&lt;Table1[[#This Row],[ReorderLevel]],"Reorder","Okay")</f>
        <v>Okay</v>
      </c>
    </row>
    <row r="2337" spans="1:15" x14ac:dyDescent="0.3">
      <c r="A2337">
        <v>10029</v>
      </c>
      <c r="B2337" t="s">
        <v>22</v>
      </c>
      <c r="C2337" t="s">
        <v>27</v>
      </c>
      <c r="D2337">
        <v>38</v>
      </c>
      <c r="E2337">
        <v>100</v>
      </c>
      <c r="F2337">
        <v>445.35</v>
      </c>
      <c r="G2337" t="s">
        <v>34</v>
      </c>
      <c r="H2337" s="1">
        <v>45478</v>
      </c>
      <c r="I2337" s="1">
        <v>45487</v>
      </c>
      <c r="J2337" t="s">
        <v>38</v>
      </c>
      <c r="K2337" t="b">
        <f>Table1[[#This Row],[CurrentStock]]&lt;Table1[[#This Row],[ReorderLevel]]</f>
        <v>1</v>
      </c>
      <c r="L2337" s="9">
        <f>Table1[[#This Row],[CurrentStock]]*Table1[[#This Row],[UnitPrice]]</f>
        <v>16923.3</v>
      </c>
      <c r="M2337">
        <f>IF(Table1[[#This Row],[ReorderLevel]]-Table1[[#This Row],[CurrentStock]]&gt;0,Table1[[#This Row],[ReorderLevel]]-Table1[[#This Row],[CurrentStock]],"")</f>
        <v>62</v>
      </c>
      <c r="N2337" t="str">
        <f>IF(Table1[[#This Row],[CurrentStock]]&gt;Table1[[#This Row],[ReorderLevel]]*3,"Over Stock","Okay")</f>
        <v>Okay</v>
      </c>
      <c r="O2337" t="str">
        <f>IF(Table1[[#This Row],[CurrentStock]]&lt;Table1[[#This Row],[ReorderLevel]],"Reorder","Okay")</f>
        <v>Reorder</v>
      </c>
    </row>
    <row r="2338" spans="1:15" x14ac:dyDescent="0.3">
      <c r="A2338">
        <v>46827</v>
      </c>
      <c r="B2338" t="s">
        <v>20</v>
      </c>
      <c r="C2338" t="s">
        <v>29</v>
      </c>
      <c r="D2338">
        <v>73</v>
      </c>
      <c r="E2338">
        <v>150</v>
      </c>
      <c r="F2338">
        <v>158.29</v>
      </c>
      <c r="G2338" t="s">
        <v>34</v>
      </c>
      <c r="H2338" s="1">
        <v>45351</v>
      </c>
      <c r="I2338" s="1">
        <v>45379</v>
      </c>
      <c r="J2338" t="s">
        <v>38</v>
      </c>
      <c r="K2338" t="b">
        <f>Table1[[#This Row],[CurrentStock]]&lt;Table1[[#This Row],[ReorderLevel]]</f>
        <v>1</v>
      </c>
      <c r="L2338" s="9">
        <f>Table1[[#This Row],[CurrentStock]]*Table1[[#This Row],[UnitPrice]]</f>
        <v>11555.17</v>
      </c>
      <c r="M2338">
        <f>IF(Table1[[#This Row],[ReorderLevel]]-Table1[[#This Row],[CurrentStock]]&gt;0,Table1[[#This Row],[ReorderLevel]]-Table1[[#This Row],[CurrentStock]],"")</f>
        <v>77</v>
      </c>
      <c r="N2338" t="str">
        <f>IF(Table1[[#This Row],[CurrentStock]]&gt;Table1[[#This Row],[ReorderLevel]]*3,"Over Stock","Okay")</f>
        <v>Okay</v>
      </c>
      <c r="O2338" t="str">
        <f>IF(Table1[[#This Row],[CurrentStock]]&lt;Table1[[#This Row],[ReorderLevel]],"Reorder","Okay")</f>
        <v>Reorder</v>
      </c>
    </row>
    <row r="2339" spans="1:15" x14ac:dyDescent="0.3">
      <c r="A2339">
        <v>53884</v>
      </c>
      <c r="B2339" t="s">
        <v>13</v>
      </c>
      <c r="C2339" t="s">
        <v>29</v>
      </c>
      <c r="D2339">
        <v>468</v>
      </c>
      <c r="E2339">
        <v>40</v>
      </c>
      <c r="F2339">
        <v>401.96</v>
      </c>
      <c r="G2339" t="s">
        <v>32</v>
      </c>
      <c r="H2339" s="1">
        <v>45451</v>
      </c>
      <c r="I2339" s="1">
        <v>45457</v>
      </c>
      <c r="J2339" t="s">
        <v>38</v>
      </c>
      <c r="K2339" t="b">
        <f>Table1[[#This Row],[CurrentStock]]&lt;Table1[[#This Row],[ReorderLevel]]</f>
        <v>0</v>
      </c>
      <c r="L2339" s="9">
        <f>Table1[[#This Row],[CurrentStock]]*Table1[[#This Row],[UnitPrice]]</f>
        <v>188117.28</v>
      </c>
      <c r="M2339" t="str">
        <f>IF(Table1[[#This Row],[ReorderLevel]]-Table1[[#This Row],[CurrentStock]]&gt;0,Table1[[#This Row],[ReorderLevel]]-Table1[[#This Row],[CurrentStock]],"")</f>
        <v/>
      </c>
      <c r="N2339" t="str">
        <f>IF(Table1[[#This Row],[CurrentStock]]&gt;Table1[[#This Row],[ReorderLevel]]*3,"Over Stock","Okay")</f>
        <v>Over Stock</v>
      </c>
      <c r="O2339" t="str">
        <f>IF(Table1[[#This Row],[CurrentStock]]&lt;Table1[[#This Row],[ReorderLevel]],"Reorder","Okay")</f>
        <v>Okay</v>
      </c>
    </row>
    <row r="2340" spans="1:15" x14ac:dyDescent="0.3">
      <c r="A2340">
        <v>87391</v>
      </c>
      <c r="B2340" t="s">
        <v>18</v>
      </c>
      <c r="C2340" t="s">
        <v>28</v>
      </c>
      <c r="D2340">
        <v>254</v>
      </c>
      <c r="E2340">
        <v>150</v>
      </c>
      <c r="F2340">
        <v>176.59</v>
      </c>
      <c r="G2340" t="s">
        <v>33</v>
      </c>
      <c r="H2340" s="1">
        <v>45430</v>
      </c>
      <c r="I2340" s="1">
        <v>45448</v>
      </c>
      <c r="J2340" t="s">
        <v>39</v>
      </c>
      <c r="K2340" t="b">
        <f>Table1[[#This Row],[CurrentStock]]&lt;Table1[[#This Row],[ReorderLevel]]</f>
        <v>0</v>
      </c>
      <c r="L2340" s="9">
        <f>Table1[[#This Row],[CurrentStock]]*Table1[[#This Row],[UnitPrice]]</f>
        <v>44853.86</v>
      </c>
      <c r="M2340" t="str">
        <f>IF(Table1[[#This Row],[ReorderLevel]]-Table1[[#This Row],[CurrentStock]]&gt;0,Table1[[#This Row],[ReorderLevel]]-Table1[[#This Row],[CurrentStock]],"")</f>
        <v/>
      </c>
      <c r="N2340" t="str">
        <f>IF(Table1[[#This Row],[CurrentStock]]&gt;Table1[[#This Row],[ReorderLevel]]*3,"Over Stock","Okay")</f>
        <v>Okay</v>
      </c>
      <c r="O2340" t="str">
        <f>IF(Table1[[#This Row],[CurrentStock]]&lt;Table1[[#This Row],[ReorderLevel]],"Reorder","Okay")</f>
        <v>Okay</v>
      </c>
    </row>
    <row r="2341" spans="1:15" x14ac:dyDescent="0.3">
      <c r="A2341">
        <v>10357</v>
      </c>
      <c r="B2341" t="s">
        <v>24</v>
      </c>
      <c r="C2341" t="s">
        <v>31</v>
      </c>
      <c r="D2341">
        <v>79</v>
      </c>
      <c r="E2341">
        <v>100</v>
      </c>
      <c r="F2341">
        <v>406.41</v>
      </c>
      <c r="G2341" t="s">
        <v>36</v>
      </c>
      <c r="H2341" s="1">
        <v>45565</v>
      </c>
      <c r="I2341" s="1">
        <v>45595</v>
      </c>
      <c r="J2341" t="s">
        <v>39</v>
      </c>
      <c r="K2341" t="b">
        <f>Table1[[#This Row],[CurrentStock]]&lt;Table1[[#This Row],[ReorderLevel]]</f>
        <v>1</v>
      </c>
      <c r="L2341" s="9">
        <f>Table1[[#This Row],[CurrentStock]]*Table1[[#This Row],[UnitPrice]]</f>
        <v>32106.390000000003</v>
      </c>
      <c r="M2341">
        <f>IF(Table1[[#This Row],[ReorderLevel]]-Table1[[#This Row],[CurrentStock]]&gt;0,Table1[[#This Row],[ReorderLevel]]-Table1[[#This Row],[CurrentStock]],"")</f>
        <v>21</v>
      </c>
      <c r="N2341" t="str">
        <f>IF(Table1[[#This Row],[CurrentStock]]&gt;Table1[[#This Row],[ReorderLevel]]*3,"Over Stock","Okay")</f>
        <v>Okay</v>
      </c>
      <c r="O2341" t="str">
        <f>IF(Table1[[#This Row],[CurrentStock]]&lt;Table1[[#This Row],[ReorderLevel]],"Reorder","Okay")</f>
        <v>Reorder</v>
      </c>
    </row>
    <row r="2342" spans="1:15" x14ac:dyDescent="0.3">
      <c r="A2342">
        <v>14447</v>
      </c>
      <c r="B2342" t="s">
        <v>18</v>
      </c>
      <c r="C2342" t="s">
        <v>28</v>
      </c>
      <c r="D2342">
        <v>198</v>
      </c>
      <c r="E2342">
        <v>20</v>
      </c>
      <c r="F2342">
        <v>238.29</v>
      </c>
      <c r="G2342" t="s">
        <v>34</v>
      </c>
      <c r="H2342" s="1">
        <v>45405</v>
      </c>
      <c r="I2342" s="1">
        <v>45430</v>
      </c>
      <c r="J2342" t="s">
        <v>39</v>
      </c>
      <c r="K2342" t="b">
        <f>Table1[[#This Row],[CurrentStock]]&lt;Table1[[#This Row],[ReorderLevel]]</f>
        <v>0</v>
      </c>
      <c r="L2342" s="9">
        <f>Table1[[#This Row],[CurrentStock]]*Table1[[#This Row],[UnitPrice]]</f>
        <v>47181.42</v>
      </c>
      <c r="M2342" t="str">
        <f>IF(Table1[[#This Row],[ReorderLevel]]-Table1[[#This Row],[CurrentStock]]&gt;0,Table1[[#This Row],[ReorderLevel]]-Table1[[#This Row],[CurrentStock]],"")</f>
        <v/>
      </c>
      <c r="N2342" t="str">
        <f>IF(Table1[[#This Row],[CurrentStock]]&gt;Table1[[#This Row],[ReorderLevel]]*3,"Over Stock","Okay")</f>
        <v>Over Stock</v>
      </c>
      <c r="O2342" t="str">
        <f>IF(Table1[[#This Row],[CurrentStock]]&lt;Table1[[#This Row],[ReorderLevel]],"Reorder","Okay")</f>
        <v>Okay</v>
      </c>
    </row>
    <row r="2343" spans="1:15" x14ac:dyDescent="0.3">
      <c r="A2343">
        <v>40262</v>
      </c>
      <c r="B2343" t="s">
        <v>14</v>
      </c>
      <c r="C2343" t="s">
        <v>27</v>
      </c>
      <c r="D2343">
        <v>142</v>
      </c>
      <c r="E2343">
        <v>150</v>
      </c>
      <c r="F2343">
        <v>271.22000000000003</v>
      </c>
      <c r="G2343" t="s">
        <v>34</v>
      </c>
      <c r="H2343" s="1">
        <v>45553</v>
      </c>
      <c r="I2343" s="1">
        <v>45590</v>
      </c>
      <c r="J2343" t="s">
        <v>38</v>
      </c>
      <c r="K2343" t="b">
        <f>Table1[[#This Row],[CurrentStock]]&lt;Table1[[#This Row],[ReorderLevel]]</f>
        <v>1</v>
      </c>
      <c r="L2343" s="9">
        <f>Table1[[#This Row],[CurrentStock]]*Table1[[#This Row],[UnitPrice]]</f>
        <v>38513.240000000005</v>
      </c>
      <c r="M2343">
        <f>IF(Table1[[#This Row],[ReorderLevel]]-Table1[[#This Row],[CurrentStock]]&gt;0,Table1[[#This Row],[ReorderLevel]]-Table1[[#This Row],[CurrentStock]],"")</f>
        <v>8</v>
      </c>
      <c r="N2343" t="str">
        <f>IF(Table1[[#This Row],[CurrentStock]]&gt;Table1[[#This Row],[ReorderLevel]]*3,"Over Stock","Okay")</f>
        <v>Okay</v>
      </c>
      <c r="O2343" t="str">
        <f>IF(Table1[[#This Row],[CurrentStock]]&lt;Table1[[#This Row],[ReorderLevel]],"Reorder","Okay")</f>
        <v>Reorder</v>
      </c>
    </row>
    <row r="2344" spans="1:15" x14ac:dyDescent="0.3">
      <c r="A2344">
        <v>45330</v>
      </c>
      <c r="B2344" t="s">
        <v>24</v>
      </c>
      <c r="C2344" t="s">
        <v>31</v>
      </c>
      <c r="D2344">
        <v>289</v>
      </c>
      <c r="E2344">
        <v>20</v>
      </c>
      <c r="F2344">
        <v>153.69999999999999</v>
      </c>
      <c r="G2344" t="s">
        <v>35</v>
      </c>
      <c r="H2344" s="1">
        <v>45476</v>
      </c>
      <c r="I2344" s="1">
        <v>45494</v>
      </c>
      <c r="J2344" t="s">
        <v>37</v>
      </c>
      <c r="K2344" t="b">
        <f>Table1[[#This Row],[CurrentStock]]&lt;Table1[[#This Row],[ReorderLevel]]</f>
        <v>0</v>
      </c>
      <c r="L2344" s="9">
        <f>Table1[[#This Row],[CurrentStock]]*Table1[[#This Row],[UnitPrice]]</f>
        <v>44419.299999999996</v>
      </c>
      <c r="M2344" t="str">
        <f>IF(Table1[[#This Row],[ReorderLevel]]-Table1[[#This Row],[CurrentStock]]&gt;0,Table1[[#This Row],[ReorderLevel]]-Table1[[#This Row],[CurrentStock]],"")</f>
        <v/>
      </c>
      <c r="N2344" t="str">
        <f>IF(Table1[[#This Row],[CurrentStock]]&gt;Table1[[#This Row],[ReorderLevel]]*3,"Over Stock","Okay")</f>
        <v>Over Stock</v>
      </c>
      <c r="O2344" t="str">
        <f>IF(Table1[[#This Row],[CurrentStock]]&lt;Table1[[#This Row],[ReorderLevel]],"Reorder","Okay")</f>
        <v>Okay</v>
      </c>
    </row>
    <row r="2345" spans="1:15" x14ac:dyDescent="0.3">
      <c r="A2345">
        <v>11027</v>
      </c>
      <c r="B2345" t="s">
        <v>22</v>
      </c>
      <c r="C2345" t="s">
        <v>27</v>
      </c>
      <c r="D2345">
        <v>47</v>
      </c>
      <c r="E2345">
        <v>100</v>
      </c>
      <c r="F2345">
        <v>484.58</v>
      </c>
      <c r="G2345" t="s">
        <v>34</v>
      </c>
      <c r="H2345" s="1">
        <v>45457</v>
      </c>
      <c r="I2345" s="1">
        <v>45465</v>
      </c>
      <c r="J2345" t="s">
        <v>38</v>
      </c>
      <c r="K2345" t="b">
        <f>Table1[[#This Row],[CurrentStock]]&lt;Table1[[#This Row],[ReorderLevel]]</f>
        <v>1</v>
      </c>
      <c r="L2345" s="9">
        <f>Table1[[#This Row],[CurrentStock]]*Table1[[#This Row],[UnitPrice]]</f>
        <v>22775.26</v>
      </c>
      <c r="M2345">
        <f>IF(Table1[[#This Row],[ReorderLevel]]-Table1[[#This Row],[CurrentStock]]&gt;0,Table1[[#This Row],[ReorderLevel]]-Table1[[#This Row],[CurrentStock]],"")</f>
        <v>53</v>
      </c>
      <c r="N2345" t="str">
        <f>IF(Table1[[#This Row],[CurrentStock]]&gt;Table1[[#This Row],[ReorderLevel]]*3,"Over Stock","Okay")</f>
        <v>Okay</v>
      </c>
      <c r="O2345" t="str">
        <f>IF(Table1[[#This Row],[CurrentStock]]&lt;Table1[[#This Row],[ReorderLevel]],"Reorder","Okay")</f>
        <v>Reorder</v>
      </c>
    </row>
    <row r="2346" spans="1:15" x14ac:dyDescent="0.3">
      <c r="A2346">
        <v>31873</v>
      </c>
      <c r="B2346" t="s">
        <v>18</v>
      </c>
      <c r="C2346" t="s">
        <v>28</v>
      </c>
      <c r="D2346">
        <v>225</v>
      </c>
      <c r="E2346">
        <v>50</v>
      </c>
      <c r="F2346">
        <v>169.64</v>
      </c>
      <c r="G2346" t="s">
        <v>36</v>
      </c>
      <c r="H2346" s="1">
        <v>45644</v>
      </c>
      <c r="I2346" s="1">
        <v>45656</v>
      </c>
      <c r="J2346" t="s">
        <v>37</v>
      </c>
      <c r="K2346" t="b">
        <f>Table1[[#This Row],[CurrentStock]]&lt;Table1[[#This Row],[ReorderLevel]]</f>
        <v>0</v>
      </c>
      <c r="L2346" s="9">
        <f>Table1[[#This Row],[CurrentStock]]*Table1[[#This Row],[UnitPrice]]</f>
        <v>38169</v>
      </c>
      <c r="M2346" t="str">
        <f>IF(Table1[[#This Row],[ReorderLevel]]-Table1[[#This Row],[CurrentStock]]&gt;0,Table1[[#This Row],[ReorderLevel]]-Table1[[#This Row],[CurrentStock]],"")</f>
        <v/>
      </c>
      <c r="N2346" t="str">
        <f>IF(Table1[[#This Row],[CurrentStock]]&gt;Table1[[#This Row],[ReorderLevel]]*3,"Over Stock","Okay")</f>
        <v>Over Stock</v>
      </c>
      <c r="O2346" t="str">
        <f>IF(Table1[[#This Row],[CurrentStock]]&lt;Table1[[#This Row],[ReorderLevel]],"Reorder","Okay")</f>
        <v>Okay</v>
      </c>
    </row>
    <row r="2347" spans="1:15" x14ac:dyDescent="0.3">
      <c r="A2347">
        <v>31643</v>
      </c>
      <c r="B2347" t="s">
        <v>10</v>
      </c>
      <c r="C2347" t="s">
        <v>27</v>
      </c>
      <c r="D2347">
        <v>196</v>
      </c>
      <c r="E2347">
        <v>150</v>
      </c>
      <c r="F2347">
        <v>165.81</v>
      </c>
      <c r="G2347" t="s">
        <v>35</v>
      </c>
      <c r="H2347" s="1">
        <v>45413</v>
      </c>
      <c r="I2347" s="1">
        <v>45424</v>
      </c>
      <c r="J2347" t="s">
        <v>38</v>
      </c>
      <c r="K2347" t="b">
        <f>Table1[[#This Row],[CurrentStock]]&lt;Table1[[#This Row],[ReorderLevel]]</f>
        <v>0</v>
      </c>
      <c r="L2347" s="9">
        <f>Table1[[#This Row],[CurrentStock]]*Table1[[#This Row],[UnitPrice]]</f>
        <v>32498.760000000002</v>
      </c>
      <c r="M2347" t="str">
        <f>IF(Table1[[#This Row],[ReorderLevel]]-Table1[[#This Row],[CurrentStock]]&gt;0,Table1[[#This Row],[ReorderLevel]]-Table1[[#This Row],[CurrentStock]],"")</f>
        <v/>
      </c>
      <c r="N2347" t="str">
        <f>IF(Table1[[#This Row],[CurrentStock]]&gt;Table1[[#This Row],[ReorderLevel]]*3,"Over Stock","Okay")</f>
        <v>Okay</v>
      </c>
      <c r="O2347" t="str">
        <f>IF(Table1[[#This Row],[CurrentStock]]&lt;Table1[[#This Row],[ReorderLevel]],"Reorder","Okay")</f>
        <v>Okay</v>
      </c>
    </row>
    <row r="2348" spans="1:15" x14ac:dyDescent="0.3">
      <c r="A2348">
        <v>39404</v>
      </c>
      <c r="B2348" t="s">
        <v>16</v>
      </c>
      <c r="C2348" t="s">
        <v>30</v>
      </c>
      <c r="D2348">
        <v>48</v>
      </c>
      <c r="E2348">
        <v>100</v>
      </c>
      <c r="F2348">
        <v>123.53</v>
      </c>
      <c r="G2348" t="s">
        <v>33</v>
      </c>
      <c r="H2348" s="1">
        <v>45318</v>
      </c>
      <c r="I2348" s="1">
        <v>45330</v>
      </c>
      <c r="J2348" t="s">
        <v>37</v>
      </c>
      <c r="K2348" t="b">
        <f>Table1[[#This Row],[CurrentStock]]&lt;Table1[[#This Row],[ReorderLevel]]</f>
        <v>1</v>
      </c>
      <c r="L2348" s="9">
        <f>Table1[[#This Row],[CurrentStock]]*Table1[[#This Row],[UnitPrice]]</f>
        <v>5929.4400000000005</v>
      </c>
      <c r="M2348">
        <f>IF(Table1[[#This Row],[ReorderLevel]]-Table1[[#This Row],[CurrentStock]]&gt;0,Table1[[#This Row],[ReorderLevel]]-Table1[[#This Row],[CurrentStock]],"")</f>
        <v>52</v>
      </c>
      <c r="N2348" t="str">
        <f>IF(Table1[[#This Row],[CurrentStock]]&gt;Table1[[#This Row],[ReorderLevel]]*3,"Over Stock","Okay")</f>
        <v>Okay</v>
      </c>
      <c r="O2348" t="str">
        <f>IF(Table1[[#This Row],[CurrentStock]]&lt;Table1[[#This Row],[ReorderLevel]],"Reorder","Okay")</f>
        <v>Reorder</v>
      </c>
    </row>
    <row r="2349" spans="1:15" x14ac:dyDescent="0.3">
      <c r="A2349">
        <v>98018</v>
      </c>
      <c r="B2349" t="s">
        <v>24</v>
      </c>
      <c r="C2349" t="s">
        <v>31</v>
      </c>
      <c r="D2349">
        <v>70</v>
      </c>
      <c r="E2349">
        <v>100</v>
      </c>
      <c r="F2349">
        <v>111.56</v>
      </c>
      <c r="G2349" t="s">
        <v>36</v>
      </c>
      <c r="H2349" s="1">
        <v>45537</v>
      </c>
      <c r="I2349" s="1">
        <v>45545</v>
      </c>
      <c r="J2349" t="s">
        <v>37</v>
      </c>
      <c r="K2349" t="b">
        <f>Table1[[#This Row],[CurrentStock]]&lt;Table1[[#This Row],[ReorderLevel]]</f>
        <v>1</v>
      </c>
      <c r="L2349" s="9">
        <f>Table1[[#This Row],[CurrentStock]]*Table1[[#This Row],[UnitPrice]]</f>
        <v>7809.2</v>
      </c>
      <c r="M2349">
        <f>IF(Table1[[#This Row],[ReorderLevel]]-Table1[[#This Row],[CurrentStock]]&gt;0,Table1[[#This Row],[ReorderLevel]]-Table1[[#This Row],[CurrentStock]],"")</f>
        <v>30</v>
      </c>
      <c r="N2349" t="str">
        <f>IF(Table1[[#This Row],[CurrentStock]]&gt;Table1[[#This Row],[ReorderLevel]]*3,"Over Stock","Okay")</f>
        <v>Okay</v>
      </c>
      <c r="O2349" t="str">
        <f>IF(Table1[[#This Row],[CurrentStock]]&lt;Table1[[#This Row],[ReorderLevel]],"Reorder","Okay")</f>
        <v>Reorder</v>
      </c>
    </row>
    <row r="2350" spans="1:15" x14ac:dyDescent="0.3">
      <c r="A2350">
        <v>91823</v>
      </c>
      <c r="B2350" t="s">
        <v>12</v>
      </c>
      <c r="C2350" t="s">
        <v>28</v>
      </c>
      <c r="D2350">
        <v>173</v>
      </c>
      <c r="E2350">
        <v>20</v>
      </c>
      <c r="F2350">
        <v>146.04</v>
      </c>
      <c r="G2350" t="s">
        <v>34</v>
      </c>
      <c r="H2350" s="1">
        <v>45588</v>
      </c>
      <c r="I2350" s="1">
        <v>45600</v>
      </c>
      <c r="J2350" t="s">
        <v>37</v>
      </c>
      <c r="K2350" t="b">
        <f>Table1[[#This Row],[CurrentStock]]&lt;Table1[[#This Row],[ReorderLevel]]</f>
        <v>0</v>
      </c>
      <c r="L2350" s="9">
        <f>Table1[[#This Row],[CurrentStock]]*Table1[[#This Row],[UnitPrice]]</f>
        <v>25264.92</v>
      </c>
      <c r="M2350" t="str">
        <f>IF(Table1[[#This Row],[ReorderLevel]]-Table1[[#This Row],[CurrentStock]]&gt;0,Table1[[#This Row],[ReorderLevel]]-Table1[[#This Row],[CurrentStock]],"")</f>
        <v/>
      </c>
      <c r="N2350" t="str">
        <f>IF(Table1[[#This Row],[CurrentStock]]&gt;Table1[[#This Row],[ReorderLevel]]*3,"Over Stock","Okay")</f>
        <v>Over Stock</v>
      </c>
      <c r="O2350" t="str">
        <f>IF(Table1[[#This Row],[CurrentStock]]&lt;Table1[[#This Row],[ReorderLevel]],"Reorder","Okay")</f>
        <v>Okay</v>
      </c>
    </row>
    <row r="2351" spans="1:15" x14ac:dyDescent="0.3">
      <c r="A2351">
        <v>62282</v>
      </c>
      <c r="B2351" t="s">
        <v>11</v>
      </c>
      <c r="C2351" t="s">
        <v>27</v>
      </c>
      <c r="D2351">
        <v>472</v>
      </c>
      <c r="E2351">
        <v>30</v>
      </c>
      <c r="F2351">
        <v>285.47000000000003</v>
      </c>
      <c r="G2351" t="s">
        <v>35</v>
      </c>
      <c r="H2351" s="1">
        <v>45380</v>
      </c>
      <c r="I2351" s="1">
        <v>45394</v>
      </c>
      <c r="J2351" t="s">
        <v>38</v>
      </c>
      <c r="K2351" t="b">
        <f>Table1[[#This Row],[CurrentStock]]&lt;Table1[[#This Row],[ReorderLevel]]</f>
        <v>0</v>
      </c>
      <c r="L2351" s="9">
        <f>Table1[[#This Row],[CurrentStock]]*Table1[[#This Row],[UnitPrice]]</f>
        <v>134741.84000000003</v>
      </c>
      <c r="M2351" t="str">
        <f>IF(Table1[[#This Row],[ReorderLevel]]-Table1[[#This Row],[CurrentStock]]&gt;0,Table1[[#This Row],[ReorderLevel]]-Table1[[#This Row],[CurrentStock]],"")</f>
        <v/>
      </c>
      <c r="N2351" t="str">
        <f>IF(Table1[[#This Row],[CurrentStock]]&gt;Table1[[#This Row],[ReorderLevel]]*3,"Over Stock","Okay")</f>
        <v>Over Stock</v>
      </c>
      <c r="O2351" t="str">
        <f>IF(Table1[[#This Row],[CurrentStock]]&lt;Table1[[#This Row],[ReorderLevel]],"Reorder","Okay")</f>
        <v>Okay</v>
      </c>
    </row>
    <row r="2352" spans="1:15" x14ac:dyDescent="0.3">
      <c r="A2352">
        <v>35594</v>
      </c>
      <c r="B2352" t="s">
        <v>22</v>
      </c>
      <c r="C2352" t="s">
        <v>27</v>
      </c>
      <c r="D2352">
        <v>280</v>
      </c>
      <c r="E2352">
        <v>80</v>
      </c>
      <c r="F2352">
        <v>122.61</v>
      </c>
      <c r="G2352" t="s">
        <v>34</v>
      </c>
      <c r="H2352" s="1">
        <v>45601</v>
      </c>
      <c r="I2352" s="1">
        <v>45639</v>
      </c>
      <c r="J2352" t="s">
        <v>38</v>
      </c>
      <c r="K2352" t="b">
        <f>Table1[[#This Row],[CurrentStock]]&lt;Table1[[#This Row],[ReorderLevel]]</f>
        <v>0</v>
      </c>
      <c r="L2352" s="9">
        <f>Table1[[#This Row],[CurrentStock]]*Table1[[#This Row],[UnitPrice]]</f>
        <v>34330.800000000003</v>
      </c>
      <c r="M2352" t="str">
        <f>IF(Table1[[#This Row],[ReorderLevel]]-Table1[[#This Row],[CurrentStock]]&gt;0,Table1[[#This Row],[ReorderLevel]]-Table1[[#This Row],[CurrentStock]],"")</f>
        <v/>
      </c>
      <c r="N2352" t="str">
        <f>IF(Table1[[#This Row],[CurrentStock]]&gt;Table1[[#This Row],[ReorderLevel]]*3,"Over Stock","Okay")</f>
        <v>Over Stock</v>
      </c>
      <c r="O2352" t="str">
        <f>IF(Table1[[#This Row],[CurrentStock]]&lt;Table1[[#This Row],[ReorderLevel]],"Reorder","Okay")</f>
        <v>Okay</v>
      </c>
    </row>
    <row r="2353" spans="1:15" x14ac:dyDescent="0.3">
      <c r="A2353">
        <v>27540</v>
      </c>
      <c r="B2353" t="s">
        <v>12</v>
      </c>
      <c r="C2353" t="s">
        <v>28</v>
      </c>
      <c r="D2353">
        <v>312</v>
      </c>
      <c r="E2353">
        <v>40</v>
      </c>
      <c r="F2353">
        <v>287.27</v>
      </c>
      <c r="G2353" t="s">
        <v>34</v>
      </c>
      <c r="H2353" s="1">
        <v>45407</v>
      </c>
      <c r="I2353" s="1">
        <v>45423</v>
      </c>
      <c r="J2353" t="s">
        <v>37</v>
      </c>
      <c r="K2353" t="b">
        <f>Table1[[#This Row],[CurrentStock]]&lt;Table1[[#This Row],[ReorderLevel]]</f>
        <v>0</v>
      </c>
      <c r="L2353" s="9">
        <f>Table1[[#This Row],[CurrentStock]]*Table1[[#This Row],[UnitPrice]]</f>
        <v>89628.239999999991</v>
      </c>
      <c r="M2353" t="str">
        <f>IF(Table1[[#This Row],[ReorderLevel]]-Table1[[#This Row],[CurrentStock]]&gt;0,Table1[[#This Row],[ReorderLevel]]-Table1[[#This Row],[CurrentStock]],"")</f>
        <v/>
      </c>
      <c r="N2353" t="str">
        <f>IF(Table1[[#This Row],[CurrentStock]]&gt;Table1[[#This Row],[ReorderLevel]]*3,"Over Stock","Okay")</f>
        <v>Over Stock</v>
      </c>
      <c r="O2353" t="str">
        <f>IF(Table1[[#This Row],[CurrentStock]]&lt;Table1[[#This Row],[ReorderLevel]],"Reorder","Okay")</f>
        <v>Okay</v>
      </c>
    </row>
    <row r="2354" spans="1:15" x14ac:dyDescent="0.3">
      <c r="A2354">
        <v>71388</v>
      </c>
      <c r="B2354" t="s">
        <v>20</v>
      </c>
      <c r="C2354" t="s">
        <v>29</v>
      </c>
      <c r="D2354">
        <v>443</v>
      </c>
      <c r="E2354">
        <v>20</v>
      </c>
      <c r="F2354">
        <v>231.57</v>
      </c>
      <c r="G2354" t="s">
        <v>34</v>
      </c>
      <c r="H2354" s="1">
        <v>45589</v>
      </c>
      <c r="I2354" s="1">
        <v>45603</v>
      </c>
      <c r="J2354" t="s">
        <v>37</v>
      </c>
      <c r="K2354" t="b">
        <f>Table1[[#This Row],[CurrentStock]]&lt;Table1[[#This Row],[ReorderLevel]]</f>
        <v>0</v>
      </c>
      <c r="L2354" s="9">
        <f>Table1[[#This Row],[CurrentStock]]*Table1[[#This Row],[UnitPrice]]</f>
        <v>102585.51</v>
      </c>
      <c r="M2354" t="str">
        <f>IF(Table1[[#This Row],[ReorderLevel]]-Table1[[#This Row],[CurrentStock]]&gt;0,Table1[[#This Row],[ReorderLevel]]-Table1[[#This Row],[CurrentStock]],"")</f>
        <v/>
      </c>
      <c r="N2354" t="str">
        <f>IF(Table1[[#This Row],[CurrentStock]]&gt;Table1[[#This Row],[ReorderLevel]]*3,"Over Stock","Okay")</f>
        <v>Over Stock</v>
      </c>
      <c r="O2354" t="str">
        <f>IF(Table1[[#This Row],[CurrentStock]]&lt;Table1[[#This Row],[ReorderLevel]],"Reorder","Okay")</f>
        <v>Okay</v>
      </c>
    </row>
    <row r="2355" spans="1:15" x14ac:dyDescent="0.3">
      <c r="A2355">
        <v>93492</v>
      </c>
      <c r="B2355" t="s">
        <v>12</v>
      </c>
      <c r="C2355" t="s">
        <v>28</v>
      </c>
      <c r="D2355">
        <v>368</v>
      </c>
      <c r="E2355">
        <v>50</v>
      </c>
      <c r="F2355">
        <v>411.75</v>
      </c>
      <c r="G2355" t="s">
        <v>32</v>
      </c>
      <c r="H2355" s="1">
        <v>45412</v>
      </c>
      <c r="I2355" s="1">
        <v>45419</v>
      </c>
      <c r="J2355" t="s">
        <v>38</v>
      </c>
      <c r="K2355" t="b">
        <f>Table1[[#This Row],[CurrentStock]]&lt;Table1[[#This Row],[ReorderLevel]]</f>
        <v>0</v>
      </c>
      <c r="L2355" s="9">
        <f>Table1[[#This Row],[CurrentStock]]*Table1[[#This Row],[UnitPrice]]</f>
        <v>151524</v>
      </c>
      <c r="M2355" t="str">
        <f>IF(Table1[[#This Row],[ReorderLevel]]-Table1[[#This Row],[CurrentStock]]&gt;0,Table1[[#This Row],[ReorderLevel]]-Table1[[#This Row],[CurrentStock]],"")</f>
        <v/>
      </c>
      <c r="N2355" t="str">
        <f>IF(Table1[[#This Row],[CurrentStock]]&gt;Table1[[#This Row],[ReorderLevel]]*3,"Over Stock","Okay")</f>
        <v>Over Stock</v>
      </c>
      <c r="O2355" t="str">
        <f>IF(Table1[[#This Row],[CurrentStock]]&lt;Table1[[#This Row],[ReorderLevel]],"Reorder","Okay")</f>
        <v>Okay</v>
      </c>
    </row>
    <row r="2356" spans="1:15" x14ac:dyDescent="0.3">
      <c r="A2356">
        <v>31788</v>
      </c>
      <c r="B2356" t="s">
        <v>12</v>
      </c>
      <c r="C2356" t="s">
        <v>28</v>
      </c>
      <c r="D2356">
        <v>465</v>
      </c>
      <c r="E2356">
        <v>20</v>
      </c>
      <c r="F2356">
        <v>467.16</v>
      </c>
      <c r="G2356" t="s">
        <v>32</v>
      </c>
      <c r="H2356" s="1">
        <v>45469</v>
      </c>
      <c r="I2356" s="1">
        <v>45482</v>
      </c>
      <c r="J2356" t="s">
        <v>39</v>
      </c>
      <c r="K2356" t="b">
        <f>Table1[[#This Row],[CurrentStock]]&lt;Table1[[#This Row],[ReorderLevel]]</f>
        <v>0</v>
      </c>
      <c r="L2356" s="9">
        <f>Table1[[#This Row],[CurrentStock]]*Table1[[#This Row],[UnitPrice]]</f>
        <v>217229.40000000002</v>
      </c>
      <c r="M2356" t="str">
        <f>IF(Table1[[#This Row],[ReorderLevel]]-Table1[[#This Row],[CurrentStock]]&gt;0,Table1[[#This Row],[ReorderLevel]]-Table1[[#This Row],[CurrentStock]],"")</f>
        <v/>
      </c>
      <c r="N2356" t="str">
        <f>IF(Table1[[#This Row],[CurrentStock]]&gt;Table1[[#This Row],[ReorderLevel]]*3,"Over Stock","Okay")</f>
        <v>Over Stock</v>
      </c>
      <c r="O2356" t="str">
        <f>IF(Table1[[#This Row],[CurrentStock]]&lt;Table1[[#This Row],[ReorderLevel]],"Reorder","Okay")</f>
        <v>Okay</v>
      </c>
    </row>
    <row r="2357" spans="1:15" x14ac:dyDescent="0.3">
      <c r="A2357">
        <v>55147</v>
      </c>
      <c r="B2357" t="s">
        <v>23</v>
      </c>
      <c r="C2357" t="s">
        <v>30</v>
      </c>
      <c r="D2357">
        <v>123</v>
      </c>
      <c r="E2357">
        <v>20</v>
      </c>
      <c r="F2357">
        <v>24.14</v>
      </c>
      <c r="G2357" t="s">
        <v>32</v>
      </c>
      <c r="H2357" s="1">
        <v>45400</v>
      </c>
      <c r="I2357" s="1">
        <v>45435</v>
      </c>
      <c r="J2357" t="s">
        <v>38</v>
      </c>
      <c r="K2357" t="b">
        <f>Table1[[#This Row],[CurrentStock]]&lt;Table1[[#This Row],[ReorderLevel]]</f>
        <v>0</v>
      </c>
      <c r="L2357" s="9">
        <f>Table1[[#This Row],[CurrentStock]]*Table1[[#This Row],[UnitPrice]]</f>
        <v>2969.2200000000003</v>
      </c>
      <c r="M2357" t="str">
        <f>IF(Table1[[#This Row],[ReorderLevel]]-Table1[[#This Row],[CurrentStock]]&gt;0,Table1[[#This Row],[ReorderLevel]]-Table1[[#This Row],[CurrentStock]],"")</f>
        <v/>
      </c>
      <c r="N2357" t="str">
        <f>IF(Table1[[#This Row],[CurrentStock]]&gt;Table1[[#This Row],[ReorderLevel]]*3,"Over Stock","Okay")</f>
        <v>Over Stock</v>
      </c>
      <c r="O2357" t="str">
        <f>IF(Table1[[#This Row],[CurrentStock]]&lt;Table1[[#This Row],[ReorderLevel]],"Reorder","Okay")</f>
        <v>Okay</v>
      </c>
    </row>
    <row r="2358" spans="1:15" x14ac:dyDescent="0.3">
      <c r="A2358">
        <v>67811</v>
      </c>
      <c r="B2358" t="s">
        <v>14</v>
      </c>
      <c r="C2358" t="s">
        <v>27</v>
      </c>
      <c r="D2358">
        <v>226</v>
      </c>
      <c r="E2358">
        <v>40</v>
      </c>
      <c r="F2358">
        <v>22.26</v>
      </c>
      <c r="G2358" t="s">
        <v>33</v>
      </c>
      <c r="H2358" s="1">
        <v>45389</v>
      </c>
      <c r="I2358" s="1">
        <v>45407</v>
      </c>
      <c r="J2358" t="s">
        <v>38</v>
      </c>
      <c r="K2358" t="b">
        <f>Table1[[#This Row],[CurrentStock]]&lt;Table1[[#This Row],[ReorderLevel]]</f>
        <v>0</v>
      </c>
      <c r="L2358" s="9">
        <f>Table1[[#This Row],[CurrentStock]]*Table1[[#This Row],[UnitPrice]]</f>
        <v>5030.76</v>
      </c>
      <c r="M2358" t="str">
        <f>IF(Table1[[#This Row],[ReorderLevel]]-Table1[[#This Row],[CurrentStock]]&gt;0,Table1[[#This Row],[ReorderLevel]]-Table1[[#This Row],[CurrentStock]],"")</f>
        <v/>
      </c>
      <c r="N2358" t="str">
        <f>IF(Table1[[#This Row],[CurrentStock]]&gt;Table1[[#This Row],[ReorderLevel]]*3,"Over Stock","Okay")</f>
        <v>Over Stock</v>
      </c>
      <c r="O2358" t="str">
        <f>IF(Table1[[#This Row],[CurrentStock]]&lt;Table1[[#This Row],[ReorderLevel]],"Reorder","Okay")</f>
        <v>Okay</v>
      </c>
    </row>
    <row r="2359" spans="1:15" x14ac:dyDescent="0.3">
      <c r="A2359">
        <v>43945</v>
      </c>
      <c r="B2359" t="s">
        <v>15</v>
      </c>
      <c r="C2359" t="s">
        <v>29</v>
      </c>
      <c r="D2359">
        <v>255</v>
      </c>
      <c r="E2359">
        <v>40</v>
      </c>
      <c r="F2359">
        <v>327.23</v>
      </c>
      <c r="G2359" t="s">
        <v>32</v>
      </c>
      <c r="H2359" s="1">
        <v>45631</v>
      </c>
      <c r="I2359" s="1">
        <v>45665</v>
      </c>
      <c r="J2359" t="s">
        <v>38</v>
      </c>
      <c r="K2359" t="b">
        <f>Table1[[#This Row],[CurrentStock]]&lt;Table1[[#This Row],[ReorderLevel]]</f>
        <v>0</v>
      </c>
      <c r="L2359" s="9">
        <f>Table1[[#This Row],[CurrentStock]]*Table1[[#This Row],[UnitPrice]]</f>
        <v>83443.650000000009</v>
      </c>
      <c r="M2359" t="str">
        <f>IF(Table1[[#This Row],[ReorderLevel]]-Table1[[#This Row],[CurrentStock]]&gt;0,Table1[[#This Row],[ReorderLevel]]-Table1[[#This Row],[CurrentStock]],"")</f>
        <v/>
      </c>
      <c r="N2359" t="str">
        <f>IF(Table1[[#This Row],[CurrentStock]]&gt;Table1[[#This Row],[ReorderLevel]]*3,"Over Stock","Okay")</f>
        <v>Over Stock</v>
      </c>
      <c r="O2359" t="str">
        <f>IF(Table1[[#This Row],[CurrentStock]]&lt;Table1[[#This Row],[ReorderLevel]],"Reorder","Okay")</f>
        <v>Okay</v>
      </c>
    </row>
    <row r="2360" spans="1:15" x14ac:dyDescent="0.3">
      <c r="A2360">
        <v>69643</v>
      </c>
      <c r="B2360" t="s">
        <v>26</v>
      </c>
      <c r="C2360" t="s">
        <v>30</v>
      </c>
      <c r="D2360">
        <v>133</v>
      </c>
      <c r="E2360">
        <v>50</v>
      </c>
      <c r="F2360">
        <v>401.2</v>
      </c>
      <c r="G2360" t="s">
        <v>32</v>
      </c>
      <c r="H2360" s="1">
        <v>45571</v>
      </c>
      <c r="I2360" s="1">
        <v>45609</v>
      </c>
      <c r="J2360" t="s">
        <v>38</v>
      </c>
      <c r="K2360" t="b">
        <f>Table1[[#This Row],[CurrentStock]]&lt;Table1[[#This Row],[ReorderLevel]]</f>
        <v>0</v>
      </c>
      <c r="L2360" s="9">
        <f>Table1[[#This Row],[CurrentStock]]*Table1[[#This Row],[UnitPrice]]</f>
        <v>53359.6</v>
      </c>
      <c r="M2360" t="str">
        <f>IF(Table1[[#This Row],[ReorderLevel]]-Table1[[#This Row],[CurrentStock]]&gt;0,Table1[[#This Row],[ReorderLevel]]-Table1[[#This Row],[CurrentStock]],"")</f>
        <v/>
      </c>
      <c r="N2360" t="str">
        <f>IF(Table1[[#This Row],[CurrentStock]]&gt;Table1[[#This Row],[ReorderLevel]]*3,"Over Stock","Okay")</f>
        <v>Okay</v>
      </c>
      <c r="O2360" t="str">
        <f>IF(Table1[[#This Row],[CurrentStock]]&lt;Table1[[#This Row],[ReorderLevel]],"Reorder","Okay")</f>
        <v>Okay</v>
      </c>
    </row>
    <row r="2361" spans="1:15" x14ac:dyDescent="0.3">
      <c r="A2361">
        <v>85768</v>
      </c>
      <c r="B2361" t="s">
        <v>11</v>
      </c>
      <c r="C2361" t="s">
        <v>27</v>
      </c>
      <c r="D2361">
        <v>318</v>
      </c>
      <c r="E2361">
        <v>150</v>
      </c>
      <c r="F2361">
        <v>196.16</v>
      </c>
      <c r="G2361" t="s">
        <v>36</v>
      </c>
      <c r="H2361" s="1">
        <v>45321</v>
      </c>
      <c r="I2361" s="1">
        <v>45355</v>
      </c>
      <c r="J2361" t="s">
        <v>37</v>
      </c>
      <c r="K2361" t="b">
        <f>Table1[[#This Row],[CurrentStock]]&lt;Table1[[#This Row],[ReorderLevel]]</f>
        <v>0</v>
      </c>
      <c r="L2361" s="9">
        <f>Table1[[#This Row],[CurrentStock]]*Table1[[#This Row],[UnitPrice]]</f>
        <v>62378.879999999997</v>
      </c>
      <c r="M2361" t="str">
        <f>IF(Table1[[#This Row],[ReorderLevel]]-Table1[[#This Row],[CurrentStock]]&gt;0,Table1[[#This Row],[ReorderLevel]]-Table1[[#This Row],[CurrentStock]],"")</f>
        <v/>
      </c>
      <c r="N2361" t="str">
        <f>IF(Table1[[#This Row],[CurrentStock]]&gt;Table1[[#This Row],[ReorderLevel]]*3,"Over Stock","Okay")</f>
        <v>Okay</v>
      </c>
      <c r="O2361" t="str">
        <f>IF(Table1[[#This Row],[CurrentStock]]&lt;Table1[[#This Row],[ReorderLevel]],"Reorder","Okay")</f>
        <v>Okay</v>
      </c>
    </row>
    <row r="2362" spans="1:15" x14ac:dyDescent="0.3">
      <c r="A2362">
        <v>78197</v>
      </c>
      <c r="B2362" t="s">
        <v>14</v>
      </c>
      <c r="C2362" t="s">
        <v>27</v>
      </c>
      <c r="D2362">
        <v>149</v>
      </c>
      <c r="E2362">
        <v>20</v>
      </c>
      <c r="F2362">
        <v>150.03</v>
      </c>
      <c r="G2362" t="s">
        <v>32</v>
      </c>
      <c r="H2362" s="1">
        <v>45312</v>
      </c>
      <c r="I2362" s="1">
        <v>45343</v>
      </c>
      <c r="J2362" t="s">
        <v>39</v>
      </c>
      <c r="K2362" t="b">
        <f>Table1[[#This Row],[CurrentStock]]&lt;Table1[[#This Row],[ReorderLevel]]</f>
        <v>0</v>
      </c>
      <c r="L2362" s="9">
        <f>Table1[[#This Row],[CurrentStock]]*Table1[[#This Row],[UnitPrice]]</f>
        <v>22354.47</v>
      </c>
      <c r="M2362" t="str">
        <f>IF(Table1[[#This Row],[ReorderLevel]]-Table1[[#This Row],[CurrentStock]]&gt;0,Table1[[#This Row],[ReorderLevel]]-Table1[[#This Row],[CurrentStock]],"")</f>
        <v/>
      </c>
      <c r="N2362" t="str">
        <f>IF(Table1[[#This Row],[CurrentStock]]&gt;Table1[[#This Row],[ReorderLevel]]*3,"Over Stock","Okay")</f>
        <v>Over Stock</v>
      </c>
      <c r="O2362" t="str">
        <f>IF(Table1[[#This Row],[CurrentStock]]&lt;Table1[[#This Row],[ReorderLevel]],"Reorder","Okay")</f>
        <v>Okay</v>
      </c>
    </row>
    <row r="2363" spans="1:15" x14ac:dyDescent="0.3">
      <c r="A2363">
        <v>41408</v>
      </c>
      <c r="B2363" t="s">
        <v>14</v>
      </c>
      <c r="C2363" t="s">
        <v>27</v>
      </c>
      <c r="D2363">
        <v>287</v>
      </c>
      <c r="E2363">
        <v>50</v>
      </c>
      <c r="F2363">
        <v>336.6</v>
      </c>
      <c r="G2363" t="s">
        <v>36</v>
      </c>
      <c r="H2363" s="1">
        <v>45536</v>
      </c>
      <c r="I2363" s="1">
        <v>45543</v>
      </c>
      <c r="J2363" t="s">
        <v>39</v>
      </c>
      <c r="K2363" t="b">
        <f>Table1[[#This Row],[CurrentStock]]&lt;Table1[[#This Row],[ReorderLevel]]</f>
        <v>0</v>
      </c>
      <c r="L2363" s="9">
        <f>Table1[[#This Row],[CurrentStock]]*Table1[[#This Row],[UnitPrice]]</f>
        <v>96604.200000000012</v>
      </c>
      <c r="M2363" t="str">
        <f>IF(Table1[[#This Row],[ReorderLevel]]-Table1[[#This Row],[CurrentStock]]&gt;0,Table1[[#This Row],[ReorderLevel]]-Table1[[#This Row],[CurrentStock]],"")</f>
        <v/>
      </c>
      <c r="N2363" t="str">
        <f>IF(Table1[[#This Row],[CurrentStock]]&gt;Table1[[#This Row],[ReorderLevel]]*3,"Over Stock","Okay")</f>
        <v>Over Stock</v>
      </c>
      <c r="O2363" t="str">
        <f>IF(Table1[[#This Row],[CurrentStock]]&lt;Table1[[#This Row],[ReorderLevel]],"Reorder","Okay")</f>
        <v>Okay</v>
      </c>
    </row>
    <row r="2364" spans="1:15" x14ac:dyDescent="0.3">
      <c r="A2364">
        <v>43132</v>
      </c>
      <c r="B2364" t="s">
        <v>13</v>
      </c>
      <c r="C2364" t="s">
        <v>29</v>
      </c>
      <c r="D2364">
        <v>275</v>
      </c>
      <c r="E2364">
        <v>150</v>
      </c>
      <c r="F2364">
        <v>192.44</v>
      </c>
      <c r="G2364" t="s">
        <v>32</v>
      </c>
      <c r="H2364" s="1">
        <v>45331</v>
      </c>
      <c r="I2364" s="1">
        <v>45362</v>
      </c>
      <c r="J2364" t="s">
        <v>38</v>
      </c>
      <c r="K2364" t="b">
        <f>Table1[[#This Row],[CurrentStock]]&lt;Table1[[#This Row],[ReorderLevel]]</f>
        <v>0</v>
      </c>
      <c r="L2364" s="9">
        <f>Table1[[#This Row],[CurrentStock]]*Table1[[#This Row],[UnitPrice]]</f>
        <v>52921</v>
      </c>
      <c r="M2364" t="str">
        <f>IF(Table1[[#This Row],[ReorderLevel]]-Table1[[#This Row],[CurrentStock]]&gt;0,Table1[[#This Row],[ReorderLevel]]-Table1[[#This Row],[CurrentStock]],"")</f>
        <v/>
      </c>
      <c r="N2364" t="str">
        <f>IF(Table1[[#This Row],[CurrentStock]]&gt;Table1[[#This Row],[ReorderLevel]]*3,"Over Stock","Okay")</f>
        <v>Okay</v>
      </c>
      <c r="O2364" t="str">
        <f>IF(Table1[[#This Row],[CurrentStock]]&lt;Table1[[#This Row],[ReorderLevel]],"Reorder","Okay")</f>
        <v>Okay</v>
      </c>
    </row>
    <row r="2365" spans="1:15" x14ac:dyDescent="0.3">
      <c r="A2365">
        <v>96665</v>
      </c>
      <c r="B2365" t="s">
        <v>22</v>
      </c>
      <c r="C2365" t="s">
        <v>27</v>
      </c>
      <c r="D2365">
        <v>77</v>
      </c>
      <c r="E2365">
        <v>150</v>
      </c>
      <c r="F2365">
        <v>39.479999999999997</v>
      </c>
      <c r="G2365" t="s">
        <v>32</v>
      </c>
      <c r="H2365" s="1">
        <v>45520</v>
      </c>
      <c r="I2365" s="1">
        <v>45544</v>
      </c>
      <c r="J2365" t="s">
        <v>39</v>
      </c>
      <c r="K2365" t="b">
        <f>Table1[[#This Row],[CurrentStock]]&lt;Table1[[#This Row],[ReorderLevel]]</f>
        <v>1</v>
      </c>
      <c r="L2365" s="9">
        <f>Table1[[#This Row],[CurrentStock]]*Table1[[#This Row],[UnitPrice]]</f>
        <v>3039.9599999999996</v>
      </c>
      <c r="M2365">
        <f>IF(Table1[[#This Row],[ReorderLevel]]-Table1[[#This Row],[CurrentStock]]&gt;0,Table1[[#This Row],[ReorderLevel]]-Table1[[#This Row],[CurrentStock]],"")</f>
        <v>73</v>
      </c>
      <c r="N2365" t="str">
        <f>IF(Table1[[#This Row],[CurrentStock]]&gt;Table1[[#This Row],[ReorderLevel]]*3,"Over Stock","Okay")</f>
        <v>Okay</v>
      </c>
      <c r="O2365" t="str">
        <f>IF(Table1[[#This Row],[CurrentStock]]&lt;Table1[[#This Row],[ReorderLevel]],"Reorder","Okay")</f>
        <v>Reorder</v>
      </c>
    </row>
    <row r="2366" spans="1:15" x14ac:dyDescent="0.3">
      <c r="A2366">
        <v>37802</v>
      </c>
      <c r="B2366" t="s">
        <v>12</v>
      </c>
      <c r="C2366" t="s">
        <v>28</v>
      </c>
      <c r="D2366">
        <v>382</v>
      </c>
      <c r="E2366">
        <v>30</v>
      </c>
      <c r="F2366">
        <v>287.07</v>
      </c>
      <c r="G2366" t="s">
        <v>33</v>
      </c>
      <c r="H2366" s="1">
        <v>45454</v>
      </c>
      <c r="I2366" s="1">
        <v>45465</v>
      </c>
      <c r="J2366" t="s">
        <v>37</v>
      </c>
      <c r="K2366" t="b">
        <f>Table1[[#This Row],[CurrentStock]]&lt;Table1[[#This Row],[ReorderLevel]]</f>
        <v>0</v>
      </c>
      <c r="L2366" s="9">
        <f>Table1[[#This Row],[CurrentStock]]*Table1[[#This Row],[UnitPrice]]</f>
        <v>109660.73999999999</v>
      </c>
      <c r="M2366" t="str">
        <f>IF(Table1[[#This Row],[ReorderLevel]]-Table1[[#This Row],[CurrentStock]]&gt;0,Table1[[#This Row],[ReorderLevel]]-Table1[[#This Row],[CurrentStock]],"")</f>
        <v/>
      </c>
      <c r="N2366" t="str">
        <f>IF(Table1[[#This Row],[CurrentStock]]&gt;Table1[[#This Row],[ReorderLevel]]*3,"Over Stock","Okay")</f>
        <v>Over Stock</v>
      </c>
      <c r="O2366" t="str">
        <f>IF(Table1[[#This Row],[CurrentStock]]&lt;Table1[[#This Row],[ReorderLevel]],"Reorder","Okay")</f>
        <v>Okay</v>
      </c>
    </row>
    <row r="2367" spans="1:15" x14ac:dyDescent="0.3">
      <c r="A2367">
        <v>68812</v>
      </c>
      <c r="B2367" t="s">
        <v>13</v>
      </c>
      <c r="C2367" t="s">
        <v>29</v>
      </c>
      <c r="D2367">
        <v>454</v>
      </c>
      <c r="E2367">
        <v>100</v>
      </c>
      <c r="F2367">
        <v>203.3</v>
      </c>
      <c r="G2367" t="s">
        <v>32</v>
      </c>
      <c r="H2367" s="1">
        <v>45624</v>
      </c>
      <c r="I2367" s="1">
        <v>45630</v>
      </c>
      <c r="J2367" t="s">
        <v>39</v>
      </c>
      <c r="K2367" t="b">
        <f>Table1[[#This Row],[CurrentStock]]&lt;Table1[[#This Row],[ReorderLevel]]</f>
        <v>0</v>
      </c>
      <c r="L2367" s="9">
        <f>Table1[[#This Row],[CurrentStock]]*Table1[[#This Row],[UnitPrice]]</f>
        <v>92298.200000000012</v>
      </c>
      <c r="M2367" t="str">
        <f>IF(Table1[[#This Row],[ReorderLevel]]-Table1[[#This Row],[CurrentStock]]&gt;0,Table1[[#This Row],[ReorderLevel]]-Table1[[#This Row],[CurrentStock]],"")</f>
        <v/>
      </c>
      <c r="N2367" t="str">
        <f>IF(Table1[[#This Row],[CurrentStock]]&gt;Table1[[#This Row],[ReorderLevel]]*3,"Over Stock","Okay")</f>
        <v>Over Stock</v>
      </c>
      <c r="O2367" t="str">
        <f>IF(Table1[[#This Row],[CurrentStock]]&lt;Table1[[#This Row],[ReorderLevel]],"Reorder","Okay")</f>
        <v>Okay</v>
      </c>
    </row>
    <row r="2368" spans="1:15" x14ac:dyDescent="0.3">
      <c r="A2368">
        <v>33950</v>
      </c>
      <c r="B2368" t="s">
        <v>12</v>
      </c>
      <c r="C2368" t="s">
        <v>28</v>
      </c>
      <c r="D2368">
        <v>257</v>
      </c>
      <c r="E2368">
        <v>40</v>
      </c>
      <c r="F2368">
        <v>322.8</v>
      </c>
      <c r="G2368" t="s">
        <v>34</v>
      </c>
      <c r="H2368" s="1">
        <v>45567</v>
      </c>
      <c r="I2368" s="1">
        <v>45594</v>
      </c>
      <c r="J2368" t="s">
        <v>38</v>
      </c>
      <c r="K2368" t="b">
        <f>Table1[[#This Row],[CurrentStock]]&lt;Table1[[#This Row],[ReorderLevel]]</f>
        <v>0</v>
      </c>
      <c r="L2368" s="9">
        <f>Table1[[#This Row],[CurrentStock]]*Table1[[#This Row],[UnitPrice]]</f>
        <v>82959.600000000006</v>
      </c>
      <c r="M2368" t="str">
        <f>IF(Table1[[#This Row],[ReorderLevel]]-Table1[[#This Row],[CurrentStock]]&gt;0,Table1[[#This Row],[ReorderLevel]]-Table1[[#This Row],[CurrentStock]],"")</f>
        <v/>
      </c>
      <c r="N2368" t="str">
        <f>IF(Table1[[#This Row],[CurrentStock]]&gt;Table1[[#This Row],[ReorderLevel]]*3,"Over Stock","Okay")</f>
        <v>Over Stock</v>
      </c>
      <c r="O2368" t="str">
        <f>IF(Table1[[#This Row],[CurrentStock]]&lt;Table1[[#This Row],[ReorderLevel]],"Reorder","Okay")</f>
        <v>Okay</v>
      </c>
    </row>
    <row r="2369" spans="1:15" x14ac:dyDescent="0.3">
      <c r="A2369">
        <v>97108</v>
      </c>
      <c r="B2369" t="s">
        <v>20</v>
      </c>
      <c r="C2369" t="s">
        <v>29</v>
      </c>
      <c r="D2369">
        <v>433</v>
      </c>
      <c r="E2369">
        <v>20</v>
      </c>
      <c r="F2369">
        <v>168.57</v>
      </c>
      <c r="G2369" t="s">
        <v>33</v>
      </c>
      <c r="H2369" s="1">
        <v>45440</v>
      </c>
      <c r="I2369" s="1">
        <v>45451</v>
      </c>
      <c r="J2369" t="s">
        <v>38</v>
      </c>
      <c r="K2369" t="b">
        <f>Table1[[#This Row],[CurrentStock]]&lt;Table1[[#This Row],[ReorderLevel]]</f>
        <v>0</v>
      </c>
      <c r="L2369" s="9">
        <f>Table1[[#This Row],[CurrentStock]]*Table1[[#This Row],[UnitPrice]]</f>
        <v>72990.81</v>
      </c>
      <c r="M2369" t="str">
        <f>IF(Table1[[#This Row],[ReorderLevel]]-Table1[[#This Row],[CurrentStock]]&gt;0,Table1[[#This Row],[ReorderLevel]]-Table1[[#This Row],[CurrentStock]],"")</f>
        <v/>
      </c>
      <c r="N2369" t="str">
        <f>IF(Table1[[#This Row],[CurrentStock]]&gt;Table1[[#This Row],[ReorderLevel]]*3,"Over Stock","Okay")</f>
        <v>Over Stock</v>
      </c>
      <c r="O2369" t="str">
        <f>IF(Table1[[#This Row],[CurrentStock]]&lt;Table1[[#This Row],[ReorderLevel]],"Reorder","Okay")</f>
        <v>Okay</v>
      </c>
    </row>
    <row r="2370" spans="1:15" x14ac:dyDescent="0.3">
      <c r="A2370">
        <v>59630</v>
      </c>
      <c r="B2370" t="s">
        <v>17</v>
      </c>
      <c r="C2370" t="s">
        <v>30</v>
      </c>
      <c r="D2370">
        <v>389</v>
      </c>
      <c r="E2370">
        <v>100</v>
      </c>
      <c r="F2370">
        <v>268.86</v>
      </c>
      <c r="G2370" t="s">
        <v>33</v>
      </c>
      <c r="H2370" s="1">
        <v>45549</v>
      </c>
      <c r="I2370" s="1">
        <v>45578</v>
      </c>
      <c r="J2370" t="s">
        <v>39</v>
      </c>
      <c r="K2370" t="b">
        <f>Table1[[#This Row],[CurrentStock]]&lt;Table1[[#This Row],[ReorderLevel]]</f>
        <v>0</v>
      </c>
      <c r="L2370" s="9">
        <f>Table1[[#This Row],[CurrentStock]]*Table1[[#This Row],[UnitPrice]]</f>
        <v>104586.54000000001</v>
      </c>
      <c r="M2370" t="str">
        <f>IF(Table1[[#This Row],[ReorderLevel]]-Table1[[#This Row],[CurrentStock]]&gt;0,Table1[[#This Row],[ReorderLevel]]-Table1[[#This Row],[CurrentStock]],"")</f>
        <v/>
      </c>
      <c r="N2370" t="str">
        <f>IF(Table1[[#This Row],[CurrentStock]]&gt;Table1[[#This Row],[ReorderLevel]]*3,"Over Stock","Okay")</f>
        <v>Over Stock</v>
      </c>
      <c r="O2370" t="str">
        <f>IF(Table1[[#This Row],[CurrentStock]]&lt;Table1[[#This Row],[ReorderLevel]],"Reorder","Okay")</f>
        <v>Okay</v>
      </c>
    </row>
    <row r="2371" spans="1:15" x14ac:dyDescent="0.3">
      <c r="A2371">
        <v>37133</v>
      </c>
      <c r="B2371" t="s">
        <v>17</v>
      </c>
      <c r="C2371" t="s">
        <v>30</v>
      </c>
      <c r="D2371">
        <v>145</v>
      </c>
      <c r="E2371">
        <v>20</v>
      </c>
      <c r="F2371">
        <v>275.91000000000003</v>
      </c>
      <c r="G2371" t="s">
        <v>36</v>
      </c>
      <c r="H2371" s="1">
        <v>45377</v>
      </c>
      <c r="I2371" s="1">
        <v>45382</v>
      </c>
      <c r="J2371" t="s">
        <v>37</v>
      </c>
      <c r="K2371" t="b">
        <f>Table1[[#This Row],[CurrentStock]]&lt;Table1[[#This Row],[ReorderLevel]]</f>
        <v>0</v>
      </c>
      <c r="L2371" s="9">
        <f>Table1[[#This Row],[CurrentStock]]*Table1[[#This Row],[UnitPrice]]</f>
        <v>40006.950000000004</v>
      </c>
      <c r="M2371" t="str">
        <f>IF(Table1[[#This Row],[ReorderLevel]]-Table1[[#This Row],[CurrentStock]]&gt;0,Table1[[#This Row],[ReorderLevel]]-Table1[[#This Row],[CurrentStock]],"")</f>
        <v/>
      </c>
      <c r="N2371" t="str">
        <f>IF(Table1[[#This Row],[CurrentStock]]&gt;Table1[[#This Row],[ReorderLevel]]*3,"Over Stock","Okay")</f>
        <v>Over Stock</v>
      </c>
      <c r="O2371" t="str">
        <f>IF(Table1[[#This Row],[CurrentStock]]&lt;Table1[[#This Row],[ReorderLevel]],"Reorder","Okay")</f>
        <v>Okay</v>
      </c>
    </row>
    <row r="2372" spans="1:15" x14ac:dyDescent="0.3">
      <c r="A2372">
        <v>41742</v>
      </c>
      <c r="B2372" t="s">
        <v>12</v>
      </c>
      <c r="C2372" t="s">
        <v>28</v>
      </c>
      <c r="D2372">
        <v>256</v>
      </c>
      <c r="E2372">
        <v>80</v>
      </c>
      <c r="F2372">
        <v>191.84</v>
      </c>
      <c r="G2372" t="s">
        <v>32</v>
      </c>
      <c r="H2372" s="1">
        <v>45500</v>
      </c>
      <c r="I2372" s="1">
        <v>45516</v>
      </c>
      <c r="J2372" t="s">
        <v>38</v>
      </c>
      <c r="K2372" t="b">
        <f>Table1[[#This Row],[CurrentStock]]&lt;Table1[[#This Row],[ReorderLevel]]</f>
        <v>0</v>
      </c>
      <c r="L2372" s="9">
        <f>Table1[[#This Row],[CurrentStock]]*Table1[[#This Row],[UnitPrice]]</f>
        <v>49111.040000000001</v>
      </c>
      <c r="M2372" t="str">
        <f>IF(Table1[[#This Row],[ReorderLevel]]-Table1[[#This Row],[CurrentStock]]&gt;0,Table1[[#This Row],[ReorderLevel]]-Table1[[#This Row],[CurrentStock]],"")</f>
        <v/>
      </c>
      <c r="N2372" t="str">
        <f>IF(Table1[[#This Row],[CurrentStock]]&gt;Table1[[#This Row],[ReorderLevel]]*3,"Over Stock","Okay")</f>
        <v>Over Stock</v>
      </c>
      <c r="O2372" t="str">
        <f>IF(Table1[[#This Row],[CurrentStock]]&lt;Table1[[#This Row],[ReorderLevel]],"Reorder","Okay")</f>
        <v>Okay</v>
      </c>
    </row>
    <row r="2373" spans="1:15" x14ac:dyDescent="0.3">
      <c r="A2373">
        <v>92283</v>
      </c>
      <c r="B2373" t="s">
        <v>15</v>
      </c>
      <c r="C2373" t="s">
        <v>29</v>
      </c>
      <c r="D2373">
        <v>409</v>
      </c>
      <c r="E2373">
        <v>150</v>
      </c>
      <c r="F2373">
        <v>431.72</v>
      </c>
      <c r="G2373" t="s">
        <v>34</v>
      </c>
      <c r="H2373" s="1">
        <v>45445</v>
      </c>
      <c r="I2373" s="1">
        <v>45452</v>
      </c>
      <c r="J2373" t="s">
        <v>37</v>
      </c>
      <c r="K2373" t="b">
        <f>Table1[[#This Row],[CurrentStock]]&lt;Table1[[#This Row],[ReorderLevel]]</f>
        <v>0</v>
      </c>
      <c r="L2373" s="9">
        <f>Table1[[#This Row],[CurrentStock]]*Table1[[#This Row],[UnitPrice]]</f>
        <v>176573.48</v>
      </c>
      <c r="M2373" t="str">
        <f>IF(Table1[[#This Row],[ReorderLevel]]-Table1[[#This Row],[CurrentStock]]&gt;0,Table1[[#This Row],[ReorderLevel]]-Table1[[#This Row],[CurrentStock]],"")</f>
        <v/>
      </c>
      <c r="N2373" t="str">
        <f>IF(Table1[[#This Row],[CurrentStock]]&gt;Table1[[#This Row],[ReorderLevel]]*3,"Over Stock","Okay")</f>
        <v>Okay</v>
      </c>
      <c r="O2373" t="str">
        <f>IF(Table1[[#This Row],[CurrentStock]]&lt;Table1[[#This Row],[ReorderLevel]],"Reorder","Okay")</f>
        <v>Okay</v>
      </c>
    </row>
    <row r="2374" spans="1:15" x14ac:dyDescent="0.3">
      <c r="A2374">
        <v>61134</v>
      </c>
      <c r="B2374" t="s">
        <v>21</v>
      </c>
      <c r="C2374" t="s">
        <v>31</v>
      </c>
      <c r="D2374">
        <v>356</v>
      </c>
      <c r="E2374">
        <v>40</v>
      </c>
      <c r="F2374">
        <v>43.27</v>
      </c>
      <c r="G2374" t="s">
        <v>33</v>
      </c>
      <c r="H2374" s="1">
        <v>45609</v>
      </c>
      <c r="I2374" s="1">
        <v>45624</v>
      </c>
      <c r="J2374" t="s">
        <v>37</v>
      </c>
      <c r="K2374" t="b">
        <f>Table1[[#This Row],[CurrentStock]]&lt;Table1[[#This Row],[ReorderLevel]]</f>
        <v>0</v>
      </c>
      <c r="L2374" s="9">
        <f>Table1[[#This Row],[CurrentStock]]*Table1[[#This Row],[UnitPrice]]</f>
        <v>15404.12</v>
      </c>
      <c r="M2374" t="str">
        <f>IF(Table1[[#This Row],[ReorderLevel]]-Table1[[#This Row],[CurrentStock]]&gt;0,Table1[[#This Row],[ReorderLevel]]-Table1[[#This Row],[CurrentStock]],"")</f>
        <v/>
      </c>
      <c r="N2374" t="str">
        <f>IF(Table1[[#This Row],[CurrentStock]]&gt;Table1[[#This Row],[ReorderLevel]]*3,"Over Stock","Okay")</f>
        <v>Over Stock</v>
      </c>
      <c r="O2374" t="str">
        <f>IF(Table1[[#This Row],[CurrentStock]]&lt;Table1[[#This Row],[ReorderLevel]],"Reorder","Okay")</f>
        <v>Okay</v>
      </c>
    </row>
    <row r="2375" spans="1:15" x14ac:dyDescent="0.3">
      <c r="A2375">
        <v>50739</v>
      </c>
      <c r="B2375" t="s">
        <v>20</v>
      </c>
      <c r="C2375" t="s">
        <v>29</v>
      </c>
      <c r="D2375">
        <v>106</v>
      </c>
      <c r="E2375">
        <v>20</v>
      </c>
      <c r="F2375">
        <v>381.8</v>
      </c>
      <c r="G2375" t="s">
        <v>32</v>
      </c>
      <c r="H2375" s="1">
        <v>45563</v>
      </c>
      <c r="I2375" s="1">
        <v>45580</v>
      </c>
      <c r="J2375" t="s">
        <v>39</v>
      </c>
      <c r="K2375" t="b">
        <f>Table1[[#This Row],[CurrentStock]]&lt;Table1[[#This Row],[ReorderLevel]]</f>
        <v>0</v>
      </c>
      <c r="L2375" s="9">
        <f>Table1[[#This Row],[CurrentStock]]*Table1[[#This Row],[UnitPrice]]</f>
        <v>40470.800000000003</v>
      </c>
      <c r="M2375" t="str">
        <f>IF(Table1[[#This Row],[ReorderLevel]]-Table1[[#This Row],[CurrentStock]]&gt;0,Table1[[#This Row],[ReorderLevel]]-Table1[[#This Row],[CurrentStock]],"")</f>
        <v/>
      </c>
      <c r="N2375" t="str">
        <f>IF(Table1[[#This Row],[CurrentStock]]&gt;Table1[[#This Row],[ReorderLevel]]*3,"Over Stock","Okay")</f>
        <v>Over Stock</v>
      </c>
      <c r="O2375" t="str">
        <f>IF(Table1[[#This Row],[CurrentStock]]&lt;Table1[[#This Row],[ReorderLevel]],"Reorder","Okay")</f>
        <v>Okay</v>
      </c>
    </row>
    <row r="2376" spans="1:15" x14ac:dyDescent="0.3">
      <c r="A2376">
        <v>63001</v>
      </c>
      <c r="B2376" t="s">
        <v>21</v>
      </c>
      <c r="C2376" t="s">
        <v>31</v>
      </c>
      <c r="D2376">
        <v>80</v>
      </c>
      <c r="E2376">
        <v>100</v>
      </c>
      <c r="F2376">
        <v>270.08999999999997</v>
      </c>
      <c r="G2376" t="s">
        <v>32</v>
      </c>
      <c r="H2376" s="1">
        <v>45321</v>
      </c>
      <c r="I2376" s="1">
        <v>45332</v>
      </c>
      <c r="J2376" t="s">
        <v>39</v>
      </c>
      <c r="K2376" t="b">
        <f>Table1[[#This Row],[CurrentStock]]&lt;Table1[[#This Row],[ReorderLevel]]</f>
        <v>1</v>
      </c>
      <c r="L2376" s="9">
        <f>Table1[[#This Row],[CurrentStock]]*Table1[[#This Row],[UnitPrice]]</f>
        <v>21607.199999999997</v>
      </c>
      <c r="M2376">
        <f>IF(Table1[[#This Row],[ReorderLevel]]-Table1[[#This Row],[CurrentStock]]&gt;0,Table1[[#This Row],[ReorderLevel]]-Table1[[#This Row],[CurrentStock]],"")</f>
        <v>20</v>
      </c>
      <c r="N2376" t="str">
        <f>IF(Table1[[#This Row],[CurrentStock]]&gt;Table1[[#This Row],[ReorderLevel]]*3,"Over Stock","Okay")</f>
        <v>Okay</v>
      </c>
      <c r="O2376" t="str">
        <f>IF(Table1[[#This Row],[CurrentStock]]&lt;Table1[[#This Row],[ReorderLevel]],"Reorder","Okay")</f>
        <v>Reorder</v>
      </c>
    </row>
    <row r="2377" spans="1:15" x14ac:dyDescent="0.3">
      <c r="A2377">
        <v>76981</v>
      </c>
      <c r="B2377" t="s">
        <v>13</v>
      </c>
      <c r="C2377" t="s">
        <v>29</v>
      </c>
      <c r="D2377">
        <v>36</v>
      </c>
      <c r="E2377">
        <v>50</v>
      </c>
      <c r="F2377">
        <v>410.84</v>
      </c>
      <c r="G2377" t="s">
        <v>33</v>
      </c>
      <c r="H2377" s="1">
        <v>45546</v>
      </c>
      <c r="I2377" s="1">
        <v>45572</v>
      </c>
      <c r="J2377" t="s">
        <v>38</v>
      </c>
      <c r="K2377" t="b">
        <f>Table1[[#This Row],[CurrentStock]]&lt;Table1[[#This Row],[ReorderLevel]]</f>
        <v>1</v>
      </c>
      <c r="L2377" s="9">
        <f>Table1[[#This Row],[CurrentStock]]*Table1[[#This Row],[UnitPrice]]</f>
        <v>14790.24</v>
      </c>
      <c r="M2377">
        <f>IF(Table1[[#This Row],[ReorderLevel]]-Table1[[#This Row],[CurrentStock]]&gt;0,Table1[[#This Row],[ReorderLevel]]-Table1[[#This Row],[CurrentStock]],"")</f>
        <v>14</v>
      </c>
      <c r="N2377" t="str">
        <f>IF(Table1[[#This Row],[CurrentStock]]&gt;Table1[[#This Row],[ReorderLevel]]*3,"Over Stock","Okay")</f>
        <v>Okay</v>
      </c>
      <c r="O2377" t="str">
        <f>IF(Table1[[#This Row],[CurrentStock]]&lt;Table1[[#This Row],[ReorderLevel]],"Reorder","Okay")</f>
        <v>Reorder</v>
      </c>
    </row>
    <row r="2378" spans="1:15" x14ac:dyDescent="0.3">
      <c r="A2378">
        <v>23403</v>
      </c>
      <c r="B2378" t="s">
        <v>16</v>
      </c>
      <c r="C2378" t="s">
        <v>30</v>
      </c>
      <c r="D2378">
        <v>168</v>
      </c>
      <c r="E2378">
        <v>30</v>
      </c>
      <c r="F2378">
        <v>405.89</v>
      </c>
      <c r="G2378" t="s">
        <v>33</v>
      </c>
      <c r="H2378" s="1">
        <v>45612</v>
      </c>
      <c r="I2378" s="1">
        <v>45631</v>
      </c>
      <c r="J2378" t="s">
        <v>38</v>
      </c>
      <c r="K2378" t="b">
        <f>Table1[[#This Row],[CurrentStock]]&lt;Table1[[#This Row],[ReorderLevel]]</f>
        <v>0</v>
      </c>
      <c r="L2378" s="9">
        <f>Table1[[#This Row],[CurrentStock]]*Table1[[#This Row],[UnitPrice]]</f>
        <v>68189.52</v>
      </c>
      <c r="M2378" t="str">
        <f>IF(Table1[[#This Row],[ReorderLevel]]-Table1[[#This Row],[CurrentStock]]&gt;0,Table1[[#This Row],[ReorderLevel]]-Table1[[#This Row],[CurrentStock]],"")</f>
        <v/>
      </c>
      <c r="N2378" t="str">
        <f>IF(Table1[[#This Row],[CurrentStock]]&gt;Table1[[#This Row],[ReorderLevel]]*3,"Over Stock","Okay")</f>
        <v>Over Stock</v>
      </c>
      <c r="O2378" t="str">
        <f>IF(Table1[[#This Row],[CurrentStock]]&lt;Table1[[#This Row],[ReorderLevel]],"Reorder","Okay")</f>
        <v>Okay</v>
      </c>
    </row>
    <row r="2379" spans="1:15" x14ac:dyDescent="0.3">
      <c r="A2379">
        <v>52517</v>
      </c>
      <c r="B2379" t="s">
        <v>25</v>
      </c>
      <c r="C2379" t="s">
        <v>31</v>
      </c>
      <c r="D2379">
        <v>316</v>
      </c>
      <c r="E2379">
        <v>150</v>
      </c>
      <c r="F2379">
        <v>320.88</v>
      </c>
      <c r="G2379" t="s">
        <v>34</v>
      </c>
      <c r="H2379" s="1">
        <v>45394</v>
      </c>
      <c r="I2379" s="1">
        <v>45415</v>
      </c>
      <c r="J2379" t="s">
        <v>38</v>
      </c>
      <c r="K2379" t="b">
        <f>Table1[[#This Row],[CurrentStock]]&lt;Table1[[#This Row],[ReorderLevel]]</f>
        <v>0</v>
      </c>
      <c r="L2379" s="9">
        <f>Table1[[#This Row],[CurrentStock]]*Table1[[#This Row],[UnitPrice]]</f>
        <v>101398.08</v>
      </c>
      <c r="M2379" t="str">
        <f>IF(Table1[[#This Row],[ReorderLevel]]-Table1[[#This Row],[CurrentStock]]&gt;0,Table1[[#This Row],[ReorderLevel]]-Table1[[#This Row],[CurrentStock]],"")</f>
        <v/>
      </c>
      <c r="N2379" t="str">
        <f>IF(Table1[[#This Row],[CurrentStock]]&gt;Table1[[#This Row],[ReorderLevel]]*3,"Over Stock","Okay")</f>
        <v>Okay</v>
      </c>
      <c r="O2379" t="str">
        <f>IF(Table1[[#This Row],[CurrentStock]]&lt;Table1[[#This Row],[ReorderLevel]],"Reorder","Okay")</f>
        <v>Okay</v>
      </c>
    </row>
    <row r="2380" spans="1:15" x14ac:dyDescent="0.3">
      <c r="A2380">
        <v>82454</v>
      </c>
      <c r="B2380" t="s">
        <v>13</v>
      </c>
      <c r="C2380" t="s">
        <v>29</v>
      </c>
      <c r="D2380">
        <v>416</v>
      </c>
      <c r="E2380">
        <v>30</v>
      </c>
      <c r="F2380">
        <v>189.27</v>
      </c>
      <c r="G2380" t="s">
        <v>36</v>
      </c>
      <c r="H2380" s="1">
        <v>45593</v>
      </c>
      <c r="I2380" s="1">
        <v>45624</v>
      </c>
      <c r="J2380" t="s">
        <v>37</v>
      </c>
      <c r="K2380" t="b">
        <f>Table1[[#This Row],[CurrentStock]]&lt;Table1[[#This Row],[ReorderLevel]]</f>
        <v>0</v>
      </c>
      <c r="L2380" s="9">
        <f>Table1[[#This Row],[CurrentStock]]*Table1[[#This Row],[UnitPrice]]</f>
        <v>78736.320000000007</v>
      </c>
      <c r="M2380" t="str">
        <f>IF(Table1[[#This Row],[ReorderLevel]]-Table1[[#This Row],[CurrentStock]]&gt;0,Table1[[#This Row],[ReorderLevel]]-Table1[[#This Row],[CurrentStock]],"")</f>
        <v/>
      </c>
      <c r="N2380" t="str">
        <f>IF(Table1[[#This Row],[CurrentStock]]&gt;Table1[[#This Row],[ReorderLevel]]*3,"Over Stock","Okay")</f>
        <v>Over Stock</v>
      </c>
      <c r="O2380" t="str">
        <f>IF(Table1[[#This Row],[CurrentStock]]&lt;Table1[[#This Row],[ReorderLevel]],"Reorder","Okay")</f>
        <v>Okay</v>
      </c>
    </row>
    <row r="2381" spans="1:15" x14ac:dyDescent="0.3">
      <c r="A2381">
        <v>23750</v>
      </c>
      <c r="B2381" t="s">
        <v>24</v>
      </c>
      <c r="C2381" t="s">
        <v>31</v>
      </c>
      <c r="D2381">
        <v>360</v>
      </c>
      <c r="E2381">
        <v>100</v>
      </c>
      <c r="F2381">
        <v>183.4</v>
      </c>
      <c r="G2381" t="s">
        <v>34</v>
      </c>
      <c r="H2381" s="1">
        <v>45367</v>
      </c>
      <c r="I2381" s="1">
        <v>45401</v>
      </c>
      <c r="J2381" t="s">
        <v>39</v>
      </c>
      <c r="K2381" t="b">
        <f>Table1[[#This Row],[CurrentStock]]&lt;Table1[[#This Row],[ReorderLevel]]</f>
        <v>0</v>
      </c>
      <c r="L2381" s="9">
        <f>Table1[[#This Row],[CurrentStock]]*Table1[[#This Row],[UnitPrice]]</f>
        <v>66024</v>
      </c>
      <c r="M2381" t="str">
        <f>IF(Table1[[#This Row],[ReorderLevel]]-Table1[[#This Row],[CurrentStock]]&gt;0,Table1[[#This Row],[ReorderLevel]]-Table1[[#This Row],[CurrentStock]],"")</f>
        <v/>
      </c>
      <c r="N2381" t="str">
        <f>IF(Table1[[#This Row],[CurrentStock]]&gt;Table1[[#This Row],[ReorderLevel]]*3,"Over Stock","Okay")</f>
        <v>Over Stock</v>
      </c>
      <c r="O2381" t="str">
        <f>IF(Table1[[#This Row],[CurrentStock]]&lt;Table1[[#This Row],[ReorderLevel]],"Reorder","Okay")</f>
        <v>Okay</v>
      </c>
    </row>
    <row r="2382" spans="1:15" x14ac:dyDescent="0.3">
      <c r="A2382">
        <v>69207</v>
      </c>
      <c r="B2382" t="s">
        <v>14</v>
      </c>
      <c r="C2382" t="s">
        <v>27</v>
      </c>
      <c r="D2382">
        <v>365</v>
      </c>
      <c r="E2382">
        <v>40</v>
      </c>
      <c r="F2382">
        <v>219.54</v>
      </c>
      <c r="G2382" t="s">
        <v>33</v>
      </c>
      <c r="H2382" s="1">
        <v>45554</v>
      </c>
      <c r="I2382" s="1">
        <v>45588</v>
      </c>
      <c r="J2382" t="s">
        <v>39</v>
      </c>
      <c r="K2382" t="b">
        <f>Table1[[#This Row],[CurrentStock]]&lt;Table1[[#This Row],[ReorderLevel]]</f>
        <v>0</v>
      </c>
      <c r="L2382" s="9">
        <f>Table1[[#This Row],[CurrentStock]]*Table1[[#This Row],[UnitPrice]]</f>
        <v>80132.099999999991</v>
      </c>
      <c r="M2382" t="str">
        <f>IF(Table1[[#This Row],[ReorderLevel]]-Table1[[#This Row],[CurrentStock]]&gt;0,Table1[[#This Row],[ReorderLevel]]-Table1[[#This Row],[CurrentStock]],"")</f>
        <v/>
      </c>
      <c r="N2382" t="str">
        <f>IF(Table1[[#This Row],[CurrentStock]]&gt;Table1[[#This Row],[ReorderLevel]]*3,"Over Stock","Okay")</f>
        <v>Over Stock</v>
      </c>
      <c r="O2382" t="str">
        <f>IF(Table1[[#This Row],[CurrentStock]]&lt;Table1[[#This Row],[ReorderLevel]],"Reorder","Okay")</f>
        <v>Okay</v>
      </c>
    </row>
    <row r="2383" spans="1:15" x14ac:dyDescent="0.3">
      <c r="A2383">
        <v>75430</v>
      </c>
      <c r="B2383" t="s">
        <v>21</v>
      </c>
      <c r="C2383" t="s">
        <v>31</v>
      </c>
      <c r="D2383">
        <v>145</v>
      </c>
      <c r="E2383">
        <v>30</v>
      </c>
      <c r="F2383">
        <v>442.17</v>
      </c>
      <c r="G2383" t="s">
        <v>33</v>
      </c>
      <c r="H2383" s="1">
        <v>45450</v>
      </c>
      <c r="I2383" s="1">
        <v>45474</v>
      </c>
      <c r="J2383" t="s">
        <v>37</v>
      </c>
      <c r="K2383" t="b">
        <f>Table1[[#This Row],[CurrentStock]]&lt;Table1[[#This Row],[ReorderLevel]]</f>
        <v>0</v>
      </c>
      <c r="L2383" s="9">
        <f>Table1[[#This Row],[CurrentStock]]*Table1[[#This Row],[UnitPrice]]</f>
        <v>64114.65</v>
      </c>
      <c r="M2383" t="str">
        <f>IF(Table1[[#This Row],[ReorderLevel]]-Table1[[#This Row],[CurrentStock]]&gt;0,Table1[[#This Row],[ReorderLevel]]-Table1[[#This Row],[CurrentStock]],"")</f>
        <v/>
      </c>
      <c r="N2383" t="str">
        <f>IF(Table1[[#This Row],[CurrentStock]]&gt;Table1[[#This Row],[ReorderLevel]]*3,"Over Stock","Okay")</f>
        <v>Over Stock</v>
      </c>
      <c r="O2383" t="str">
        <f>IF(Table1[[#This Row],[CurrentStock]]&lt;Table1[[#This Row],[ReorderLevel]],"Reorder","Okay")</f>
        <v>Okay</v>
      </c>
    </row>
    <row r="2384" spans="1:15" x14ac:dyDescent="0.3">
      <c r="A2384">
        <v>70843</v>
      </c>
      <c r="B2384" t="s">
        <v>26</v>
      </c>
      <c r="C2384" t="s">
        <v>30</v>
      </c>
      <c r="D2384">
        <v>177</v>
      </c>
      <c r="E2384">
        <v>80</v>
      </c>
      <c r="F2384">
        <v>275.95</v>
      </c>
      <c r="G2384" t="s">
        <v>34</v>
      </c>
      <c r="H2384" s="1">
        <v>45306</v>
      </c>
      <c r="I2384" s="1">
        <v>45336</v>
      </c>
      <c r="J2384" t="s">
        <v>39</v>
      </c>
      <c r="K2384" t="b">
        <f>Table1[[#This Row],[CurrentStock]]&lt;Table1[[#This Row],[ReorderLevel]]</f>
        <v>0</v>
      </c>
      <c r="L2384" s="9">
        <f>Table1[[#This Row],[CurrentStock]]*Table1[[#This Row],[UnitPrice]]</f>
        <v>48843.15</v>
      </c>
      <c r="M2384" t="str">
        <f>IF(Table1[[#This Row],[ReorderLevel]]-Table1[[#This Row],[CurrentStock]]&gt;0,Table1[[#This Row],[ReorderLevel]]-Table1[[#This Row],[CurrentStock]],"")</f>
        <v/>
      </c>
      <c r="N2384" t="str">
        <f>IF(Table1[[#This Row],[CurrentStock]]&gt;Table1[[#This Row],[ReorderLevel]]*3,"Over Stock","Okay")</f>
        <v>Okay</v>
      </c>
      <c r="O2384" t="str">
        <f>IF(Table1[[#This Row],[CurrentStock]]&lt;Table1[[#This Row],[ReorderLevel]],"Reorder","Okay")</f>
        <v>Okay</v>
      </c>
    </row>
    <row r="2385" spans="1:15" x14ac:dyDescent="0.3">
      <c r="A2385">
        <v>38869</v>
      </c>
      <c r="B2385" t="s">
        <v>23</v>
      </c>
      <c r="C2385" t="s">
        <v>30</v>
      </c>
      <c r="D2385">
        <v>106</v>
      </c>
      <c r="E2385">
        <v>40</v>
      </c>
      <c r="F2385">
        <v>384.96</v>
      </c>
      <c r="G2385" t="s">
        <v>36</v>
      </c>
      <c r="H2385" s="1">
        <v>45329</v>
      </c>
      <c r="I2385" s="1">
        <v>45366</v>
      </c>
      <c r="J2385" t="s">
        <v>38</v>
      </c>
      <c r="K2385" t="b">
        <f>Table1[[#This Row],[CurrentStock]]&lt;Table1[[#This Row],[ReorderLevel]]</f>
        <v>0</v>
      </c>
      <c r="L2385" s="9">
        <f>Table1[[#This Row],[CurrentStock]]*Table1[[#This Row],[UnitPrice]]</f>
        <v>40805.759999999995</v>
      </c>
      <c r="M2385" t="str">
        <f>IF(Table1[[#This Row],[ReorderLevel]]-Table1[[#This Row],[CurrentStock]]&gt;0,Table1[[#This Row],[ReorderLevel]]-Table1[[#This Row],[CurrentStock]],"")</f>
        <v/>
      </c>
      <c r="N2385" t="str">
        <f>IF(Table1[[#This Row],[CurrentStock]]&gt;Table1[[#This Row],[ReorderLevel]]*3,"Over Stock","Okay")</f>
        <v>Okay</v>
      </c>
      <c r="O2385" t="str">
        <f>IF(Table1[[#This Row],[CurrentStock]]&lt;Table1[[#This Row],[ReorderLevel]],"Reorder","Okay")</f>
        <v>Okay</v>
      </c>
    </row>
    <row r="2386" spans="1:15" x14ac:dyDescent="0.3">
      <c r="A2386">
        <v>60193</v>
      </c>
      <c r="B2386" t="s">
        <v>11</v>
      </c>
      <c r="C2386" t="s">
        <v>27</v>
      </c>
      <c r="D2386">
        <v>6</v>
      </c>
      <c r="E2386">
        <v>30</v>
      </c>
      <c r="F2386">
        <v>257.14999999999998</v>
      </c>
      <c r="G2386" t="s">
        <v>34</v>
      </c>
      <c r="H2386" s="1">
        <v>45353</v>
      </c>
      <c r="I2386" s="1">
        <v>45380</v>
      </c>
      <c r="J2386" t="s">
        <v>38</v>
      </c>
      <c r="K2386" t="b">
        <f>Table1[[#This Row],[CurrentStock]]&lt;Table1[[#This Row],[ReorderLevel]]</f>
        <v>1</v>
      </c>
      <c r="L2386" s="9">
        <f>Table1[[#This Row],[CurrentStock]]*Table1[[#This Row],[UnitPrice]]</f>
        <v>1542.8999999999999</v>
      </c>
      <c r="M2386">
        <f>IF(Table1[[#This Row],[ReorderLevel]]-Table1[[#This Row],[CurrentStock]]&gt;0,Table1[[#This Row],[ReorderLevel]]-Table1[[#This Row],[CurrentStock]],"")</f>
        <v>24</v>
      </c>
      <c r="N2386" t="str">
        <f>IF(Table1[[#This Row],[CurrentStock]]&gt;Table1[[#This Row],[ReorderLevel]]*3,"Over Stock","Okay")</f>
        <v>Okay</v>
      </c>
      <c r="O2386" t="str">
        <f>IF(Table1[[#This Row],[CurrentStock]]&lt;Table1[[#This Row],[ReorderLevel]],"Reorder","Okay")</f>
        <v>Reorder</v>
      </c>
    </row>
    <row r="2387" spans="1:15" x14ac:dyDescent="0.3">
      <c r="A2387">
        <v>84174</v>
      </c>
      <c r="B2387" t="s">
        <v>15</v>
      </c>
      <c r="C2387" t="s">
        <v>29</v>
      </c>
      <c r="D2387">
        <v>66</v>
      </c>
      <c r="E2387">
        <v>80</v>
      </c>
      <c r="F2387">
        <v>195.64</v>
      </c>
      <c r="G2387" t="s">
        <v>33</v>
      </c>
      <c r="H2387" s="1">
        <v>45350</v>
      </c>
      <c r="I2387" s="1">
        <v>45359</v>
      </c>
      <c r="J2387" t="s">
        <v>39</v>
      </c>
      <c r="K2387" t="b">
        <f>Table1[[#This Row],[CurrentStock]]&lt;Table1[[#This Row],[ReorderLevel]]</f>
        <v>1</v>
      </c>
      <c r="L2387" s="9">
        <f>Table1[[#This Row],[CurrentStock]]*Table1[[#This Row],[UnitPrice]]</f>
        <v>12912.24</v>
      </c>
      <c r="M2387">
        <f>IF(Table1[[#This Row],[ReorderLevel]]-Table1[[#This Row],[CurrentStock]]&gt;0,Table1[[#This Row],[ReorderLevel]]-Table1[[#This Row],[CurrentStock]],"")</f>
        <v>14</v>
      </c>
      <c r="N2387" t="str">
        <f>IF(Table1[[#This Row],[CurrentStock]]&gt;Table1[[#This Row],[ReorderLevel]]*3,"Over Stock","Okay")</f>
        <v>Okay</v>
      </c>
      <c r="O2387" t="str">
        <f>IF(Table1[[#This Row],[CurrentStock]]&lt;Table1[[#This Row],[ReorderLevel]],"Reorder","Okay")</f>
        <v>Reorder</v>
      </c>
    </row>
    <row r="2388" spans="1:15" x14ac:dyDescent="0.3">
      <c r="A2388">
        <v>67487</v>
      </c>
      <c r="B2388" t="s">
        <v>18</v>
      </c>
      <c r="C2388" t="s">
        <v>28</v>
      </c>
      <c r="D2388">
        <v>359</v>
      </c>
      <c r="E2388">
        <v>40</v>
      </c>
      <c r="F2388">
        <v>138.51</v>
      </c>
      <c r="G2388" t="s">
        <v>36</v>
      </c>
      <c r="H2388" s="1">
        <v>45429</v>
      </c>
      <c r="I2388" s="1">
        <v>45456</v>
      </c>
      <c r="J2388" t="s">
        <v>38</v>
      </c>
      <c r="K2388" t="b">
        <f>Table1[[#This Row],[CurrentStock]]&lt;Table1[[#This Row],[ReorderLevel]]</f>
        <v>0</v>
      </c>
      <c r="L2388" s="9">
        <f>Table1[[#This Row],[CurrentStock]]*Table1[[#This Row],[UnitPrice]]</f>
        <v>49725.09</v>
      </c>
      <c r="M2388" t="str">
        <f>IF(Table1[[#This Row],[ReorderLevel]]-Table1[[#This Row],[CurrentStock]]&gt;0,Table1[[#This Row],[ReorderLevel]]-Table1[[#This Row],[CurrentStock]],"")</f>
        <v/>
      </c>
      <c r="N2388" t="str">
        <f>IF(Table1[[#This Row],[CurrentStock]]&gt;Table1[[#This Row],[ReorderLevel]]*3,"Over Stock","Okay")</f>
        <v>Over Stock</v>
      </c>
      <c r="O2388" t="str">
        <f>IF(Table1[[#This Row],[CurrentStock]]&lt;Table1[[#This Row],[ReorderLevel]],"Reorder","Okay")</f>
        <v>Okay</v>
      </c>
    </row>
    <row r="2389" spans="1:15" x14ac:dyDescent="0.3">
      <c r="A2389">
        <v>33138</v>
      </c>
      <c r="B2389" t="s">
        <v>26</v>
      </c>
      <c r="C2389" t="s">
        <v>30</v>
      </c>
      <c r="D2389">
        <v>306</v>
      </c>
      <c r="E2389">
        <v>30</v>
      </c>
      <c r="F2389">
        <v>13.69</v>
      </c>
      <c r="G2389" t="s">
        <v>36</v>
      </c>
      <c r="H2389" s="1">
        <v>45593</v>
      </c>
      <c r="I2389" s="1">
        <v>45618</v>
      </c>
      <c r="J2389" t="s">
        <v>38</v>
      </c>
      <c r="K2389" t="b">
        <f>Table1[[#This Row],[CurrentStock]]&lt;Table1[[#This Row],[ReorderLevel]]</f>
        <v>0</v>
      </c>
      <c r="L2389" s="9">
        <f>Table1[[#This Row],[CurrentStock]]*Table1[[#This Row],[UnitPrice]]</f>
        <v>4189.1399999999994</v>
      </c>
      <c r="M2389" t="str">
        <f>IF(Table1[[#This Row],[ReorderLevel]]-Table1[[#This Row],[CurrentStock]]&gt;0,Table1[[#This Row],[ReorderLevel]]-Table1[[#This Row],[CurrentStock]],"")</f>
        <v/>
      </c>
      <c r="N2389" t="str">
        <f>IF(Table1[[#This Row],[CurrentStock]]&gt;Table1[[#This Row],[ReorderLevel]]*3,"Over Stock","Okay")</f>
        <v>Over Stock</v>
      </c>
      <c r="O2389" t="str">
        <f>IF(Table1[[#This Row],[CurrentStock]]&lt;Table1[[#This Row],[ReorderLevel]],"Reorder","Okay")</f>
        <v>Okay</v>
      </c>
    </row>
    <row r="2390" spans="1:15" x14ac:dyDescent="0.3">
      <c r="A2390">
        <v>91122</v>
      </c>
      <c r="B2390" t="s">
        <v>12</v>
      </c>
      <c r="C2390" t="s">
        <v>28</v>
      </c>
      <c r="D2390">
        <v>267</v>
      </c>
      <c r="E2390">
        <v>80</v>
      </c>
      <c r="F2390">
        <v>331.26</v>
      </c>
      <c r="G2390" t="s">
        <v>35</v>
      </c>
      <c r="H2390" s="1">
        <v>45591</v>
      </c>
      <c r="I2390" s="1">
        <v>45604</v>
      </c>
      <c r="J2390" t="s">
        <v>39</v>
      </c>
      <c r="K2390" t="b">
        <f>Table1[[#This Row],[CurrentStock]]&lt;Table1[[#This Row],[ReorderLevel]]</f>
        <v>0</v>
      </c>
      <c r="L2390" s="9">
        <f>Table1[[#This Row],[CurrentStock]]*Table1[[#This Row],[UnitPrice]]</f>
        <v>88446.42</v>
      </c>
      <c r="M2390" t="str">
        <f>IF(Table1[[#This Row],[ReorderLevel]]-Table1[[#This Row],[CurrentStock]]&gt;0,Table1[[#This Row],[ReorderLevel]]-Table1[[#This Row],[CurrentStock]],"")</f>
        <v/>
      </c>
      <c r="N2390" t="str">
        <f>IF(Table1[[#This Row],[CurrentStock]]&gt;Table1[[#This Row],[ReorderLevel]]*3,"Over Stock","Okay")</f>
        <v>Over Stock</v>
      </c>
      <c r="O2390" t="str">
        <f>IF(Table1[[#This Row],[CurrentStock]]&lt;Table1[[#This Row],[ReorderLevel]],"Reorder","Okay")</f>
        <v>Okay</v>
      </c>
    </row>
    <row r="2391" spans="1:15" x14ac:dyDescent="0.3">
      <c r="A2391">
        <v>91919</v>
      </c>
      <c r="B2391" t="s">
        <v>21</v>
      </c>
      <c r="C2391" t="s">
        <v>31</v>
      </c>
      <c r="D2391">
        <v>358</v>
      </c>
      <c r="E2391">
        <v>50</v>
      </c>
      <c r="F2391">
        <v>272.64999999999998</v>
      </c>
      <c r="G2391" t="s">
        <v>33</v>
      </c>
      <c r="H2391" s="1">
        <v>45343</v>
      </c>
      <c r="I2391" s="1">
        <v>45382</v>
      </c>
      <c r="J2391" t="s">
        <v>37</v>
      </c>
      <c r="K2391" t="b">
        <f>Table1[[#This Row],[CurrentStock]]&lt;Table1[[#This Row],[ReorderLevel]]</f>
        <v>0</v>
      </c>
      <c r="L2391" s="9">
        <f>Table1[[#This Row],[CurrentStock]]*Table1[[#This Row],[UnitPrice]]</f>
        <v>97608.7</v>
      </c>
      <c r="M2391" t="str">
        <f>IF(Table1[[#This Row],[ReorderLevel]]-Table1[[#This Row],[CurrentStock]]&gt;0,Table1[[#This Row],[ReorderLevel]]-Table1[[#This Row],[CurrentStock]],"")</f>
        <v/>
      </c>
      <c r="N2391" t="str">
        <f>IF(Table1[[#This Row],[CurrentStock]]&gt;Table1[[#This Row],[ReorderLevel]]*3,"Over Stock","Okay")</f>
        <v>Over Stock</v>
      </c>
      <c r="O2391" t="str">
        <f>IF(Table1[[#This Row],[CurrentStock]]&lt;Table1[[#This Row],[ReorderLevel]],"Reorder","Okay")</f>
        <v>Okay</v>
      </c>
    </row>
    <row r="2392" spans="1:15" x14ac:dyDescent="0.3">
      <c r="A2392">
        <v>99897</v>
      </c>
      <c r="B2392" t="s">
        <v>20</v>
      </c>
      <c r="C2392" t="s">
        <v>29</v>
      </c>
      <c r="D2392">
        <v>260</v>
      </c>
      <c r="E2392">
        <v>100</v>
      </c>
      <c r="F2392">
        <v>373.28</v>
      </c>
      <c r="G2392" t="s">
        <v>35</v>
      </c>
      <c r="H2392" s="1">
        <v>45513</v>
      </c>
      <c r="I2392" s="1">
        <v>45538</v>
      </c>
      <c r="J2392" t="s">
        <v>38</v>
      </c>
      <c r="K2392" t="b">
        <f>Table1[[#This Row],[CurrentStock]]&lt;Table1[[#This Row],[ReorderLevel]]</f>
        <v>0</v>
      </c>
      <c r="L2392" s="9">
        <f>Table1[[#This Row],[CurrentStock]]*Table1[[#This Row],[UnitPrice]]</f>
        <v>97052.799999999988</v>
      </c>
      <c r="M2392" t="str">
        <f>IF(Table1[[#This Row],[ReorderLevel]]-Table1[[#This Row],[CurrentStock]]&gt;0,Table1[[#This Row],[ReorderLevel]]-Table1[[#This Row],[CurrentStock]],"")</f>
        <v/>
      </c>
      <c r="N2392" t="str">
        <f>IF(Table1[[#This Row],[CurrentStock]]&gt;Table1[[#This Row],[ReorderLevel]]*3,"Over Stock","Okay")</f>
        <v>Okay</v>
      </c>
      <c r="O2392" t="str">
        <f>IF(Table1[[#This Row],[CurrentStock]]&lt;Table1[[#This Row],[ReorderLevel]],"Reorder","Okay")</f>
        <v>Okay</v>
      </c>
    </row>
    <row r="2393" spans="1:15" x14ac:dyDescent="0.3">
      <c r="A2393">
        <v>52240</v>
      </c>
      <c r="B2393" t="s">
        <v>20</v>
      </c>
      <c r="C2393" t="s">
        <v>29</v>
      </c>
      <c r="D2393">
        <v>449</v>
      </c>
      <c r="E2393">
        <v>80</v>
      </c>
      <c r="F2393">
        <v>496.47</v>
      </c>
      <c r="G2393" t="s">
        <v>32</v>
      </c>
      <c r="H2393" s="1">
        <v>45581</v>
      </c>
      <c r="I2393" s="1">
        <v>45586</v>
      </c>
      <c r="J2393" t="s">
        <v>39</v>
      </c>
      <c r="K2393" t="b">
        <f>Table1[[#This Row],[CurrentStock]]&lt;Table1[[#This Row],[ReorderLevel]]</f>
        <v>0</v>
      </c>
      <c r="L2393" s="9">
        <f>Table1[[#This Row],[CurrentStock]]*Table1[[#This Row],[UnitPrice]]</f>
        <v>222915.03</v>
      </c>
      <c r="M2393" t="str">
        <f>IF(Table1[[#This Row],[ReorderLevel]]-Table1[[#This Row],[CurrentStock]]&gt;0,Table1[[#This Row],[ReorderLevel]]-Table1[[#This Row],[CurrentStock]],"")</f>
        <v/>
      </c>
      <c r="N2393" t="str">
        <f>IF(Table1[[#This Row],[CurrentStock]]&gt;Table1[[#This Row],[ReorderLevel]]*3,"Over Stock","Okay")</f>
        <v>Over Stock</v>
      </c>
      <c r="O2393" t="str">
        <f>IF(Table1[[#This Row],[CurrentStock]]&lt;Table1[[#This Row],[ReorderLevel]],"Reorder","Okay")</f>
        <v>Okay</v>
      </c>
    </row>
    <row r="2394" spans="1:15" x14ac:dyDescent="0.3">
      <c r="A2394">
        <v>38111</v>
      </c>
      <c r="B2394" t="s">
        <v>22</v>
      </c>
      <c r="C2394" t="s">
        <v>27</v>
      </c>
      <c r="D2394">
        <v>397</v>
      </c>
      <c r="E2394">
        <v>100</v>
      </c>
      <c r="F2394">
        <v>321.57</v>
      </c>
      <c r="G2394" t="s">
        <v>36</v>
      </c>
      <c r="H2394" s="1">
        <v>45548</v>
      </c>
      <c r="I2394" s="1">
        <v>45574</v>
      </c>
      <c r="J2394" t="s">
        <v>39</v>
      </c>
      <c r="K2394" t="b">
        <f>Table1[[#This Row],[CurrentStock]]&lt;Table1[[#This Row],[ReorderLevel]]</f>
        <v>0</v>
      </c>
      <c r="L2394" s="9">
        <f>Table1[[#This Row],[CurrentStock]]*Table1[[#This Row],[UnitPrice]]</f>
        <v>127663.29</v>
      </c>
      <c r="M2394" t="str">
        <f>IF(Table1[[#This Row],[ReorderLevel]]-Table1[[#This Row],[CurrentStock]]&gt;0,Table1[[#This Row],[ReorderLevel]]-Table1[[#This Row],[CurrentStock]],"")</f>
        <v/>
      </c>
      <c r="N2394" t="str">
        <f>IF(Table1[[#This Row],[CurrentStock]]&gt;Table1[[#This Row],[ReorderLevel]]*3,"Over Stock","Okay")</f>
        <v>Over Stock</v>
      </c>
      <c r="O2394" t="str">
        <f>IF(Table1[[#This Row],[CurrentStock]]&lt;Table1[[#This Row],[ReorderLevel]],"Reorder","Okay")</f>
        <v>Okay</v>
      </c>
    </row>
    <row r="2395" spans="1:15" x14ac:dyDescent="0.3">
      <c r="A2395">
        <v>89220</v>
      </c>
      <c r="B2395" t="s">
        <v>25</v>
      </c>
      <c r="C2395" t="s">
        <v>31</v>
      </c>
      <c r="D2395">
        <v>85</v>
      </c>
      <c r="E2395">
        <v>100</v>
      </c>
      <c r="F2395">
        <v>299.52999999999997</v>
      </c>
      <c r="G2395" t="s">
        <v>35</v>
      </c>
      <c r="H2395" s="1">
        <v>45485</v>
      </c>
      <c r="I2395" s="1">
        <v>45496</v>
      </c>
      <c r="J2395" t="s">
        <v>38</v>
      </c>
      <c r="K2395" t="b">
        <f>Table1[[#This Row],[CurrentStock]]&lt;Table1[[#This Row],[ReorderLevel]]</f>
        <v>1</v>
      </c>
      <c r="L2395" s="9">
        <f>Table1[[#This Row],[CurrentStock]]*Table1[[#This Row],[UnitPrice]]</f>
        <v>25460.05</v>
      </c>
      <c r="M2395">
        <f>IF(Table1[[#This Row],[ReorderLevel]]-Table1[[#This Row],[CurrentStock]]&gt;0,Table1[[#This Row],[ReorderLevel]]-Table1[[#This Row],[CurrentStock]],"")</f>
        <v>15</v>
      </c>
      <c r="N2395" t="str">
        <f>IF(Table1[[#This Row],[CurrentStock]]&gt;Table1[[#This Row],[ReorderLevel]]*3,"Over Stock","Okay")</f>
        <v>Okay</v>
      </c>
      <c r="O2395" t="str">
        <f>IF(Table1[[#This Row],[CurrentStock]]&lt;Table1[[#This Row],[ReorderLevel]],"Reorder","Okay")</f>
        <v>Reorder</v>
      </c>
    </row>
    <row r="2396" spans="1:15" x14ac:dyDescent="0.3">
      <c r="A2396">
        <v>86749</v>
      </c>
      <c r="B2396" t="s">
        <v>11</v>
      </c>
      <c r="C2396" t="s">
        <v>27</v>
      </c>
      <c r="D2396">
        <v>129</v>
      </c>
      <c r="E2396">
        <v>150</v>
      </c>
      <c r="F2396">
        <v>390.78</v>
      </c>
      <c r="G2396" t="s">
        <v>33</v>
      </c>
      <c r="H2396" s="1">
        <v>45556</v>
      </c>
      <c r="I2396" s="1">
        <v>45587</v>
      </c>
      <c r="J2396" t="s">
        <v>37</v>
      </c>
      <c r="K2396" t="b">
        <f>Table1[[#This Row],[CurrentStock]]&lt;Table1[[#This Row],[ReorderLevel]]</f>
        <v>1</v>
      </c>
      <c r="L2396" s="9">
        <f>Table1[[#This Row],[CurrentStock]]*Table1[[#This Row],[UnitPrice]]</f>
        <v>50410.619999999995</v>
      </c>
      <c r="M2396">
        <f>IF(Table1[[#This Row],[ReorderLevel]]-Table1[[#This Row],[CurrentStock]]&gt;0,Table1[[#This Row],[ReorderLevel]]-Table1[[#This Row],[CurrentStock]],"")</f>
        <v>21</v>
      </c>
      <c r="N2396" t="str">
        <f>IF(Table1[[#This Row],[CurrentStock]]&gt;Table1[[#This Row],[ReorderLevel]]*3,"Over Stock","Okay")</f>
        <v>Okay</v>
      </c>
      <c r="O2396" t="str">
        <f>IF(Table1[[#This Row],[CurrentStock]]&lt;Table1[[#This Row],[ReorderLevel]],"Reorder","Okay")</f>
        <v>Reorder</v>
      </c>
    </row>
    <row r="2397" spans="1:15" x14ac:dyDescent="0.3">
      <c r="A2397">
        <v>80288</v>
      </c>
      <c r="B2397" t="s">
        <v>11</v>
      </c>
      <c r="C2397" t="s">
        <v>27</v>
      </c>
      <c r="D2397">
        <v>242</v>
      </c>
      <c r="E2397">
        <v>80</v>
      </c>
      <c r="F2397">
        <v>245.73</v>
      </c>
      <c r="G2397" t="s">
        <v>32</v>
      </c>
      <c r="H2397" s="1">
        <v>45468</v>
      </c>
      <c r="I2397" s="1">
        <v>45474</v>
      </c>
      <c r="J2397" t="s">
        <v>39</v>
      </c>
      <c r="K2397" t="b">
        <f>Table1[[#This Row],[CurrentStock]]&lt;Table1[[#This Row],[ReorderLevel]]</f>
        <v>0</v>
      </c>
      <c r="L2397" s="9">
        <f>Table1[[#This Row],[CurrentStock]]*Table1[[#This Row],[UnitPrice]]</f>
        <v>59466.659999999996</v>
      </c>
      <c r="M2397" t="str">
        <f>IF(Table1[[#This Row],[ReorderLevel]]-Table1[[#This Row],[CurrentStock]]&gt;0,Table1[[#This Row],[ReorderLevel]]-Table1[[#This Row],[CurrentStock]],"")</f>
        <v/>
      </c>
      <c r="N2397" t="str">
        <f>IF(Table1[[#This Row],[CurrentStock]]&gt;Table1[[#This Row],[ReorderLevel]]*3,"Over Stock","Okay")</f>
        <v>Over Stock</v>
      </c>
      <c r="O2397" t="str">
        <f>IF(Table1[[#This Row],[CurrentStock]]&lt;Table1[[#This Row],[ReorderLevel]],"Reorder","Okay")</f>
        <v>Okay</v>
      </c>
    </row>
    <row r="2398" spans="1:15" x14ac:dyDescent="0.3">
      <c r="A2398">
        <v>28007</v>
      </c>
      <c r="B2398" t="s">
        <v>10</v>
      </c>
      <c r="C2398" t="s">
        <v>27</v>
      </c>
      <c r="D2398">
        <v>125</v>
      </c>
      <c r="E2398">
        <v>150</v>
      </c>
      <c r="F2398">
        <v>227.35</v>
      </c>
      <c r="G2398" t="s">
        <v>33</v>
      </c>
      <c r="H2398" s="1">
        <v>45645</v>
      </c>
      <c r="I2398" s="1">
        <v>45681</v>
      </c>
      <c r="J2398" t="s">
        <v>38</v>
      </c>
      <c r="K2398" t="b">
        <f>Table1[[#This Row],[CurrentStock]]&lt;Table1[[#This Row],[ReorderLevel]]</f>
        <v>1</v>
      </c>
      <c r="L2398" s="9">
        <f>Table1[[#This Row],[CurrentStock]]*Table1[[#This Row],[UnitPrice]]</f>
        <v>28418.75</v>
      </c>
      <c r="M2398">
        <f>IF(Table1[[#This Row],[ReorderLevel]]-Table1[[#This Row],[CurrentStock]]&gt;0,Table1[[#This Row],[ReorderLevel]]-Table1[[#This Row],[CurrentStock]],"")</f>
        <v>25</v>
      </c>
      <c r="N2398" t="str">
        <f>IF(Table1[[#This Row],[CurrentStock]]&gt;Table1[[#This Row],[ReorderLevel]]*3,"Over Stock","Okay")</f>
        <v>Okay</v>
      </c>
      <c r="O2398" t="str">
        <f>IF(Table1[[#This Row],[CurrentStock]]&lt;Table1[[#This Row],[ReorderLevel]],"Reorder","Okay")</f>
        <v>Reorder</v>
      </c>
    </row>
    <row r="2399" spans="1:15" x14ac:dyDescent="0.3">
      <c r="A2399">
        <v>68543</v>
      </c>
      <c r="B2399" t="s">
        <v>18</v>
      </c>
      <c r="C2399" t="s">
        <v>28</v>
      </c>
      <c r="D2399">
        <v>189</v>
      </c>
      <c r="E2399">
        <v>40</v>
      </c>
      <c r="F2399">
        <v>442.11</v>
      </c>
      <c r="G2399" t="s">
        <v>34</v>
      </c>
      <c r="H2399" s="1">
        <v>45623</v>
      </c>
      <c r="I2399" s="1">
        <v>45653</v>
      </c>
      <c r="J2399" t="s">
        <v>37</v>
      </c>
      <c r="K2399" t="b">
        <f>Table1[[#This Row],[CurrentStock]]&lt;Table1[[#This Row],[ReorderLevel]]</f>
        <v>0</v>
      </c>
      <c r="L2399" s="9">
        <f>Table1[[#This Row],[CurrentStock]]*Table1[[#This Row],[UnitPrice]]</f>
        <v>83558.790000000008</v>
      </c>
      <c r="M2399" t="str">
        <f>IF(Table1[[#This Row],[ReorderLevel]]-Table1[[#This Row],[CurrentStock]]&gt;0,Table1[[#This Row],[ReorderLevel]]-Table1[[#This Row],[CurrentStock]],"")</f>
        <v/>
      </c>
      <c r="N2399" t="str">
        <f>IF(Table1[[#This Row],[CurrentStock]]&gt;Table1[[#This Row],[ReorderLevel]]*3,"Over Stock","Okay")</f>
        <v>Over Stock</v>
      </c>
      <c r="O2399" t="str">
        <f>IF(Table1[[#This Row],[CurrentStock]]&lt;Table1[[#This Row],[ReorderLevel]],"Reorder","Okay")</f>
        <v>Okay</v>
      </c>
    </row>
    <row r="2400" spans="1:15" x14ac:dyDescent="0.3">
      <c r="A2400">
        <v>75199</v>
      </c>
      <c r="B2400" t="s">
        <v>15</v>
      </c>
      <c r="C2400" t="s">
        <v>29</v>
      </c>
      <c r="D2400">
        <v>482</v>
      </c>
      <c r="E2400">
        <v>40</v>
      </c>
      <c r="F2400">
        <v>279.95999999999998</v>
      </c>
      <c r="G2400" t="s">
        <v>36</v>
      </c>
      <c r="H2400" s="1">
        <v>45399</v>
      </c>
      <c r="I2400" s="1">
        <v>45422</v>
      </c>
      <c r="J2400" t="s">
        <v>38</v>
      </c>
      <c r="K2400" t="b">
        <f>Table1[[#This Row],[CurrentStock]]&lt;Table1[[#This Row],[ReorderLevel]]</f>
        <v>0</v>
      </c>
      <c r="L2400" s="9">
        <f>Table1[[#This Row],[CurrentStock]]*Table1[[#This Row],[UnitPrice]]</f>
        <v>134940.72</v>
      </c>
      <c r="M2400" t="str">
        <f>IF(Table1[[#This Row],[ReorderLevel]]-Table1[[#This Row],[CurrentStock]]&gt;0,Table1[[#This Row],[ReorderLevel]]-Table1[[#This Row],[CurrentStock]],"")</f>
        <v/>
      </c>
      <c r="N2400" t="str">
        <f>IF(Table1[[#This Row],[CurrentStock]]&gt;Table1[[#This Row],[ReorderLevel]]*3,"Over Stock","Okay")</f>
        <v>Over Stock</v>
      </c>
      <c r="O2400" t="str">
        <f>IF(Table1[[#This Row],[CurrentStock]]&lt;Table1[[#This Row],[ReorderLevel]],"Reorder","Okay")</f>
        <v>Okay</v>
      </c>
    </row>
    <row r="2401" spans="1:15" x14ac:dyDescent="0.3">
      <c r="A2401">
        <v>97057</v>
      </c>
      <c r="B2401" t="s">
        <v>17</v>
      </c>
      <c r="C2401" t="s">
        <v>30</v>
      </c>
      <c r="D2401">
        <v>301</v>
      </c>
      <c r="E2401">
        <v>50</v>
      </c>
      <c r="F2401">
        <v>461.33</v>
      </c>
      <c r="G2401" t="s">
        <v>34</v>
      </c>
      <c r="H2401" s="1">
        <v>45365</v>
      </c>
      <c r="I2401" s="1">
        <v>45401</v>
      </c>
      <c r="J2401" t="s">
        <v>38</v>
      </c>
      <c r="K2401" t="b">
        <f>Table1[[#This Row],[CurrentStock]]&lt;Table1[[#This Row],[ReorderLevel]]</f>
        <v>0</v>
      </c>
      <c r="L2401" s="9">
        <f>Table1[[#This Row],[CurrentStock]]*Table1[[#This Row],[UnitPrice]]</f>
        <v>138860.32999999999</v>
      </c>
      <c r="M2401" t="str">
        <f>IF(Table1[[#This Row],[ReorderLevel]]-Table1[[#This Row],[CurrentStock]]&gt;0,Table1[[#This Row],[ReorderLevel]]-Table1[[#This Row],[CurrentStock]],"")</f>
        <v/>
      </c>
      <c r="N2401" t="str">
        <f>IF(Table1[[#This Row],[CurrentStock]]&gt;Table1[[#This Row],[ReorderLevel]]*3,"Over Stock","Okay")</f>
        <v>Over Stock</v>
      </c>
      <c r="O2401" t="str">
        <f>IF(Table1[[#This Row],[CurrentStock]]&lt;Table1[[#This Row],[ReorderLevel]],"Reorder","Okay")</f>
        <v>Okay</v>
      </c>
    </row>
    <row r="2402" spans="1:15" x14ac:dyDescent="0.3">
      <c r="A2402">
        <v>15217</v>
      </c>
      <c r="B2402" t="s">
        <v>12</v>
      </c>
      <c r="C2402" t="s">
        <v>28</v>
      </c>
      <c r="D2402">
        <v>438</v>
      </c>
      <c r="E2402">
        <v>100</v>
      </c>
      <c r="F2402">
        <v>78.08</v>
      </c>
      <c r="G2402" t="s">
        <v>32</v>
      </c>
      <c r="H2402" s="1">
        <v>45300</v>
      </c>
      <c r="I2402" s="1">
        <v>45309</v>
      </c>
      <c r="J2402" t="s">
        <v>38</v>
      </c>
      <c r="K2402" t="b">
        <f>Table1[[#This Row],[CurrentStock]]&lt;Table1[[#This Row],[ReorderLevel]]</f>
        <v>0</v>
      </c>
      <c r="L2402" s="9">
        <f>Table1[[#This Row],[CurrentStock]]*Table1[[#This Row],[UnitPrice]]</f>
        <v>34199.040000000001</v>
      </c>
      <c r="M2402" t="str">
        <f>IF(Table1[[#This Row],[ReorderLevel]]-Table1[[#This Row],[CurrentStock]]&gt;0,Table1[[#This Row],[ReorderLevel]]-Table1[[#This Row],[CurrentStock]],"")</f>
        <v/>
      </c>
      <c r="N2402" t="str">
        <f>IF(Table1[[#This Row],[CurrentStock]]&gt;Table1[[#This Row],[ReorderLevel]]*3,"Over Stock","Okay")</f>
        <v>Over Stock</v>
      </c>
      <c r="O2402" t="str">
        <f>IF(Table1[[#This Row],[CurrentStock]]&lt;Table1[[#This Row],[ReorderLevel]],"Reorder","Okay")</f>
        <v>Okay</v>
      </c>
    </row>
    <row r="2403" spans="1:15" x14ac:dyDescent="0.3">
      <c r="A2403">
        <v>19669</v>
      </c>
      <c r="B2403" t="s">
        <v>24</v>
      </c>
      <c r="C2403" t="s">
        <v>31</v>
      </c>
      <c r="D2403">
        <v>446</v>
      </c>
      <c r="E2403">
        <v>30</v>
      </c>
      <c r="F2403">
        <v>21.43</v>
      </c>
      <c r="G2403" t="s">
        <v>32</v>
      </c>
      <c r="H2403" s="1">
        <v>45398</v>
      </c>
      <c r="I2403" s="1">
        <v>45430</v>
      </c>
      <c r="J2403" t="s">
        <v>39</v>
      </c>
      <c r="K2403" t="b">
        <f>Table1[[#This Row],[CurrentStock]]&lt;Table1[[#This Row],[ReorderLevel]]</f>
        <v>0</v>
      </c>
      <c r="L2403" s="9">
        <f>Table1[[#This Row],[CurrentStock]]*Table1[[#This Row],[UnitPrice]]</f>
        <v>9557.7800000000007</v>
      </c>
      <c r="M2403" t="str">
        <f>IF(Table1[[#This Row],[ReorderLevel]]-Table1[[#This Row],[CurrentStock]]&gt;0,Table1[[#This Row],[ReorderLevel]]-Table1[[#This Row],[CurrentStock]],"")</f>
        <v/>
      </c>
      <c r="N2403" t="str">
        <f>IF(Table1[[#This Row],[CurrentStock]]&gt;Table1[[#This Row],[ReorderLevel]]*3,"Over Stock","Okay")</f>
        <v>Over Stock</v>
      </c>
      <c r="O2403" t="str">
        <f>IF(Table1[[#This Row],[CurrentStock]]&lt;Table1[[#This Row],[ReorderLevel]],"Reorder","Okay")</f>
        <v>Okay</v>
      </c>
    </row>
    <row r="2404" spans="1:15" x14ac:dyDescent="0.3">
      <c r="A2404">
        <v>22735</v>
      </c>
      <c r="B2404" t="s">
        <v>20</v>
      </c>
      <c r="C2404" t="s">
        <v>29</v>
      </c>
      <c r="D2404">
        <v>119</v>
      </c>
      <c r="E2404">
        <v>30</v>
      </c>
      <c r="F2404">
        <v>242.37</v>
      </c>
      <c r="G2404" t="s">
        <v>34</v>
      </c>
      <c r="H2404" s="1">
        <v>45634</v>
      </c>
      <c r="I2404" s="1">
        <v>45656</v>
      </c>
      <c r="J2404" t="s">
        <v>38</v>
      </c>
      <c r="K2404" t="b">
        <f>Table1[[#This Row],[CurrentStock]]&lt;Table1[[#This Row],[ReorderLevel]]</f>
        <v>0</v>
      </c>
      <c r="L2404" s="9">
        <f>Table1[[#This Row],[CurrentStock]]*Table1[[#This Row],[UnitPrice]]</f>
        <v>28842.03</v>
      </c>
      <c r="M2404" t="str">
        <f>IF(Table1[[#This Row],[ReorderLevel]]-Table1[[#This Row],[CurrentStock]]&gt;0,Table1[[#This Row],[ReorderLevel]]-Table1[[#This Row],[CurrentStock]],"")</f>
        <v/>
      </c>
      <c r="N2404" t="str">
        <f>IF(Table1[[#This Row],[CurrentStock]]&gt;Table1[[#This Row],[ReorderLevel]]*3,"Over Stock","Okay")</f>
        <v>Over Stock</v>
      </c>
      <c r="O2404" t="str">
        <f>IF(Table1[[#This Row],[CurrentStock]]&lt;Table1[[#This Row],[ReorderLevel]],"Reorder","Okay")</f>
        <v>Okay</v>
      </c>
    </row>
    <row r="2405" spans="1:15" x14ac:dyDescent="0.3">
      <c r="A2405">
        <v>40036</v>
      </c>
      <c r="B2405" t="s">
        <v>18</v>
      </c>
      <c r="C2405" t="s">
        <v>28</v>
      </c>
      <c r="D2405">
        <v>310</v>
      </c>
      <c r="E2405">
        <v>80</v>
      </c>
      <c r="F2405">
        <v>266.8</v>
      </c>
      <c r="G2405" t="s">
        <v>35</v>
      </c>
      <c r="H2405" s="1">
        <v>45459</v>
      </c>
      <c r="I2405" s="1">
        <v>45471</v>
      </c>
      <c r="J2405" t="s">
        <v>37</v>
      </c>
      <c r="K2405" t="b">
        <f>Table1[[#This Row],[CurrentStock]]&lt;Table1[[#This Row],[ReorderLevel]]</f>
        <v>0</v>
      </c>
      <c r="L2405" s="9">
        <f>Table1[[#This Row],[CurrentStock]]*Table1[[#This Row],[UnitPrice]]</f>
        <v>82708</v>
      </c>
      <c r="M2405" t="str">
        <f>IF(Table1[[#This Row],[ReorderLevel]]-Table1[[#This Row],[CurrentStock]]&gt;0,Table1[[#This Row],[ReorderLevel]]-Table1[[#This Row],[CurrentStock]],"")</f>
        <v/>
      </c>
      <c r="N2405" t="str">
        <f>IF(Table1[[#This Row],[CurrentStock]]&gt;Table1[[#This Row],[ReorderLevel]]*3,"Over Stock","Okay")</f>
        <v>Over Stock</v>
      </c>
      <c r="O2405" t="str">
        <f>IF(Table1[[#This Row],[CurrentStock]]&lt;Table1[[#This Row],[ReorderLevel]],"Reorder","Okay")</f>
        <v>Okay</v>
      </c>
    </row>
    <row r="2406" spans="1:15" x14ac:dyDescent="0.3">
      <c r="A2406">
        <v>55267</v>
      </c>
      <c r="B2406" t="s">
        <v>23</v>
      </c>
      <c r="C2406" t="s">
        <v>30</v>
      </c>
      <c r="D2406">
        <v>109</v>
      </c>
      <c r="E2406">
        <v>30</v>
      </c>
      <c r="F2406">
        <v>77.14</v>
      </c>
      <c r="G2406" t="s">
        <v>34</v>
      </c>
      <c r="H2406" s="1">
        <v>45544</v>
      </c>
      <c r="I2406" s="1">
        <v>45557</v>
      </c>
      <c r="J2406" t="s">
        <v>38</v>
      </c>
      <c r="K2406" t="b">
        <f>Table1[[#This Row],[CurrentStock]]&lt;Table1[[#This Row],[ReorderLevel]]</f>
        <v>0</v>
      </c>
      <c r="L2406" s="9">
        <f>Table1[[#This Row],[CurrentStock]]*Table1[[#This Row],[UnitPrice]]</f>
        <v>8408.26</v>
      </c>
      <c r="M2406" t="str">
        <f>IF(Table1[[#This Row],[ReorderLevel]]-Table1[[#This Row],[CurrentStock]]&gt;0,Table1[[#This Row],[ReorderLevel]]-Table1[[#This Row],[CurrentStock]],"")</f>
        <v/>
      </c>
      <c r="N2406" t="str">
        <f>IF(Table1[[#This Row],[CurrentStock]]&gt;Table1[[#This Row],[ReorderLevel]]*3,"Over Stock","Okay")</f>
        <v>Over Stock</v>
      </c>
      <c r="O2406" t="str">
        <f>IF(Table1[[#This Row],[CurrentStock]]&lt;Table1[[#This Row],[ReorderLevel]],"Reorder","Okay")</f>
        <v>Okay</v>
      </c>
    </row>
    <row r="2407" spans="1:15" x14ac:dyDescent="0.3">
      <c r="A2407">
        <v>64716</v>
      </c>
      <c r="B2407" t="s">
        <v>20</v>
      </c>
      <c r="C2407" t="s">
        <v>29</v>
      </c>
      <c r="D2407">
        <v>229</v>
      </c>
      <c r="E2407">
        <v>150</v>
      </c>
      <c r="F2407">
        <v>492.83</v>
      </c>
      <c r="G2407" t="s">
        <v>33</v>
      </c>
      <c r="H2407" s="1">
        <v>45434</v>
      </c>
      <c r="I2407" s="1">
        <v>45444</v>
      </c>
      <c r="J2407" t="s">
        <v>39</v>
      </c>
      <c r="K2407" t="b">
        <f>Table1[[#This Row],[CurrentStock]]&lt;Table1[[#This Row],[ReorderLevel]]</f>
        <v>0</v>
      </c>
      <c r="L2407" s="9">
        <f>Table1[[#This Row],[CurrentStock]]*Table1[[#This Row],[UnitPrice]]</f>
        <v>112858.06999999999</v>
      </c>
      <c r="M2407" t="str">
        <f>IF(Table1[[#This Row],[ReorderLevel]]-Table1[[#This Row],[CurrentStock]]&gt;0,Table1[[#This Row],[ReorderLevel]]-Table1[[#This Row],[CurrentStock]],"")</f>
        <v/>
      </c>
      <c r="N2407" t="str">
        <f>IF(Table1[[#This Row],[CurrentStock]]&gt;Table1[[#This Row],[ReorderLevel]]*3,"Over Stock","Okay")</f>
        <v>Okay</v>
      </c>
      <c r="O2407" t="str">
        <f>IF(Table1[[#This Row],[CurrentStock]]&lt;Table1[[#This Row],[ReorderLevel]],"Reorder","Okay")</f>
        <v>Okay</v>
      </c>
    </row>
    <row r="2408" spans="1:15" x14ac:dyDescent="0.3">
      <c r="A2408">
        <v>86493</v>
      </c>
      <c r="B2408" t="s">
        <v>16</v>
      </c>
      <c r="C2408" t="s">
        <v>30</v>
      </c>
      <c r="D2408">
        <v>184</v>
      </c>
      <c r="E2408">
        <v>40</v>
      </c>
      <c r="F2408">
        <v>15.82</v>
      </c>
      <c r="G2408" t="s">
        <v>34</v>
      </c>
      <c r="H2408" s="1">
        <v>45550</v>
      </c>
      <c r="I2408" s="1">
        <v>45556</v>
      </c>
      <c r="J2408" t="s">
        <v>37</v>
      </c>
      <c r="K2408" t="b">
        <f>Table1[[#This Row],[CurrentStock]]&lt;Table1[[#This Row],[ReorderLevel]]</f>
        <v>0</v>
      </c>
      <c r="L2408" s="9">
        <f>Table1[[#This Row],[CurrentStock]]*Table1[[#This Row],[UnitPrice]]</f>
        <v>2910.88</v>
      </c>
      <c r="M2408" t="str">
        <f>IF(Table1[[#This Row],[ReorderLevel]]-Table1[[#This Row],[CurrentStock]]&gt;0,Table1[[#This Row],[ReorderLevel]]-Table1[[#This Row],[CurrentStock]],"")</f>
        <v/>
      </c>
      <c r="N2408" t="str">
        <f>IF(Table1[[#This Row],[CurrentStock]]&gt;Table1[[#This Row],[ReorderLevel]]*3,"Over Stock","Okay")</f>
        <v>Over Stock</v>
      </c>
      <c r="O2408" t="str">
        <f>IF(Table1[[#This Row],[CurrentStock]]&lt;Table1[[#This Row],[ReorderLevel]],"Reorder","Okay")</f>
        <v>Okay</v>
      </c>
    </row>
    <row r="2409" spans="1:15" x14ac:dyDescent="0.3">
      <c r="A2409">
        <v>21809</v>
      </c>
      <c r="B2409" t="s">
        <v>23</v>
      </c>
      <c r="C2409" t="s">
        <v>30</v>
      </c>
      <c r="D2409">
        <v>302</v>
      </c>
      <c r="E2409">
        <v>40</v>
      </c>
      <c r="F2409">
        <v>446.65</v>
      </c>
      <c r="G2409" t="s">
        <v>33</v>
      </c>
      <c r="H2409" s="1">
        <v>45375</v>
      </c>
      <c r="I2409" s="1">
        <v>45401</v>
      </c>
      <c r="J2409" t="s">
        <v>37</v>
      </c>
      <c r="K2409" t="b">
        <f>Table1[[#This Row],[CurrentStock]]&lt;Table1[[#This Row],[ReorderLevel]]</f>
        <v>0</v>
      </c>
      <c r="L2409" s="9">
        <f>Table1[[#This Row],[CurrentStock]]*Table1[[#This Row],[UnitPrice]]</f>
        <v>134888.29999999999</v>
      </c>
      <c r="M2409" t="str">
        <f>IF(Table1[[#This Row],[ReorderLevel]]-Table1[[#This Row],[CurrentStock]]&gt;0,Table1[[#This Row],[ReorderLevel]]-Table1[[#This Row],[CurrentStock]],"")</f>
        <v/>
      </c>
      <c r="N2409" t="str">
        <f>IF(Table1[[#This Row],[CurrentStock]]&gt;Table1[[#This Row],[ReorderLevel]]*3,"Over Stock","Okay")</f>
        <v>Over Stock</v>
      </c>
      <c r="O2409" t="str">
        <f>IF(Table1[[#This Row],[CurrentStock]]&lt;Table1[[#This Row],[ReorderLevel]],"Reorder","Okay")</f>
        <v>Okay</v>
      </c>
    </row>
    <row r="2410" spans="1:15" x14ac:dyDescent="0.3">
      <c r="A2410">
        <v>66632</v>
      </c>
      <c r="B2410" t="s">
        <v>19</v>
      </c>
      <c r="C2410" t="s">
        <v>28</v>
      </c>
      <c r="D2410">
        <v>257</v>
      </c>
      <c r="E2410">
        <v>50</v>
      </c>
      <c r="F2410">
        <v>217.16</v>
      </c>
      <c r="G2410" t="s">
        <v>34</v>
      </c>
      <c r="H2410" s="1">
        <v>45324</v>
      </c>
      <c r="I2410" s="1">
        <v>45337</v>
      </c>
      <c r="J2410" t="s">
        <v>39</v>
      </c>
      <c r="K2410" t="b">
        <f>Table1[[#This Row],[CurrentStock]]&lt;Table1[[#This Row],[ReorderLevel]]</f>
        <v>0</v>
      </c>
      <c r="L2410" s="9">
        <f>Table1[[#This Row],[CurrentStock]]*Table1[[#This Row],[UnitPrice]]</f>
        <v>55810.12</v>
      </c>
      <c r="M2410" t="str">
        <f>IF(Table1[[#This Row],[ReorderLevel]]-Table1[[#This Row],[CurrentStock]]&gt;0,Table1[[#This Row],[ReorderLevel]]-Table1[[#This Row],[CurrentStock]],"")</f>
        <v/>
      </c>
      <c r="N2410" t="str">
        <f>IF(Table1[[#This Row],[CurrentStock]]&gt;Table1[[#This Row],[ReorderLevel]]*3,"Over Stock","Okay")</f>
        <v>Over Stock</v>
      </c>
      <c r="O2410" t="str">
        <f>IF(Table1[[#This Row],[CurrentStock]]&lt;Table1[[#This Row],[ReorderLevel]],"Reorder","Okay")</f>
        <v>Okay</v>
      </c>
    </row>
    <row r="2411" spans="1:15" x14ac:dyDescent="0.3">
      <c r="A2411">
        <v>27105</v>
      </c>
      <c r="B2411" t="s">
        <v>14</v>
      </c>
      <c r="C2411" t="s">
        <v>27</v>
      </c>
      <c r="D2411">
        <v>163</v>
      </c>
      <c r="E2411">
        <v>40</v>
      </c>
      <c r="F2411">
        <v>193.24</v>
      </c>
      <c r="G2411" t="s">
        <v>32</v>
      </c>
      <c r="H2411" s="1">
        <v>45546</v>
      </c>
      <c r="I2411" s="1">
        <v>45583</v>
      </c>
      <c r="J2411" t="s">
        <v>38</v>
      </c>
      <c r="K2411" t="b">
        <f>Table1[[#This Row],[CurrentStock]]&lt;Table1[[#This Row],[ReorderLevel]]</f>
        <v>0</v>
      </c>
      <c r="L2411" s="9">
        <f>Table1[[#This Row],[CurrentStock]]*Table1[[#This Row],[UnitPrice]]</f>
        <v>31498.120000000003</v>
      </c>
      <c r="M2411" t="str">
        <f>IF(Table1[[#This Row],[ReorderLevel]]-Table1[[#This Row],[CurrentStock]]&gt;0,Table1[[#This Row],[ReorderLevel]]-Table1[[#This Row],[CurrentStock]],"")</f>
        <v/>
      </c>
      <c r="N2411" t="str">
        <f>IF(Table1[[#This Row],[CurrentStock]]&gt;Table1[[#This Row],[ReorderLevel]]*3,"Over Stock","Okay")</f>
        <v>Over Stock</v>
      </c>
      <c r="O2411" t="str">
        <f>IF(Table1[[#This Row],[CurrentStock]]&lt;Table1[[#This Row],[ReorderLevel]],"Reorder","Okay")</f>
        <v>Okay</v>
      </c>
    </row>
    <row r="2412" spans="1:15" x14ac:dyDescent="0.3">
      <c r="A2412">
        <v>27830</v>
      </c>
      <c r="B2412" t="s">
        <v>17</v>
      </c>
      <c r="C2412" t="s">
        <v>30</v>
      </c>
      <c r="D2412">
        <v>16</v>
      </c>
      <c r="E2412">
        <v>30</v>
      </c>
      <c r="F2412">
        <v>425.62</v>
      </c>
      <c r="G2412" t="s">
        <v>33</v>
      </c>
      <c r="H2412" s="1">
        <v>45476</v>
      </c>
      <c r="I2412" s="1">
        <v>45487</v>
      </c>
      <c r="J2412" t="s">
        <v>38</v>
      </c>
      <c r="K2412" t="b">
        <f>Table1[[#This Row],[CurrentStock]]&lt;Table1[[#This Row],[ReorderLevel]]</f>
        <v>1</v>
      </c>
      <c r="L2412" s="9">
        <f>Table1[[#This Row],[CurrentStock]]*Table1[[#This Row],[UnitPrice]]</f>
        <v>6809.92</v>
      </c>
      <c r="M2412">
        <f>IF(Table1[[#This Row],[ReorderLevel]]-Table1[[#This Row],[CurrentStock]]&gt;0,Table1[[#This Row],[ReorderLevel]]-Table1[[#This Row],[CurrentStock]],"")</f>
        <v>14</v>
      </c>
      <c r="N2412" t="str">
        <f>IF(Table1[[#This Row],[CurrentStock]]&gt;Table1[[#This Row],[ReorderLevel]]*3,"Over Stock","Okay")</f>
        <v>Okay</v>
      </c>
      <c r="O2412" t="str">
        <f>IF(Table1[[#This Row],[CurrentStock]]&lt;Table1[[#This Row],[ReorderLevel]],"Reorder","Okay")</f>
        <v>Reorder</v>
      </c>
    </row>
    <row r="2413" spans="1:15" x14ac:dyDescent="0.3">
      <c r="A2413">
        <v>15391</v>
      </c>
      <c r="B2413" t="s">
        <v>11</v>
      </c>
      <c r="C2413" t="s">
        <v>27</v>
      </c>
      <c r="D2413">
        <v>7</v>
      </c>
      <c r="E2413">
        <v>20</v>
      </c>
      <c r="F2413">
        <v>55.57</v>
      </c>
      <c r="G2413" t="s">
        <v>36</v>
      </c>
      <c r="H2413" s="1">
        <v>45507</v>
      </c>
      <c r="I2413" s="1">
        <v>45540</v>
      </c>
      <c r="J2413" t="s">
        <v>37</v>
      </c>
      <c r="K2413" t="b">
        <f>Table1[[#This Row],[CurrentStock]]&lt;Table1[[#This Row],[ReorderLevel]]</f>
        <v>1</v>
      </c>
      <c r="L2413" s="9">
        <f>Table1[[#This Row],[CurrentStock]]*Table1[[#This Row],[UnitPrice]]</f>
        <v>388.99</v>
      </c>
      <c r="M2413">
        <f>IF(Table1[[#This Row],[ReorderLevel]]-Table1[[#This Row],[CurrentStock]]&gt;0,Table1[[#This Row],[ReorderLevel]]-Table1[[#This Row],[CurrentStock]],"")</f>
        <v>13</v>
      </c>
      <c r="N2413" t="str">
        <f>IF(Table1[[#This Row],[CurrentStock]]&gt;Table1[[#This Row],[ReorderLevel]]*3,"Over Stock","Okay")</f>
        <v>Okay</v>
      </c>
      <c r="O2413" t="str">
        <f>IF(Table1[[#This Row],[CurrentStock]]&lt;Table1[[#This Row],[ReorderLevel]],"Reorder","Okay")</f>
        <v>Reorder</v>
      </c>
    </row>
    <row r="2414" spans="1:15" x14ac:dyDescent="0.3">
      <c r="A2414">
        <v>59634</v>
      </c>
      <c r="B2414" t="s">
        <v>14</v>
      </c>
      <c r="C2414" t="s">
        <v>27</v>
      </c>
      <c r="D2414">
        <v>116</v>
      </c>
      <c r="E2414">
        <v>30</v>
      </c>
      <c r="F2414">
        <v>206.43</v>
      </c>
      <c r="G2414" t="s">
        <v>35</v>
      </c>
      <c r="H2414" s="1">
        <v>45526</v>
      </c>
      <c r="I2414" s="1">
        <v>45543</v>
      </c>
      <c r="J2414" t="s">
        <v>37</v>
      </c>
      <c r="K2414" t="b">
        <f>Table1[[#This Row],[CurrentStock]]&lt;Table1[[#This Row],[ReorderLevel]]</f>
        <v>0</v>
      </c>
      <c r="L2414" s="9">
        <f>Table1[[#This Row],[CurrentStock]]*Table1[[#This Row],[UnitPrice]]</f>
        <v>23945.88</v>
      </c>
      <c r="M2414" t="str">
        <f>IF(Table1[[#This Row],[ReorderLevel]]-Table1[[#This Row],[CurrentStock]]&gt;0,Table1[[#This Row],[ReorderLevel]]-Table1[[#This Row],[CurrentStock]],"")</f>
        <v/>
      </c>
      <c r="N2414" t="str">
        <f>IF(Table1[[#This Row],[CurrentStock]]&gt;Table1[[#This Row],[ReorderLevel]]*3,"Over Stock","Okay")</f>
        <v>Over Stock</v>
      </c>
      <c r="O2414" t="str">
        <f>IF(Table1[[#This Row],[CurrentStock]]&lt;Table1[[#This Row],[ReorderLevel]],"Reorder","Okay")</f>
        <v>Okay</v>
      </c>
    </row>
    <row r="2415" spans="1:15" x14ac:dyDescent="0.3">
      <c r="A2415">
        <v>62513</v>
      </c>
      <c r="B2415" t="s">
        <v>21</v>
      </c>
      <c r="C2415" t="s">
        <v>31</v>
      </c>
      <c r="D2415">
        <v>107</v>
      </c>
      <c r="E2415">
        <v>100</v>
      </c>
      <c r="F2415">
        <v>300.07</v>
      </c>
      <c r="G2415" t="s">
        <v>34</v>
      </c>
      <c r="H2415" s="1">
        <v>45417</v>
      </c>
      <c r="I2415" s="1">
        <v>45441</v>
      </c>
      <c r="J2415" t="s">
        <v>39</v>
      </c>
      <c r="K2415" t="b">
        <f>Table1[[#This Row],[CurrentStock]]&lt;Table1[[#This Row],[ReorderLevel]]</f>
        <v>0</v>
      </c>
      <c r="L2415" s="9">
        <f>Table1[[#This Row],[CurrentStock]]*Table1[[#This Row],[UnitPrice]]</f>
        <v>32107.489999999998</v>
      </c>
      <c r="M2415" t="str">
        <f>IF(Table1[[#This Row],[ReorderLevel]]-Table1[[#This Row],[CurrentStock]]&gt;0,Table1[[#This Row],[ReorderLevel]]-Table1[[#This Row],[CurrentStock]],"")</f>
        <v/>
      </c>
      <c r="N2415" t="str">
        <f>IF(Table1[[#This Row],[CurrentStock]]&gt;Table1[[#This Row],[ReorderLevel]]*3,"Over Stock","Okay")</f>
        <v>Okay</v>
      </c>
      <c r="O2415" t="str">
        <f>IF(Table1[[#This Row],[CurrentStock]]&lt;Table1[[#This Row],[ReorderLevel]],"Reorder","Okay")</f>
        <v>Okay</v>
      </c>
    </row>
    <row r="2416" spans="1:15" x14ac:dyDescent="0.3">
      <c r="A2416">
        <v>78264</v>
      </c>
      <c r="B2416" t="s">
        <v>19</v>
      </c>
      <c r="C2416" t="s">
        <v>28</v>
      </c>
      <c r="D2416">
        <v>353</v>
      </c>
      <c r="E2416">
        <v>40</v>
      </c>
      <c r="F2416">
        <v>442.54</v>
      </c>
      <c r="G2416" t="s">
        <v>32</v>
      </c>
      <c r="H2416" s="1">
        <v>45540</v>
      </c>
      <c r="I2416" s="1">
        <v>45548</v>
      </c>
      <c r="J2416" t="s">
        <v>37</v>
      </c>
      <c r="K2416" t="b">
        <f>Table1[[#This Row],[CurrentStock]]&lt;Table1[[#This Row],[ReorderLevel]]</f>
        <v>0</v>
      </c>
      <c r="L2416" s="9">
        <f>Table1[[#This Row],[CurrentStock]]*Table1[[#This Row],[UnitPrice]]</f>
        <v>156216.62</v>
      </c>
      <c r="M2416" t="str">
        <f>IF(Table1[[#This Row],[ReorderLevel]]-Table1[[#This Row],[CurrentStock]]&gt;0,Table1[[#This Row],[ReorderLevel]]-Table1[[#This Row],[CurrentStock]],"")</f>
        <v/>
      </c>
      <c r="N2416" t="str">
        <f>IF(Table1[[#This Row],[CurrentStock]]&gt;Table1[[#This Row],[ReorderLevel]]*3,"Over Stock","Okay")</f>
        <v>Over Stock</v>
      </c>
      <c r="O2416" t="str">
        <f>IF(Table1[[#This Row],[CurrentStock]]&lt;Table1[[#This Row],[ReorderLevel]],"Reorder","Okay")</f>
        <v>Okay</v>
      </c>
    </row>
    <row r="2417" spans="1:15" x14ac:dyDescent="0.3">
      <c r="A2417">
        <v>87838</v>
      </c>
      <c r="B2417" t="s">
        <v>18</v>
      </c>
      <c r="C2417" t="s">
        <v>28</v>
      </c>
      <c r="D2417">
        <v>189</v>
      </c>
      <c r="E2417">
        <v>50</v>
      </c>
      <c r="F2417">
        <v>448.23</v>
      </c>
      <c r="G2417" t="s">
        <v>35</v>
      </c>
      <c r="H2417" s="1">
        <v>45580</v>
      </c>
      <c r="I2417" s="1">
        <v>45603</v>
      </c>
      <c r="J2417" t="s">
        <v>37</v>
      </c>
      <c r="K2417" t="b">
        <f>Table1[[#This Row],[CurrentStock]]&lt;Table1[[#This Row],[ReorderLevel]]</f>
        <v>0</v>
      </c>
      <c r="L2417" s="9">
        <f>Table1[[#This Row],[CurrentStock]]*Table1[[#This Row],[UnitPrice]]</f>
        <v>84715.47</v>
      </c>
      <c r="M2417" t="str">
        <f>IF(Table1[[#This Row],[ReorderLevel]]-Table1[[#This Row],[CurrentStock]]&gt;0,Table1[[#This Row],[ReorderLevel]]-Table1[[#This Row],[CurrentStock]],"")</f>
        <v/>
      </c>
      <c r="N2417" t="str">
        <f>IF(Table1[[#This Row],[CurrentStock]]&gt;Table1[[#This Row],[ReorderLevel]]*3,"Over Stock","Okay")</f>
        <v>Over Stock</v>
      </c>
      <c r="O2417" t="str">
        <f>IF(Table1[[#This Row],[CurrentStock]]&lt;Table1[[#This Row],[ReorderLevel]],"Reorder","Okay")</f>
        <v>Okay</v>
      </c>
    </row>
    <row r="2418" spans="1:15" x14ac:dyDescent="0.3">
      <c r="A2418">
        <v>56212</v>
      </c>
      <c r="B2418" t="s">
        <v>10</v>
      </c>
      <c r="C2418" t="s">
        <v>27</v>
      </c>
      <c r="D2418">
        <v>239</v>
      </c>
      <c r="E2418">
        <v>100</v>
      </c>
      <c r="F2418">
        <v>496.77</v>
      </c>
      <c r="G2418" t="s">
        <v>36</v>
      </c>
      <c r="H2418" s="1">
        <v>45573</v>
      </c>
      <c r="I2418" s="1">
        <v>45594</v>
      </c>
      <c r="J2418" t="s">
        <v>37</v>
      </c>
      <c r="K2418" t="b">
        <f>Table1[[#This Row],[CurrentStock]]&lt;Table1[[#This Row],[ReorderLevel]]</f>
        <v>0</v>
      </c>
      <c r="L2418" s="9">
        <f>Table1[[#This Row],[CurrentStock]]*Table1[[#This Row],[UnitPrice]]</f>
        <v>118728.03</v>
      </c>
      <c r="M2418" t="str">
        <f>IF(Table1[[#This Row],[ReorderLevel]]-Table1[[#This Row],[CurrentStock]]&gt;0,Table1[[#This Row],[ReorderLevel]]-Table1[[#This Row],[CurrentStock]],"")</f>
        <v/>
      </c>
      <c r="N2418" t="str">
        <f>IF(Table1[[#This Row],[CurrentStock]]&gt;Table1[[#This Row],[ReorderLevel]]*3,"Over Stock","Okay")</f>
        <v>Okay</v>
      </c>
      <c r="O2418" t="str">
        <f>IF(Table1[[#This Row],[CurrentStock]]&lt;Table1[[#This Row],[ReorderLevel]],"Reorder","Okay")</f>
        <v>Okay</v>
      </c>
    </row>
    <row r="2419" spans="1:15" x14ac:dyDescent="0.3">
      <c r="A2419">
        <v>59285</v>
      </c>
      <c r="B2419" t="s">
        <v>19</v>
      </c>
      <c r="C2419" t="s">
        <v>28</v>
      </c>
      <c r="D2419">
        <v>388</v>
      </c>
      <c r="E2419">
        <v>80</v>
      </c>
      <c r="F2419">
        <v>208.77</v>
      </c>
      <c r="G2419" t="s">
        <v>33</v>
      </c>
      <c r="H2419" s="1">
        <v>45565</v>
      </c>
      <c r="I2419" s="1">
        <v>45600</v>
      </c>
      <c r="J2419" t="s">
        <v>38</v>
      </c>
      <c r="K2419" t="b">
        <f>Table1[[#This Row],[CurrentStock]]&lt;Table1[[#This Row],[ReorderLevel]]</f>
        <v>0</v>
      </c>
      <c r="L2419" s="9">
        <f>Table1[[#This Row],[CurrentStock]]*Table1[[#This Row],[UnitPrice]]</f>
        <v>81002.760000000009</v>
      </c>
      <c r="M2419" t="str">
        <f>IF(Table1[[#This Row],[ReorderLevel]]-Table1[[#This Row],[CurrentStock]]&gt;0,Table1[[#This Row],[ReorderLevel]]-Table1[[#This Row],[CurrentStock]],"")</f>
        <v/>
      </c>
      <c r="N2419" t="str">
        <f>IF(Table1[[#This Row],[CurrentStock]]&gt;Table1[[#This Row],[ReorderLevel]]*3,"Over Stock","Okay")</f>
        <v>Over Stock</v>
      </c>
      <c r="O2419" t="str">
        <f>IF(Table1[[#This Row],[CurrentStock]]&lt;Table1[[#This Row],[ReorderLevel]],"Reorder","Okay")</f>
        <v>Okay</v>
      </c>
    </row>
    <row r="2420" spans="1:15" x14ac:dyDescent="0.3">
      <c r="A2420">
        <v>19895</v>
      </c>
      <c r="B2420" t="s">
        <v>23</v>
      </c>
      <c r="C2420" t="s">
        <v>30</v>
      </c>
      <c r="D2420">
        <v>116</v>
      </c>
      <c r="E2420">
        <v>50</v>
      </c>
      <c r="F2420">
        <v>386.41</v>
      </c>
      <c r="G2420" t="s">
        <v>32</v>
      </c>
      <c r="H2420" s="1">
        <v>45440</v>
      </c>
      <c r="I2420" s="1">
        <v>45446</v>
      </c>
      <c r="J2420" t="s">
        <v>37</v>
      </c>
      <c r="K2420" t="b">
        <f>Table1[[#This Row],[CurrentStock]]&lt;Table1[[#This Row],[ReorderLevel]]</f>
        <v>0</v>
      </c>
      <c r="L2420" s="9">
        <f>Table1[[#This Row],[CurrentStock]]*Table1[[#This Row],[UnitPrice]]</f>
        <v>44823.560000000005</v>
      </c>
      <c r="M2420" t="str">
        <f>IF(Table1[[#This Row],[ReorderLevel]]-Table1[[#This Row],[CurrentStock]]&gt;0,Table1[[#This Row],[ReorderLevel]]-Table1[[#This Row],[CurrentStock]],"")</f>
        <v/>
      </c>
      <c r="N2420" t="str">
        <f>IF(Table1[[#This Row],[CurrentStock]]&gt;Table1[[#This Row],[ReorderLevel]]*3,"Over Stock","Okay")</f>
        <v>Okay</v>
      </c>
      <c r="O2420" t="str">
        <f>IF(Table1[[#This Row],[CurrentStock]]&lt;Table1[[#This Row],[ReorderLevel]],"Reorder","Okay")</f>
        <v>Okay</v>
      </c>
    </row>
    <row r="2421" spans="1:15" x14ac:dyDescent="0.3">
      <c r="A2421">
        <v>45502</v>
      </c>
      <c r="B2421" t="s">
        <v>12</v>
      </c>
      <c r="C2421" t="s">
        <v>28</v>
      </c>
      <c r="D2421">
        <v>4</v>
      </c>
      <c r="E2421">
        <v>100</v>
      </c>
      <c r="F2421">
        <v>48.79</v>
      </c>
      <c r="G2421" t="s">
        <v>34</v>
      </c>
      <c r="H2421" s="1">
        <v>45615</v>
      </c>
      <c r="I2421" s="1">
        <v>45643</v>
      </c>
      <c r="J2421" t="s">
        <v>37</v>
      </c>
      <c r="K2421" t="b">
        <f>Table1[[#This Row],[CurrentStock]]&lt;Table1[[#This Row],[ReorderLevel]]</f>
        <v>1</v>
      </c>
      <c r="L2421" s="9">
        <f>Table1[[#This Row],[CurrentStock]]*Table1[[#This Row],[UnitPrice]]</f>
        <v>195.16</v>
      </c>
      <c r="M2421">
        <f>IF(Table1[[#This Row],[ReorderLevel]]-Table1[[#This Row],[CurrentStock]]&gt;0,Table1[[#This Row],[ReorderLevel]]-Table1[[#This Row],[CurrentStock]],"")</f>
        <v>96</v>
      </c>
      <c r="N2421" t="str">
        <f>IF(Table1[[#This Row],[CurrentStock]]&gt;Table1[[#This Row],[ReorderLevel]]*3,"Over Stock","Okay")</f>
        <v>Okay</v>
      </c>
      <c r="O2421" t="str">
        <f>IF(Table1[[#This Row],[CurrentStock]]&lt;Table1[[#This Row],[ReorderLevel]],"Reorder","Okay")</f>
        <v>Reorder</v>
      </c>
    </row>
    <row r="2422" spans="1:15" x14ac:dyDescent="0.3">
      <c r="A2422">
        <v>71920</v>
      </c>
      <c r="B2422" t="s">
        <v>13</v>
      </c>
      <c r="C2422" t="s">
        <v>29</v>
      </c>
      <c r="D2422">
        <v>136</v>
      </c>
      <c r="E2422">
        <v>30</v>
      </c>
      <c r="F2422">
        <v>452.84</v>
      </c>
      <c r="G2422" t="s">
        <v>35</v>
      </c>
      <c r="H2422" s="1">
        <v>45571</v>
      </c>
      <c r="I2422" s="1">
        <v>45579</v>
      </c>
      <c r="J2422" t="s">
        <v>38</v>
      </c>
      <c r="K2422" t="b">
        <f>Table1[[#This Row],[CurrentStock]]&lt;Table1[[#This Row],[ReorderLevel]]</f>
        <v>0</v>
      </c>
      <c r="L2422" s="9">
        <f>Table1[[#This Row],[CurrentStock]]*Table1[[#This Row],[UnitPrice]]</f>
        <v>61586.239999999998</v>
      </c>
      <c r="M2422" t="str">
        <f>IF(Table1[[#This Row],[ReorderLevel]]-Table1[[#This Row],[CurrentStock]]&gt;0,Table1[[#This Row],[ReorderLevel]]-Table1[[#This Row],[CurrentStock]],"")</f>
        <v/>
      </c>
      <c r="N2422" t="str">
        <f>IF(Table1[[#This Row],[CurrentStock]]&gt;Table1[[#This Row],[ReorderLevel]]*3,"Over Stock","Okay")</f>
        <v>Over Stock</v>
      </c>
      <c r="O2422" t="str">
        <f>IF(Table1[[#This Row],[CurrentStock]]&lt;Table1[[#This Row],[ReorderLevel]],"Reorder","Okay")</f>
        <v>Okay</v>
      </c>
    </row>
    <row r="2423" spans="1:15" x14ac:dyDescent="0.3">
      <c r="A2423">
        <v>92071</v>
      </c>
      <c r="B2423" t="s">
        <v>15</v>
      </c>
      <c r="C2423" t="s">
        <v>29</v>
      </c>
      <c r="D2423">
        <v>139</v>
      </c>
      <c r="E2423">
        <v>30</v>
      </c>
      <c r="F2423">
        <v>18.72</v>
      </c>
      <c r="G2423" t="s">
        <v>35</v>
      </c>
      <c r="H2423" s="1">
        <v>45493</v>
      </c>
      <c r="I2423" s="1">
        <v>45515</v>
      </c>
      <c r="J2423" t="s">
        <v>39</v>
      </c>
      <c r="K2423" t="b">
        <f>Table1[[#This Row],[CurrentStock]]&lt;Table1[[#This Row],[ReorderLevel]]</f>
        <v>0</v>
      </c>
      <c r="L2423" s="9">
        <f>Table1[[#This Row],[CurrentStock]]*Table1[[#This Row],[UnitPrice]]</f>
        <v>2602.08</v>
      </c>
      <c r="M2423" t="str">
        <f>IF(Table1[[#This Row],[ReorderLevel]]-Table1[[#This Row],[CurrentStock]]&gt;0,Table1[[#This Row],[ReorderLevel]]-Table1[[#This Row],[CurrentStock]],"")</f>
        <v/>
      </c>
      <c r="N2423" t="str">
        <f>IF(Table1[[#This Row],[CurrentStock]]&gt;Table1[[#This Row],[ReorderLevel]]*3,"Over Stock","Okay")</f>
        <v>Over Stock</v>
      </c>
      <c r="O2423" t="str">
        <f>IF(Table1[[#This Row],[CurrentStock]]&lt;Table1[[#This Row],[ReorderLevel]],"Reorder","Okay")</f>
        <v>Okay</v>
      </c>
    </row>
    <row r="2424" spans="1:15" x14ac:dyDescent="0.3">
      <c r="A2424">
        <v>28220</v>
      </c>
      <c r="B2424" t="s">
        <v>25</v>
      </c>
      <c r="C2424" t="s">
        <v>31</v>
      </c>
      <c r="D2424">
        <v>465</v>
      </c>
      <c r="E2424">
        <v>20</v>
      </c>
      <c r="F2424">
        <v>427.29</v>
      </c>
      <c r="G2424" t="s">
        <v>34</v>
      </c>
      <c r="H2424" s="1">
        <v>45434</v>
      </c>
      <c r="I2424" s="1">
        <v>45443</v>
      </c>
      <c r="J2424" t="s">
        <v>38</v>
      </c>
      <c r="K2424" t="b">
        <f>Table1[[#This Row],[CurrentStock]]&lt;Table1[[#This Row],[ReorderLevel]]</f>
        <v>0</v>
      </c>
      <c r="L2424" s="9">
        <f>Table1[[#This Row],[CurrentStock]]*Table1[[#This Row],[UnitPrice]]</f>
        <v>198689.85</v>
      </c>
      <c r="M2424" t="str">
        <f>IF(Table1[[#This Row],[ReorderLevel]]-Table1[[#This Row],[CurrentStock]]&gt;0,Table1[[#This Row],[ReorderLevel]]-Table1[[#This Row],[CurrentStock]],"")</f>
        <v/>
      </c>
      <c r="N2424" t="str">
        <f>IF(Table1[[#This Row],[CurrentStock]]&gt;Table1[[#This Row],[ReorderLevel]]*3,"Over Stock","Okay")</f>
        <v>Over Stock</v>
      </c>
      <c r="O2424" t="str">
        <f>IF(Table1[[#This Row],[CurrentStock]]&lt;Table1[[#This Row],[ReorderLevel]],"Reorder","Okay")</f>
        <v>Okay</v>
      </c>
    </row>
    <row r="2425" spans="1:15" x14ac:dyDescent="0.3">
      <c r="A2425">
        <v>89833</v>
      </c>
      <c r="B2425" t="s">
        <v>20</v>
      </c>
      <c r="C2425" t="s">
        <v>29</v>
      </c>
      <c r="D2425">
        <v>469</v>
      </c>
      <c r="E2425">
        <v>80</v>
      </c>
      <c r="F2425">
        <v>129.08000000000001</v>
      </c>
      <c r="G2425" t="s">
        <v>35</v>
      </c>
      <c r="H2425" s="1">
        <v>45335</v>
      </c>
      <c r="I2425" s="1">
        <v>45352</v>
      </c>
      <c r="J2425" t="s">
        <v>37</v>
      </c>
      <c r="K2425" t="b">
        <f>Table1[[#This Row],[CurrentStock]]&lt;Table1[[#This Row],[ReorderLevel]]</f>
        <v>0</v>
      </c>
      <c r="L2425" s="9">
        <f>Table1[[#This Row],[CurrentStock]]*Table1[[#This Row],[UnitPrice]]</f>
        <v>60538.520000000004</v>
      </c>
      <c r="M2425" t="str">
        <f>IF(Table1[[#This Row],[ReorderLevel]]-Table1[[#This Row],[CurrentStock]]&gt;0,Table1[[#This Row],[ReorderLevel]]-Table1[[#This Row],[CurrentStock]],"")</f>
        <v/>
      </c>
      <c r="N2425" t="str">
        <f>IF(Table1[[#This Row],[CurrentStock]]&gt;Table1[[#This Row],[ReorderLevel]]*3,"Over Stock","Okay")</f>
        <v>Over Stock</v>
      </c>
      <c r="O2425" t="str">
        <f>IF(Table1[[#This Row],[CurrentStock]]&lt;Table1[[#This Row],[ReorderLevel]],"Reorder","Okay")</f>
        <v>Okay</v>
      </c>
    </row>
    <row r="2426" spans="1:15" x14ac:dyDescent="0.3">
      <c r="A2426">
        <v>74583</v>
      </c>
      <c r="B2426" t="s">
        <v>12</v>
      </c>
      <c r="C2426" t="s">
        <v>28</v>
      </c>
      <c r="D2426">
        <v>67</v>
      </c>
      <c r="E2426">
        <v>80</v>
      </c>
      <c r="F2426">
        <v>420.01</v>
      </c>
      <c r="G2426" t="s">
        <v>35</v>
      </c>
      <c r="H2426" s="1">
        <v>45393</v>
      </c>
      <c r="I2426" s="1">
        <v>45432</v>
      </c>
      <c r="J2426" t="s">
        <v>37</v>
      </c>
      <c r="K2426" t="b">
        <f>Table1[[#This Row],[CurrentStock]]&lt;Table1[[#This Row],[ReorderLevel]]</f>
        <v>1</v>
      </c>
      <c r="L2426" s="9">
        <f>Table1[[#This Row],[CurrentStock]]*Table1[[#This Row],[UnitPrice]]</f>
        <v>28140.67</v>
      </c>
      <c r="M2426">
        <f>IF(Table1[[#This Row],[ReorderLevel]]-Table1[[#This Row],[CurrentStock]]&gt;0,Table1[[#This Row],[ReorderLevel]]-Table1[[#This Row],[CurrentStock]],"")</f>
        <v>13</v>
      </c>
      <c r="N2426" t="str">
        <f>IF(Table1[[#This Row],[CurrentStock]]&gt;Table1[[#This Row],[ReorderLevel]]*3,"Over Stock","Okay")</f>
        <v>Okay</v>
      </c>
      <c r="O2426" t="str">
        <f>IF(Table1[[#This Row],[CurrentStock]]&lt;Table1[[#This Row],[ReorderLevel]],"Reorder","Okay")</f>
        <v>Reorder</v>
      </c>
    </row>
    <row r="2427" spans="1:15" x14ac:dyDescent="0.3">
      <c r="A2427">
        <v>91622</v>
      </c>
      <c r="B2427" t="s">
        <v>21</v>
      </c>
      <c r="C2427" t="s">
        <v>31</v>
      </c>
      <c r="D2427">
        <v>57</v>
      </c>
      <c r="E2427">
        <v>20</v>
      </c>
      <c r="F2427">
        <v>198.84</v>
      </c>
      <c r="G2427" t="s">
        <v>34</v>
      </c>
      <c r="H2427" s="1">
        <v>45348</v>
      </c>
      <c r="I2427" s="1">
        <v>45385</v>
      </c>
      <c r="J2427" t="s">
        <v>38</v>
      </c>
      <c r="K2427" t="b">
        <f>Table1[[#This Row],[CurrentStock]]&lt;Table1[[#This Row],[ReorderLevel]]</f>
        <v>0</v>
      </c>
      <c r="L2427" s="9">
        <f>Table1[[#This Row],[CurrentStock]]*Table1[[#This Row],[UnitPrice]]</f>
        <v>11333.880000000001</v>
      </c>
      <c r="M2427" t="str">
        <f>IF(Table1[[#This Row],[ReorderLevel]]-Table1[[#This Row],[CurrentStock]]&gt;0,Table1[[#This Row],[ReorderLevel]]-Table1[[#This Row],[CurrentStock]],"")</f>
        <v/>
      </c>
      <c r="N2427" t="str">
        <f>IF(Table1[[#This Row],[CurrentStock]]&gt;Table1[[#This Row],[ReorderLevel]]*3,"Over Stock","Okay")</f>
        <v>Okay</v>
      </c>
      <c r="O2427" t="str">
        <f>IF(Table1[[#This Row],[CurrentStock]]&lt;Table1[[#This Row],[ReorderLevel]],"Reorder","Okay")</f>
        <v>Okay</v>
      </c>
    </row>
    <row r="2428" spans="1:15" x14ac:dyDescent="0.3">
      <c r="A2428">
        <v>86844</v>
      </c>
      <c r="B2428" t="s">
        <v>16</v>
      </c>
      <c r="C2428" t="s">
        <v>30</v>
      </c>
      <c r="D2428">
        <v>282</v>
      </c>
      <c r="E2428">
        <v>20</v>
      </c>
      <c r="F2428">
        <v>184</v>
      </c>
      <c r="G2428" t="s">
        <v>33</v>
      </c>
      <c r="H2428" s="1">
        <v>45532</v>
      </c>
      <c r="I2428" s="1">
        <v>45561</v>
      </c>
      <c r="J2428" t="s">
        <v>37</v>
      </c>
      <c r="K2428" t="b">
        <f>Table1[[#This Row],[CurrentStock]]&lt;Table1[[#This Row],[ReorderLevel]]</f>
        <v>0</v>
      </c>
      <c r="L2428" s="9">
        <f>Table1[[#This Row],[CurrentStock]]*Table1[[#This Row],[UnitPrice]]</f>
        <v>51888</v>
      </c>
      <c r="M2428" t="str">
        <f>IF(Table1[[#This Row],[ReorderLevel]]-Table1[[#This Row],[CurrentStock]]&gt;0,Table1[[#This Row],[ReorderLevel]]-Table1[[#This Row],[CurrentStock]],"")</f>
        <v/>
      </c>
      <c r="N2428" t="str">
        <f>IF(Table1[[#This Row],[CurrentStock]]&gt;Table1[[#This Row],[ReorderLevel]]*3,"Over Stock","Okay")</f>
        <v>Over Stock</v>
      </c>
      <c r="O2428" t="str">
        <f>IF(Table1[[#This Row],[CurrentStock]]&lt;Table1[[#This Row],[ReorderLevel]],"Reorder","Okay")</f>
        <v>Okay</v>
      </c>
    </row>
    <row r="2429" spans="1:15" x14ac:dyDescent="0.3">
      <c r="A2429">
        <v>28223</v>
      </c>
      <c r="B2429" t="s">
        <v>20</v>
      </c>
      <c r="C2429" t="s">
        <v>29</v>
      </c>
      <c r="D2429">
        <v>405</v>
      </c>
      <c r="E2429">
        <v>100</v>
      </c>
      <c r="F2429">
        <v>284.13</v>
      </c>
      <c r="G2429" t="s">
        <v>33</v>
      </c>
      <c r="H2429" s="1">
        <v>45333</v>
      </c>
      <c r="I2429" s="1">
        <v>45357</v>
      </c>
      <c r="J2429" t="s">
        <v>37</v>
      </c>
      <c r="K2429" t="b">
        <f>Table1[[#This Row],[CurrentStock]]&lt;Table1[[#This Row],[ReorderLevel]]</f>
        <v>0</v>
      </c>
      <c r="L2429" s="9">
        <f>Table1[[#This Row],[CurrentStock]]*Table1[[#This Row],[UnitPrice]]</f>
        <v>115072.65</v>
      </c>
      <c r="M2429" t="str">
        <f>IF(Table1[[#This Row],[ReorderLevel]]-Table1[[#This Row],[CurrentStock]]&gt;0,Table1[[#This Row],[ReorderLevel]]-Table1[[#This Row],[CurrentStock]],"")</f>
        <v/>
      </c>
      <c r="N2429" t="str">
        <f>IF(Table1[[#This Row],[CurrentStock]]&gt;Table1[[#This Row],[ReorderLevel]]*3,"Over Stock","Okay")</f>
        <v>Over Stock</v>
      </c>
      <c r="O2429" t="str">
        <f>IF(Table1[[#This Row],[CurrentStock]]&lt;Table1[[#This Row],[ReorderLevel]],"Reorder","Okay")</f>
        <v>Okay</v>
      </c>
    </row>
    <row r="2430" spans="1:15" x14ac:dyDescent="0.3">
      <c r="A2430">
        <v>22911</v>
      </c>
      <c r="B2430" t="s">
        <v>21</v>
      </c>
      <c r="C2430" t="s">
        <v>31</v>
      </c>
      <c r="D2430">
        <v>201</v>
      </c>
      <c r="E2430">
        <v>80</v>
      </c>
      <c r="F2430">
        <v>494.91</v>
      </c>
      <c r="G2430" t="s">
        <v>35</v>
      </c>
      <c r="H2430" s="1">
        <v>45330</v>
      </c>
      <c r="I2430" s="1">
        <v>45345</v>
      </c>
      <c r="J2430" t="s">
        <v>39</v>
      </c>
      <c r="K2430" t="b">
        <f>Table1[[#This Row],[CurrentStock]]&lt;Table1[[#This Row],[ReorderLevel]]</f>
        <v>0</v>
      </c>
      <c r="L2430" s="9">
        <f>Table1[[#This Row],[CurrentStock]]*Table1[[#This Row],[UnitPrice]]</f>
        <v>99476.91</v>
      </c>
      <c r="M2430" t="str">
        <f>IF(Table1[[#This Row],[ReorderLevel]]-Table1[[#This Row],[CurrentStock]]&gt;0,Table1[[#This Row],[ReorderLevel]]-Table1[[#This Row],[CurrentStock]],"")</f>
        <v/>
      </c>
      <c r="N2430" t="str">
        <f>IF(Table1[[#This Row],[CurrentStock]]&gt;Table1[[#This Row],[ReorderLevel]]*3,"Over Stock","Okay")</f>
        <v>Okay</v>
      </c>
      <c r="O2430" t="str">
        <f>IF(Table1[[#This Row],[CurrentStock]]&lt;Table1[[#This Row],[ReorderLevel]],"Reorder","Okay")</f>
        <v>Okay</v>
      </c>
    </row>
    <row r="2431" spans="1:15" x14ac:dyDescent="0.3">
      <c r="A2431">
        <v>92888</v>
      </c>
      <c r="B2431" t="s">
        <v>14</v>
      </c>
      <c r="C2431" t="s">
        <v>27</v>
      </c>
      <c r="D2431">
        <v>292</v>
      </c>
      <c r="E2431">
        <v>150</v>
      </c>
      <c r="F2431">
        <v>233.2</v>
      </c>
      <c r="G2431" t="s">
        <v>36</v>
      </c>
      <c r="H2431" s="1">
        <v>45384</v>
      </c>
      <c r="I2431" s="1">
        <v>45420</v>
      </c>
      <c r="J2431" t="s">
        <v>37</v>
      </c>
      <c r="K2431" t="b">
        <f>Table1[[#This Row],[CurrentStock]]&lt;Table1[[#This Row],[ReorderLevel]]</f>
        <v>0</v>
      </c>
      <c r="L2431" s="9">
        <f>Table1[[#This Row],[CurrentStock]]*Table1[[#This Row],[UnitPrice]]</f>
        <v>68094.399999999994</v>
      </c>
      <c r="M2431" t="str">
        <f>IF(Table1[[#This Row],[ReorderLevel]]-Table1[[#This Row],[CurrentStock]]&gt;0,Table1[[#This Row],[ReorderLevel]]-Table1[[#This Row],[CurrentStock]],"")</f>
        <v/>
      </c>
      <c r="N2431" t="str">
        <f>IF(Table1[[#This Row],[CurrentStock]]&gt;Table1[[#This Row],[ReorderLevel]]*3,"Over Stock","Okay")</f>
        <v>Okay</v>
      </c>
      <c r="O2431" t="str">
        <f>IF(Table1[[#This Row],[CurrentStock]]&lt;Table1[[#This Row],[ReorderLevel]],"Reorder","Okay")</f>
        <v>Okay</v>
      </c>
    </row>
    <row r="2432" spans="1:15" x14ac:dyDescent="0.3">
      <c r="A2432">
        <v>24866</v>
      </c>
      <c r="B2432" t="s">
        <v>25</v>
      </c>
      <c r="C2432" t="s">
        <v>31</v>
      </c>
      <c r="D2432">
        <v>427</v>
      </c>
      <c r="E2432">
        <v>30</v>
      </c>
      <c r="F2432">
        <v>91.16</v>
      </c>
      <c r="G2432" t="s">
        <v>36</v>
      </c>
      <c r="H2432" s="1">
        <v>45495</v>
      </c>
      <c r="I2432" s="1">
        <v>45517</v>
      </c>
      <c r="J2432" t="s">
        <v>38</v>
      </c>
      <c r="K2432" t="b">
        <f>Table1[[#This Row],[CurrentStock]]&lt;Table1[[#This Row],[ReorderLevel]]</f>
        <v>0</v>
      </c>
      <c r="L2432" s="9">
        <f>Table1[[#This Row],[CurrentStock]]*Table1[[#This Row],[UnitPrice]]</f>
        <v>38925.32</v>
      </c>
      <c r="M2432" t="str">
        <f>IF(Table1[[#This Row],[ReorderLevel]]-Table1[[#This Row],[CurrentStock]]&gt;0,Table1[[#This Row],[ReorderLevel]]-Table1[[#This Row],[CurrentStock]],"")</f>
        <v/>
      </c>
      <c r="N2432" t="str">
        <f>IF(Table1[[#This Row],[CurrentStock]]&gt;Table1[[#This Row],[ReorderLevel]]*3,"Over Stock","Okay")</f>
        <v>Over Stock</v>
      </c>
      <c r="O2432" t="str">
        <f>IF(Table1[[#This Row],[CurrentStock]]&lt;Table1[[#This Row],[ReorderLevel]],"Reorder","Okay")</f>
        <v>Okay</v>
      </c>
    </row>
    <row r="2433" spans="1:15" x14ac:dyDescent="0.3">
      <c r="A2433">
        <v>75327</v>
      </c>
      <c r="B2433" t="s">
        <v>26</v>
      </c>
      <c r="C2433" t="s">
        <v>30</v>
      </c>
      <c r="D2433">
        <v>161</v>
      </c>
      <c r="E2433">
        <v>30</v>
      </c>
      <c r="F2433">
        <v>428.06</v>
      </c>
      <c r="G2433" t="s">
        <v>32</v>
      </c>
      <c r="H2433" s="1">
        <v>45374</v>
      </c>
      <c r="I2433" s="1">
        <v>45405</v>
      </c>
      <c r="J2433" t="s">
        <v>37</v>
      </c>
      <c r="K2433" t="b">
        <f>Table1[[#This Row],[CurrentStock]]&lt;Table1[[#This Row],[ReorderLevel]]</f>
        <v>0</v>
      </c>
      <c r="L2433" s="9">
        <f>Table1[[#This Row],[CurrentStock]]*Table1[[#This Row],[UnitPrice]]</f>
        <v>68917.66</v>
      </c>
      <c r="M2433" t="str">
        <f>IF(Table1[[#This Row],[ReorderLevel]]-Table1[[#This Row],[CurrentStock]]&gt;0,Table1[[#This Row],[ReorderLevel]]-Table1[[#This Row],[CurrentStock]],"")</f>
        <v/>
      </c>
      <c r="N2433" t="str">
        <f>IF(Table1[[#This Row],[CurrentStock]]&gt;Table1[[#This Row],[ReorderLevel]]*3,"Over Stock","Okay")</f>
        <v>Over Stock</v>
      </c>
      <c r="O2433" t="str">
        <f>IF(Table1[[#This Row],[CurrentStock]]&lt;Table1[[#This Row],[ReorderLevel]],"Reorder","Okay")</f>
        <v>Okay</v>
      </c>
    </row>
    <row r="2434" spans="1:15" x14ac:dyDescent="0.3">
      <c r="A2434">
        <v>92341</v>
      </c>
      <c r="B2434" t="s">
        <v>12</v>
      </c>
      <c r="C2434" t="s">
        <v>28</v>
      </c>
      <c r="D2434">
        <v>17</v>
      </c>
      <c r="E2434">
        <v>20</v>
      </c>
      <c r="F2434">
        <v>100.3</v>
      </c>
      <c r="G2434" t="s">
        <v>34</v>
      </c>
      <c r="H2434" s="1">
        <v>45572</v>
      </c>
      <c r="I2434" s="1">
        <v>45590</v>
      </c>
      <c r="J2434" t="s">
        <v>39</v>
      </c>
      <c r="K2434" t="b">
        <f>Table1[[#This Row],[CurrentStock]]&lt;Table1[[#This Row],[ReorderLevel]]</f>
        <v>1</v>
      </c>
      <c r="L2434" s="9">
        <f>Table1[[#This Row],[CurrentStock]]*Table1[[#This Row],[UnitPrice]]</f>
        <v>1705.1</v>
      </c>
      <c r="M2434">
        <f>IF(Table1[[#This Row],[ReorderLevel]]-Table1[[#This Row],[CurrentStock]]&gt;0,Table1[[#This Row],[ReorderLevel]]-Table1[[#This Row],[CurrentStock]],"")</f>
        <v>3</v>
      </c>
      <c r="N2434" t="str">
        <f>IF(Table1[[#This Row],[CurrentStock]]&gt;Table1[[#This Row],[ReorderLevel]]*3,"Over Stock","Okay")</f>
        <v>Okay</v>
      </c>
      <c r="O2434" t="str">
        <f>IF(Table1[[#This Row],[CurrentStock]]&lt;Table1[[#This Row],[ReorderLevel]],"Reorder","Okay")</f>
        <v>Reorder</v>
      </c>
    </row>
    <row r="2435" spans="1:15" x14ac:dyDescent="0.3">
      <c r="A2435">
        <v>43617</v>
      </c>
      <c r="B2435" t="s">
        <v>21</v>
      </c>
      <c r="C2435" t="s">
        <v>31</v>
      </c>
      <c r="D2435">
        <v>290</v>
      </c>
      <c r="E2435">
        <v>40</v>
      </c>
      <c r="F2435">
        <v>226.81</v>
      </c>
      <c r="G2435" t="s">
        <v>35</v>
      </c>
      <c r="H2435" s="1">
        <v>45570</v>
      </c>
      <c r="I2435" s="1">
        <v>45599</v>
      </c>
      <c r="J2435" t="s">
        <v>37</v>
      </c>
      <c r="K2435" t="b">
        <f>Table1[[#This Row],[CurrentStock]]&lt;Table1[[#This Row],[ReorderLevel]]</f>
        <v>0</v>
      </c>
      <c r="L2435" s="9">
        <f>Table1[[#This Row],[CurrentStock]]*Table1[[#This Row],[UnitPrice]]</f>
        <v>65774.899999999994</v>
      </c>
      <c r="M2435" t="str">
        <f>IF(Table1[[#This Row],[ReorderLevel]]-Table1[[#This Row],[CurrentStock]]&gt;0,Table1[[#This Row],[ReorderLevel]]-Table1[[#This Row],[CurrentStock]],"")</f>
        <v/>
      </c>
      <c r="N2435" t="str">
        <f>IF(Table1[[#This Row],[CurrentStock]]&gt;Table1[[#This Row],[ReorderLevel]]*3,"Over Stock","Okay")</f>
        <v>Over Stock</v>
      </c>
      <c r="O2435" t="str">
        <f>IF(Table1[[#This Row],[CurrentStock]]&lt;Table1[[#This Row],[ReorderLevel]],"Reorder","Okay")</f>
        <v>Okay</v>
      </c>
    </row>
    <row r="2436" spans="1:15" x14ac:dyDescent="0.3">
      <c r="A2436">
        <v>19651</v>
      </c>
      <c r="B2436" t="s">
        <v>10</v>
      </c>
      <c r="C2436" t="s">
        <v>27</v>
      </c>
      <c r="D2436">
        <v>440</v>
      </c>
      <c r="E2436">
        <v>40</v>
      </c>
      <c r="F2436">
        <v>259.64999999999998</v>
      </c>
      <c r="G2436" t="s">
        <v>34</v>
      </c>
      <c r="H2436" s="1">
        <v>45444</v>
      </c>
      <c r="I2436" s="1">
        <v>45479</v>
      </c>
      <c r="J2436" t="s">
        <v>37</v>
      </c>
      <c r="K2436" t="b">
        <f>Table1[[#This Row],[CurrentStock]]&lt;Table1[[#This Row],[ReorderLevel]]</f>
        <v>0</v>
      </c>
      <c r="L2436" s="9">
        <f>Table1[[#This Row],[CurrentStock]]*Table1[[#This Row],[UnitPrice]]</f>
        <v>114245.99999999999</v>
      </c>
      <c r="M2436" t="str">
        <f>IF(Table1[[#This Row],[ReorderLevel]]-Table1[[#This Row],[CurrentStock]]&gt;0,Table1[[#This Row],[ReorderLevel]]-Table1[[#This Row],[CurrentStock]],"")</f>
        <v/>
      </c>
      <c r="N2436" t="str">
        <f>IF(Table1[[#This Row],[CurrentStock]]&gt;Table1[[#This Row],[ReorderLevel]]*3,"Over Stock","Okay")</f>
        <v>Over Stock</v>
      </c>
      <c r="O2436" t="str">
        <f>IF(Table1[[#This Row],[CurrentStock]]&lt;Table1[[#This Row],[ReorderLevel]],"Reorder","Okay")</f>
        <v>Okay</v>
      </c>
    </row>
    <row r="2437" spans="1:15" x14ac:dyDescent="0.3">
      <c r="A2437">
        <v>44890</v>
      </c>
      <c r="B2437" t="s">
        <v>13</v>
      </c>
      <c r="C2437" t="s">
        <v>29</v>
      </c>
      <c r="D2437">
        <v>481</v>
      </c>
      <c r="E2437">
        <v>100</v>
      </c>
      <c r="F2437">
        <v>245.44</v>
      </c>
      <c r="G2437" t="s">
        <v>36</v>
      </c>
      <c r="H2437" s="1">
        <v>45550</v>
      </c>
      <c r="I2437" s="1">
        <v>45587</v>
      </c>
      <c r="J2437" t="s">
        <v>37</v>
      </c>
      <c r="K2437" t="b">
        <f>Table1[[#This Row],[CurrentStock]]&lt;Table1[[#This Row],[ReorderLevel]]</f>
        <v>0</v>
      </c>
      <c r="L2437" s="9">
        <f>Table1[[#This Row],[CurrentStock]]*Table1[[#This Row],[UnitPrice]]</f>
        <v>118056.64</v>
      </c>
      <c r="M2437" t="str">
        <f>IF(Table1[[#This Row],[ReorderLevel]]-Table1[[#This Row],[CurrentStock]]&gt;0,Table1[[#This Row],[ReorderLevel]]-Table1[[#This Row],[CurrentStock]],"")</f>
        <v/>
      </c>
      <c r="N2437" t="str">
        <f>IF(Table1[[#This Row],[CurrentStock]]&gt;Table1[[#This Row],[ReorderLevel]]*3,"Over Stock","Okay")</f>
        <v>Over Stock</v>
      </c>
      <c r="O2437" t="str">
        <f>IF(Table1[[#This Row],[CurrentStock]]&lt;Table1[[#This Row],[ReorderLevel]],"Reorder","Okay")</f>
        <v>Okay</v>
      </c>
    </row>
    <row r="2438" spans="1:15" x14ac:dyDescent="0.3">
      <c r="A2438">
        <v>37609</v>
      </c>
      <c r="B2438" t="s">
        <v>25</v>
      </c>
      <c r="C2438" t="s">
        <v>31</v>
      </c>
      <c r="D2438">
        <v>209</v>
      </c>
      <c r="E2438">
        <v>150</v>
      </c>
      <c r="F2438">
        <v>484.71</v>
      </c>
      <c r="G2438" t="s">
        <v>35</v>
      </c>
      <c r="H2438" s="1">
        <v>45483</v>
      </c>
      <c r="I2438" s="1">
        <v>45515</v>
      </c>
      <c r="J2438" t="s">
        <v>39</v>
      </c>
      <c r="K2438" t="b">
        <f>Table1[[#This Row],[CurrentStock]]&lt;Table1[[#This Row],[ReorderLevel]]</f>
        <v>0</v>
      </c>
      <c r="L2438" s="9">
        <f>Table1[[#This Row],[CurrentStock]]*Table1[[#This Row],[UnitPrice]]</f>
        <v>101304.39</v>
      </c>
      <c r="M2438" t="str">
        <f>IF(Table1[[#This Row],[ReorderLevel]]-Table1[[#This Row],[CurrentStock]]&gt;0,Table1[[#This Row],[ReorderLevel]]-Table1[[#This Row],[CurrentStock]],"")</f>
        <v/>
      </c>
      <c r="N2438" t="str">
        <f>IF(Table1[[#This Row],[CurrentStock]]&gt;Table1[[#This Row],[ReorderLevel]]*3,"Over Stock","Okay")</f>
        <v>Okay</v>
      </c>
      <c r="O2438" t="str">
        <f>IF(Table1[[#This Row],[CurrentStock]]&lt;Table1[[#This Row],[ReorderLevel]],"Reorder","Okay")</f>
        <v>Okay</v>
      </c>
    </row>
    <row r="2439" spans="1:15" x14ac:dyDescent="0.3">
      <c r="A2439">
        <v>13302</v>
      </c>
      <c r="B2439" t="s">
        <v>23</v>
      </c>
      <c r="C2439" t="s">
        <v>30</v>
      </c>
      <c r="D2439">
        <v>446</v>
      </c>
      <c r="E2439">
        <v>100</v>
      </c>
      <c r="F2439">
        <v>36.19</v>
      </c>
      <c r="G2439" t="s">
        <v>32</v>
      </c>
      <c r="H2439" s="1">
        <v>45445</v>
      </c>
      <c r="I2439" s="1">
        <v>45481</v>
      </c>
      <c r="J2439" t="s">
        <v>37</v>
      </c>
      <c r="K2439" t="b">
        <f>Table1[[#This Row],[CurrentStock]]&lt;Table1[[#This Row],[ReorderLevel]]</f>
        <v>0</v>
      </c>
      <c r="L2439" s="9">
        <f>Table1[[#This Row],[CurrentStock]]*Table1[[#This Row],[UnitPrice]]</f>
        <v>16140.74</v>
      </c>
      <c r="M2439" t="str">
        <f>IF(Table1[[#This Row],[ReorderLevel]]-Table1[[#This Row],[CurrentStock]]&gt;0,Table1[[#This Row],[ReorderLevel]]-Table1[[#This Row],[CurrentStock]],"")</f>
        <v/>
      </c>
      <c r="N2439" t="str">
        <f>IF(Table1[[#This Row],[CurrentStock]]&gt;Table1[[#This Row],[ReorderLevel]]*3,"Over Stock","Okay")</f>
        <v>Over Stock</v>
      </c>
      <c r="O2439" t="str">
        <f>IF(Table1[[#This Row],[CurrentStock]]&lt;Table1[[#This Row],[ReorderLevel]],"Reorder","Okay")</f>
        <v>Okay</v>
      </c>
    </row>
    <row r="2440" spans="1:15" x14ac:dyDescent="0.3">
      <c r="A2440">
        <v>68398</v>
      </c>
      <c r="B2440" t="s">
        <v>17</v>
      </c>
      <c r="C2440" t="s">
        <v>30</v>
      </c>
      <c r="D2440">
        <v>414</v>
      </c>
      <c r="E2440">
        <v>50</v>
      </c>
      <c r="F2440">
        <v>260.22000000000003</v>
      </c>
      <c r="G2440" t="s">
        <v>32</v>
      </c>
      <c r="H2440" s="1">
        <v>45557</v>
      </c>
      <c r="I2440" s="1">
        <v>45567</v>
      </c>
      <c r="J2440" t="s">
        <v>38</v>
      </c>
      <c r="K2440" t="b">
        <f>Table1[[#This Row],[CurrentStock]]&lt;Table1[[#This Row],[ReorderLevel]]</f>
        <v>0</v>
      </c>
      <c r="L2440" s="9">
        <f>Table1[[#This Row],[CurrentStock]]*Table1[[#This Row],[UnitPrice]]</f>
        <v>107731.08000000002</v>
      </c>
      <c r="M2440" t="str">
        <f>IF(Table1[[#This Row],[ReorderLevel]]-Table1[[#This Row],[CurrentStock]]&gt;0,Table1[[#This Row],[ReorderLevel]]-Table1[[#This Row],[CurrentStock]],"")</f>
        <v/>
      </c>
      <c r="N2440" t="str">
        <f>IF(Table1[[#This Row],[CurrentStock]]&gt;Table1[[#This Row],[ReorderLevel]]*3,"Over Stock","Okay")</f>
        <v>Over Stock</v>
      </c>
      <c r="O2440" t="str">
        <f>IF(Table1[[#This Row],[CurrentStock]]&lt;Table1[[#This Row],[ReorderLevel]],"Reorder","Okay")</f>
        <v>Okay</v>
      </c>
    </row>
    <row r="2441" spans="1:15" x14ac:dyDescent="0.3">
      <c r="A2441">
        <v>47976</v>
      </c>
      <c r="B2441" t="s">
        <v>26</v>
      </c>
      <c r="C2441" t="s">
        <v>30</v>
      </c>
      <c r="D2441">
        <v>428</v>
      </c>
      <c r="E2441">
        <v>100</v>
      </c>
      <c r="F2441">
        <v>102.31</v>
      </c>
      <c r="G2441" t="s">
        <v>32</v>
      </c>
      <c r="H2441" s="1">
        <v>45426</v>
      </c>
      <c r="I2441" s="1">
        <v>45445</v>
      </c>
      <c r="J2441" t="s">
        <v>39</v>
      </c>
      <c r="K2441" t="b">
        <f>Table1[[#This Row],[CurrentStock]]&lt;Table1[[#This Row],[ReorderLevel]]</f>
        <v>0</v>
      </c>
      <c r="L2441" s="9">
        <f>Table1[[#This Row],[CurrentStock]]*Table1[[#This Row],[UnitPrice]]</f>
        <v>43788.68</v>
      </c>
      <c r="M2441" t="str">
        <f>IF(Table1[[#This Row],[ReorderLevel]]-Table1[[#This Row],[CurrentStock]]&gt;0,Table1[[#This Row],[ReorderLevel]]-Table1[[#This Row],[CurrentStock]],"")</f>
        <v/>
      </c>
      <c r="N2441" t="str">
        <f>IF(Table1[[#This Row],[CurrentStock]]&gt;Table1[[#This Row],[ReorderLevel]]*3,"Over Stock","Okay")</f>
        <v>Over Stock</v>
      </c>
      <c r="O2441" t="str">
        <f>IF(Table1[[#This Row],[CurrentStock]]&lt;Table1[[#This Row],[ReorderLevel]],"Reorder","Okay")</f>
        <v>Okay</v>
      </c>
    </row>
    <row r="2442" spans="1:15" x14ac:dyDescent="0.3">
      <c r="A2442">
        <v>74990</v>
      </c>
      <c r="B2442" t="s">
        <v>21</v>
      </c>
      <c r="C2442" t="s">
        <v>31</v>
      </c>
      <c r="D2442">
        <v>115</v>
      </c>
      <c r="E2442">
        <v>50</v>
      </c>
      <c r="F2442">
        <v>151.01</v>
      </c>
      <c r="G2442" t="s">
        <v>32</v>
      </c>
      <c r="H2442" s="1">
        <v>45424</v>
      </c>
      <c r="I2442" s="1">
        <v>45453</v>
      </c>
      <c r="J2442" t="s">
        <v>39</v>
      </c>
      <c r="K2442" t="b">
        <f>Table1[[#This Row],[CurrentStock]]&lt;Table1[[#This Row],[ReorderLevel]]</f>
        <v>0</v>
      </c>
      <c r="L2442" s="9">
        <f>Table1[[#This Row],[CurrentStock]]*Table1[[#This Row],[UnitPrice]]</f>
        <v>17366.149999999998</v>
      </c>
      <c r="M2442" t="str">
        <f>IF(Table1[[#This Row],[ReorderLevel]]-Table1[[#This Row],[CurrentStock]]&gt;0,Table1[[#This Row],[ReorderLevel]]-Table1[[#This Row],[CurrentStock]],"")</f>
        <v/>
      </c>
      <c r="N2442" t="str">
        <f>IF(Table1[[#This Row],[CurrentStock]]&gt;Table1[[#This Row],[ReorderLevel]]*3,"Over Stock","Okay")</f>
        <v>Okay</v>
      </c>
      <c r="O2442" t="str">
        <f>IF(Table1[[#This Row],[CurrentStock]]&lt;Table1[[#This Row],[ReorderLevel]],"Reorder","Okay")</f>
        <v>Okay</v>
      </c>
    </row>
    <row r="2443" spans="1:15" x14ac:dyDescent="0.3">
      <c r="A2443">
        <v>13877</v>
      </c>
      <c r="B2443" t="s">
        <v>24</v>
      </c>
      <c r="C2443" t="s">
        <v>31</v>
      </c>
      <c r="D2443">
        <v>59</v>
      </c>
      <c r="E2443">
        <v>30</v>
      </c>
      <c r="F2443">
        <v>220.73</v>
      </c>
      <c r="G2443" t="s">
        <v>35</v>
      </c>
      <c r="H2443" s="1">
        <v>45456</v>
      </c>
      <c r="I2443" s="1">
        <v>45481</v>
      </c>
      <c r="J2443" t="s">
        <v>37</v>
      </c>
      <c r="K2443" t="b">
        <f>Table1[[#This Row],[CurrentStock]]&lt;Table1[[#This Row],[ReorderLevel]]</f>
        <v>0</v>
      </c>
      <c r="L2443" s="9">
        <f>Table1[[#This Row],[CurrentStock]]*Table1[[#This Row],[UnitPrice]]</f>
        <v>13023.07</v>
      </c>
      <c r="M2443" t="str">
        <f>IF(Table1[[#This Row],[ReorderLevel]]-Table1[[#This Row],[CurrentStock]]&gt;0,Table1[[#This Row],[ReorderLevel]]-Table1[[#This Row],[CurrentStock]],"")</f>
        <v/>
      </c>
      <c r="N2443" t="str">
        <f>IF(Table1[[#This Row],[CurrentStock]]&gt;Table1[[#This Row],[ReorderLevel]]*3,"Over Stock","Okay")</f>
        <v>Okay</v>
      </c>
      <c r="O2443" t="str">
        <f>IF(Table1[[#This Row],[CurrentStock]]&lt;Table1[[#This Row],[ReorderLevel]],"Reorder","Okay")</f>
        <v>Okay</v>
      </c>
    </row>
    <row r="2444" spans="1:15" x14ac:dyDescent="0.3">
      <c r="A2444">
        <v>59421</v>
      </c>
      <c r="B2444" t="s">
        <v>20</v>
      </c>
      <c r="C2444" t="s">
        <v>29</v>
      </c>
      <c r="D2444">
        <v>427</v>
      </c>
      <c r="E2444">
        <v>20</v>
      </c>
      <c r="F2444">
        <v>209.11</v>
      </c>
      <c r="G2444" t="s">
        <v>36</v>
      </c>
      <c r="H2444" s="1">
        <v>45452</v>
      </c>
      <c r="I2444" s="1">
        <v>45459</v>
      </c>
      <c r="J2444" t="s">
        <v>38</v>
      </c>
      <c r="K2444" t="b">
        <f>Table1[[#This Row],[CurrentStock]]&lt;Table1[[#This Row],[ReorderLevel]]</f>
        <v>0</v>
      </c>
      <c r="L2444" s="9">
        <f>Table1[[#This Row],[CurrentStock]]*Table1[[#This Row],[UnitPrice]]</f>
        <v>89289.97</v>
      </c>
      <c r="M2444" t="str">
        <f>IF(Table1[[#This Row],[ReorderLevel]]-Table1[[#This Row],[CurrentStock]]&gt;0,Table1[[#This Row],[ReorderLevel]]-Table1[[#This Row],[CurrentStock]],"")</f>
        <v/>
      </c>
      <c r="N2444" t="str">
        <f>IF(Table1[[#This Row],[CurrentStock]]&gt;Table1[[#This Row],[ReorderLevel]]*3,"Over Stock","Okay")</f>
        <v>Over Stock</v>
      </c>
      <c r="O2444" t="str">
        <f>IF(Table1[[#This Row],[CurrentStock]]&lt;Table1[[#This Row],[ReorderLevel]],"Reorder","Okay")</f>
        <v>Okay</v>
      </c>
    </row>
    <row r="2445" spans="1:15" x14ac:dyDescent="0.3">
      <c r="A2445">
        <v>88747</v>
      </c>
      <c r="B2445" t="s">
        <v>14</v>
      </c>
      <c r="C2445" t="s">
        <v>27</v>
      </c>
      <c r="D2445">
        <v>375</v>
      </c>
      <c r="E2445">
        <v>100</v>
      </c>
      <c r="F2445">
        <v>170.13</v>
      </c>
      <c r="G2445" t="s">
        <v>33</v>
      </c>
      <c r="H2445" s="1">
        <v>45425</v>
      </c>
      <c r="I2445" s="1">
        <v>45462</v>
      </c>
      <c r="J2445" t="s">
        <v>39</v>
      </c>
      <c r="K2445" t="b">
        <f>Table1[[#This Row],[CurrentStock]]&lt;Table1[[#This Row],[ReorderLevel]]</f>
        <v>0</v>
      </c>
      <c r="L2445" s="9">
        <f>Table1[[#This Row],[CurrentStock]]*Table1[[#This Row],[UnitPrice]]</f>
        <v>63798.75</v>
      </c>
      <c r="M2445" t="str">
        <f>IF(Table1[[#This Row],[ReorderLevel]]-Table1[[#This Row],[CurrentStock]]&gt;0,Table1[[#This Row],[ReorderLevel]]-Table1[[#This Row],[CurrentStock]],"")</f>
        <v/>
      </c>
      <c r="N2445" t="str">
        <f>IF(Table1[[#This Row],[CurrentStock]]&gt;Table1[[#This Row],[ReorderLevel]]*3,"Over Stock","Okay")</f>
        <v>Over Stock</v>
      </c>
      <c r="O2445" t="str">
        <f>IF(Table1[[#This Row],[CurrentStock]]&lt;Table1[[#This Row],[ReorderLevel]],"Reorder","Okay")</f>
        <v>Okay</v>
      </c>
    </row>
    <row r="2446" spans="1:15" x14ac:dyDescent="0.3">
      <c r="A2446">
        <v>25847</v>
      </c>
      <c r="B2446" t="s">
        <v>20</v>
      </c>
      <c r="C2446" t="s">
        <v>29</v>
      </c>
      <c r="D2446">
        <v>328</v>
      </c>
      <c r="E2446">
        <v>50</v>
      </c>
      <c r="F2446">
        <v>473.1</v>
      </c>
      <c r="G2446" t="s">
        <v>34</v>
      </c>
      <c r="H2446" s="1">
        <v>45337</v>
      </c>
      <c r="I2446" s="1">
        <v>45369</v>
      </c>
      <c r="J2446" t="s">
        <v>37</v>
      </c>
      <c r="K2446" t="b">
        <f>Table1[[#This Row],[CurrentStock]]&lt;Table1[[#This Row],[ReorderLevel]]</f>
        <v>0</v>
      </c>
      <c r="L2446" s="9">
        <f>Table1[[#This Row],[CurrentStock]]*Table1[[#This Row],[UnitPrice]]</f>
        <v>155176.80000000002</v>
      </c>
      <c r="M2446" t="str">
        <f>IF(Table1[[#This Row],[ReorderLevel]]-Table1[[#This Row],[CurrentStock]]&gt;0,Table1[[#This Row],[ReorderLevel]]-Table1[[#This Row],[CurrentStock]],"")</f>
        <v/>
      </c>
      <c r="N2446" t="str">
        <f>IF(Table1[[#This Row],[CurrentStock]]&gt;Table1[[#This Row],[ReorderLevel]]*3,"Over Stock","Okay")</f>
        <v>Over Stock</v>
      </c>
      <c r="O2446" t="str">
        <f>IF(Table1[[#This Row],[CurrentStock]]&lt;Table1[[#This Row],[ReorderLevel]],"Reorder","Okay")</f>
        <v>Okay</v>
      </c>
    </row>
    <row r="2447" spans="1:15" x14ac:dyDescent="0.3">
      <c r="A2447">
        <v>28837</v>
      </c>
      <c r="B2447" t="s">
        <v>23</v>
      </c>
      <c r="C2447" t="s">
        <v>30</v>
      </c>
      <c r="D2447">
        <v>453</v>
      </c>
      <c r="E2447">
        <v>150</v>
      </c>
      <c r="F2447">
        <v>63.29</v>
      </c>
      <c r="G2447" t="s">
        <v>36</v>
      </c>
      <c r="H2447" s="1">
        <v>45436</v>
      </c>
      <c r="I2447" s="1">
        <v>45449</v>
      </c>
      <c r="J2447" t="s">
        <v>37</v>
      </c>
      <c r="K2447" t="b">
        <f>Table1[[#This Row],[CurrentStock]]&lt;Table1[[#This Row],[ReorderLevel]]</f>
        <v>0</v>
      </c>
      <c r="L2447" s="9">
        <f>Table1[[#This Row],[CurrentStock]]*Table1[[#This Row],[UnitPrice]]</f>
        <v>28670.37</v>
      </c>
      <c r="M2447" t="str">
        <f>IF(Table1[[#This Row],[ReorderLevel]]-Table1[[#This Row],[CurrentStock]]&gt;0,Table1[[#This Row],[ReorderLevel]]-Table1[[#This Row],[CurrentStock]],"")</f>
        <v/>
      </c>
      <c r="N2447" t="str">
        <f>IF(Table1[[#This Row],[CurrentStock]]&gt;Table1[[#This Row],[ReorderLevel]]*3,"Over Stock","Okay")</f>
        <v>Over Stock</v>
      </c>
      <c r="O2447" t="str">
        <f>IF(Table1[[#This Row],[CurrentStock]]&lt;Table1[[#This Row],[ReorderLevel]],"Reorder","Okay")</f>
        <v>Okay</v>
      </c>
    </row>
    <row r="2448" spans="1:15" x14ac:dyDescent="0.3">
      <c r="A2448">
        <v>95083</v>
      </c>
      <c r="B2448" t="s">
        <v>15</v>
      </c>
      <c r="C2448" t="s">
        <v>29</v>
      </c>
      <c r="D2448">
        <v>236</v>
      </c>
      <c r="E2448">
        <v>80</v>
      </c>
      <c r="F2448">
        <v>416.01</v>
      </c>
      <c r="G2448" t="s">
        <v>32</v>
      </c>
      <c r="H2448" s="1">
        <v>45557</v>
      </c>
      <c r="I2448" s="1">
        <v>45577</v>
      </c>
      <c r="J2448" t="s">
        <v>39</v>
      </c>
      <c r="K2448" t="b">
        <f>Table1[[#This Row],[CurrentStock]]&lt;Table1[[#This Row],[ReorderLevel]]</f>
        <v>0</v>
      </c>
      <c r="L2448" s="9">
        <f>Table1[[#This Row],[CurrentStock]]*Table1[[#This Row],[UnitPrice]]</f>
        <v>98178.36</v>
      </c>
      <c r="M2448" t="str">
        <f>IF(Table1[[#This Row],[ReorderLevel]]-Table1[[#This Row],[CurrentStock]]&gt;0,Table1[[#This Row],[ReorderLevel]]-Table1[[#This Row],[CurrentStock]],"")</f>
        <v/>
      </c>
      <c r="N2448" t="str">
        <f>IF(Table1[[#This Row],[CurrentStock]]&gt;Table1[[#This Row],[ReorderLevel]]*3,"Over Stock","Okay")</f>
        <v>Okay</v>
      </c>
      <c r="O2448" t="str">
        <f>IF(Table1[[#This Row],[CurrentStock]]&lt;Table1[[#This Row],[ReorderLevel]],"Reorder","Okay")</f>
        <v>Okay</v>
      </c>
    </row>
    <row r="2449" spans="1:15" x14ac:dyDescent="0.3">
      <c r="A2449">
        <v>85324</v>
      </c>
      <c r="B2449" t="s">
        <v>14</v>
      </c>
      <c r="C2449" t="s">
        <v>27</v>
      </c>
      <c r="D2449">
        <v>102</v>
      </c>
      <c r="E2449">
        <v>150</v>
      </c>
      <c r="F2449">
        <v>458.23</v>
      </c>
      <c r="G2449" t="s">
        <v>32</v>
      </c>
      <c r="H2449" s="1">
        <v>45504</v>
      </c>
      <c r="I2449" s="1">
        <v>45517</v>
      </c>
      <c r="J2449" t="s">
        <v>39</v>
      </c>
      <c r="K2449" t="b">
        <f>Table1[[#This Row],[CurrentStock]]&lt;Table1[[#This Row],[ReorderLevel]]</f>
        <v>1</v>
      </c>
      <c r="L2449" s="9">
        <f>Table1[[#This Row],[CurrentStock]]*Table1[[#This Row],[UnitPrice]]</f>
        <v>46739.46</v>
      </c>
      <c r="M2449">
        <f>IF(Table1[[#This Row],[ReorderLevel]]-Table1[[#This Row],[CurrentStock]]&gt;0,Table1[[#This Row],[ReorderLevel]]-Table1[[#This Row],[CurrentStock]],"")</f>
        <v>48</v>
      </c>
      <c r="N2449" t="str">
        <f>IF(Table1[[#This Row],[CurrentStock]]&gt;Table1[[#This Row],[ReorderLevel]]*3,"Over Stock","Okay")</f>
        <v>Okay</v>
      </c>
      <c r="O2449" t="str">
        <f>IF(Table1[[#This Row],[CurrentStock]]&lt;Table1[[#This Row],[ReorderLevel]],"Reorder","Okay")</f>
        <v>Reorder</v>
      </c>
    </row>
    <row r="2450" spans="1:15" x14ac:dyDescent="0.3">
      <c r="A2450">
        <v>87988</v>
      </c>
      <c r="B2450" t="s">
        <v>10</v>
      </c>
      <c r="C2450" t="s">
        <v>27</v>
      </c>
      <c r="D2450">
        <v>400</v>
      </c>
      <c r="E2450">
        <v>150</v>
      </c>
      <c r="F2450">
        <v>404.91</v>
      </c>
      <c r="G2450" t="s">
        <v>36</v>
      </c>
      <c r="H2450" s="1">
        <v>45297</v>
      </c>
      <c r="I2450" s="1">
        <v>45336</v>
      </c>
      <c r="J2450" t="s">
        <v>37</v>
      </c>
      <c r="K2450" t="b">
        <f>Table1[[#This Row],[CurrentStock]]&lt;Table1[[#This Row],[ReorderLevel]]</f>
        <v>0</v>
      </c>
      <c r="L2450" s="9">
        <f>Table1[[#This Row],[CurrentStock]]*Table1[[#This Row],[UnitPrice]]</f>
        <v>161964</v>
      </c>
      <c r="M2450" t="str">
        <f>IF(Table1[[#This Row],[ReorderLevel]]-Table1[[#This Row],[CurrentStock]]&gt;0,Table1[[#This Row],[ReorderLevel]]-Table1[[#This Row],[CurrentStock]],"")</f>
        <v/>
      </c>
      <c r="N2450" t="str">
        <f>IF(Table1[[#This Row],[CurrentStock]]&gt;Table1[[#This Row],[ReorderLevel]]*3,"Over Stock","Okay")</f>
        <v>Okay</v>
      </c>
      <c r="O2450" t="str">
        <f>IF(Table1[[#This Row],[CurrentStock]]&lt;Table1[[#This Row],[ReorderLevel]],"Reorder","Okay")</f>
        <v>Okay</v>
      </c>
    </row>
    <row r="2451" spans="1:15" x14ac:dyDescent="0.3">
      <c r="A2451">
        <v>65911</v>
      </c>
      <c r="B2451" t="s">
        <v>20</v>
      </c>
      <c r="C2451" t="s">
        <v>29</v>
      </c>
      <c r="D2451">
        <v>304</v>
      </c>
      <c r="E2451">
        <v>30</v>
      </c>
      <c r="F2451">
        <v>497.27</v>
      </c>
      <c r="G2451" t="s">
        <v>32</v>
      </c>
      <c r="H2451" s="1">
        <v>45374</v>
      </c>
      <c r="I2451" s="1">
        <v>45390</v>
      </c>
      <c r="J2451" t="s">
        <v>37</v>
      </c>
      <c r="K2451" t="b">
        <f>Table1[[#This Row],[CurrentStock]]&lt;Table1[[#This Row],[ReorderLevel]]</f>
        <v>0</v>
      </c>
      <c r="L2451" s="9">
        <f>Table1[[#This Row],[CurrentStock]]*Table1[[#This Row],[UnitPrice]]</f>
        <v>151170.07999999999</v>
      </c>
      <c r="M2451" t="str">
        <f>IF(Table1[[#This Row],[ReorderLevel]]-Table1[[#This Row],[CurrentStock]]&gt;0,Table1[[#This Row],[ReorderLevel]]-Table1[[#This Row],[CurrentStock]],"")</f>
        <v/>
      </c>
      <c r="N2451" t="str">
        <f>IF(Table1[[#This Row],[CurrentStock]]&gt;Table1[[#This Row],[ReorderLevel]]*3,"Over Stock","Okay")</f>
        <v>Over Stock</v>
      </c>
      <c r="O2451" t="str">
        <f>IF(Table1[[#This Row],[CurrentStock]]&lt;Table1[[#This Row],[ReorderLevel]],"Reorder","Okay")</f>
        <v>Okay</v>
      </c>
    </row>
    <row r="2452" spans="1:15" x14ac:dyDescent="0.3">
      <c r="A2452">
        <v>45687</v>
      </c>
      <c r="B2452" t="s">
        <v>17</v>
      </c>
      <c r="C2452" t="s">
        <v>30</v>
      </c>
      <c r="D2452">
        <v>253</v>
      </c>
      <c r="E2452">
        <v>100</v>
      </c>
      <c r="F2452">
        <v>236.23</v>
      </c>
      <c r="G2452" t="s">
        <v>32</v>
      </c>
      <c r="H2452" s="1">
        <v>45440</v>
      </c>
      <c r="I2452" s="1">
        <v>45466</v>
      </c>
      <c r="J2452" t="s">
        <v>37</v>
      </c>
      <c r="K2452" t="b">
        <f>Table1[[#This Row],[CurrentStock]]&lt;Table1[[#This Row],[ReorderLevel]]</f>
        <v>0</v>
      </c>
      <c r="L2452" s="9">
        <f>Table1[[#This Row],[CurrentStock]]*Table1[[#This Row],[UnitPrice]]</f>
        <v>59766.189999999995</v>
      </c>
      <c r="M2452" t="str">
        <f>IF(Table1[[#This Row],[ReorderLevel]]-Table1[[#This Row],[CurrentStock]]&gt;0,Table1[[#This Row],[ReorderLevel]]-Table1[[#This Row],[CurrentStock]],"")</f>
        <v/>
      </c>
      <c r="N2452" t="str">
        <f>IF(Table1[[#This Row],[CurrentStock]]&gt;Table1[[#This Row],[ReorderLevel]]*3,"Over Stock","Okay")</f>
        <v>Okay</v>
      </c>
      <c r="O2452" t="str">
        <f>IF(Table1[[#This Row],[CurrentStock]]&lt;Table1[[#This Row],[ReorderLevel]],"Reorder","Okay")</f>
        <v>Okay</v>
      </c>
    </row>
    <row r="2453" spans="1:15" x14ac:dyDescent="0.3">
      <c r="A2453">
        <v>39865</v>
      </c>
      <c r="B2453" t="s">
        <v>20</v>
      </c>
      <c r="C2453" t="s">
        <v>29</v>
      </c>
      <c r="D2453">
        <v>180</v>
      </c>
      <c r="E2453">
        <v>40</v>
      </c>
      <c r="F2453">
        <v>162.69</v>
      </c>
      <c r="G2453" t="s">
        <v>33</v>
      </c>
      <c r="H2453" s="1">
        <v>45595</v>
      </c>
      <c r="I2453" s="1">
        <v>45626</v>
      </c>
      <c r="J2453" t="s">
        <v>39</v>
      </c>
      <c r="K2453" t="b">
        <f>Table1[[#This Row],[CurrentStock]]&lt;Table1[[#This Row],[ReorderLevel]]</f>
        <v>0</v>
      </c>
      <c r="L2453" s="9">
        <f>Table1[[#This Row],[CurrentStock]]*Table1[[#This Row],[UnitPrice]]</f>
        <v>29284.2</v>
      </c>
      <c r="M2453" t="str">
        <f>IF(Table1[[#This Row],[ReorderLevel]]-Table1[[#This Row],[CurrentStock]]&gt;0,Table1[[#This Row],[ReorderLevel]]-Table1[[#This Row],[CurrentStock]],"")</f>
        <v/>
      </c>
      <c r="N2453" t="str">
        <f>IF(Table1[[#This Row],[CurrentStock]]&gt;Table1[[#This Row],[ReorderLevel]]*3,"Over Stock","Okay")</f>
        <v>Over Stock</v>
      </c>
      <c r="O2453" t="str">
        <f>IF(Table1[[#This Row],[CurrentStock]]&lt;Table1[[#This Row],[ReorderLevel]],"Reorder","Okay")</f>
        <v>Okay</v>
      </c>
    </row>
    <row r="2454" spans="1:15" x14ac:dyDescent="0.3">
      <c r="A2454">
        <v>28409</v>
      </c>
      <c r="B2454" t="s">
        <v>21</v>
      </c>
      <c r="C2454" t="s">
        <v>31</v>
      </c>
      <c r="D2454">
        <v>208</v>
      </c>
      <c r="E2454">
        <v>30</v>
      </c>
      <c r="F2454">
        <v>108.11</v>
      </c>
      <c r="G2454" t="s">
        <v>34</v>
      </c>
      <c r="H2454" s="1">
        <v>45493</v>
      </c>
      <c r="I2454" s="1">
        <v>45530</v>
      </c>
      <c r="J2454" t="s">
        <v>39</v>
      </c>
      <c r="K2454" t="b">
        <f>Table1[[#This Row],[CurrentStock]]&lt;Table1[[#This Row],[ReorderLevel]]</f>
        <v>0</v>
      </c>
      <c r="L2454" s="9">
        <f>Table1[[#This Row],[CurrentStock]]*Table1[[#This Row],[UnitPrice]]</f>
        <v>22486.880000000001</v>
      </c>
      <c r="M2454" t="str">
        <f>IF(Table1[[#This Row],[ReorderLevel]]-Table1[[#This Row],[CurrentStock]]&gt;0,Table1[[#This Row],[ReorderLevel]]-Table1[[#This Row],[CurrentStock]],"")</f>
        <v/>
      </c>
      <c r="N2454" t="str">
        <f>IF(Table1[[#This Row],[CurrentStock]]&gt;Table1[[#This Row],[ReorderLevel]]*3,"Over Stock","Okay")</f>
        <v>Over Stock</v>
      </c>
      <c r="O2454" t="str">
        <f>IF(Table1[[#This Row],[CurrentStock]]&lt;Table1[[#This Row],[ReorderLevel]],"Reorder","Okay")</f>
        <v>Okay</v>
      </c>
    </row>
    <row r="2455" spans="1:15" x14ac:dyDescent="0.3">
      <c r="A2455">
        <v>50696</v>
      </c>
      <c r="B2455" t="s">
        <v>12</v>
      </c>
      <c r="C2455" t="s">
        <v>28</v>
      </c>
      <c r="D2455">
        <v>260</v>
      </c>
      <c r="E2455">
        <v>40</v>
      </c>
      <c r="F2455">
        <v>305.44</v>
      </c>
      <c r="G2455" t="s">
        <v>35</v>
      </c>
      <c r="H2455" s="1">
        <v>45351</v>
      </c>
      <c r="I2455" s="1">
        <v>45359</v>
      </c>
      <c r="J2455" t="s">
        <v>37</v>
      </c>
      <c r="K2455" t="b">
        <f>Table1[[#This Row],[CurrentStock]]&lt;Table1[[#This Row],[ReorderLevel]]</f>
        <v>0</v>
      </c>
      <c r="L2455" s="9">
        <f>Table1[[#This Row],[CurrentStock]]*Table1[[#This Row],[UnitPrice]]</f>
        <v>79414.399999999994</v>
      </c>
      <c r="M2455" t="str">
        <f>IF(Table1[[#This Row],[ReorderLevel]]-Table1[[#This Row],[CurrentStock]]&gt;0,Table1[[#This Row],[ReorderLevel]]-Table1[[#This Row],[CurrentStock]],"")</f>
        <v/>
      </c>
      <c r="N2455" t="str">
        <f>IF(Table1[[#This Row],[CurrentStock]]&gt;Table1[[#This Row],[ReorderLevel]]*3,"Over Stock","Okay")</f>
        <v>Over Stock</v>
      </c>
      <c r="O2455" t="str">
        <f>IF(Table1[[#This Row],[CurrentStock]]&lt;Table1[[#This Row],[ReorderLevel]],"Reorder","Okay")</f>
        <v>Okay</v>
      </c>
    </row>
    <row r="2456" spans="1:15" x14ac:dyDescent="0.3">
      <c r="A2456">
        <v>94597</v>
      </c>
      <c r="B2456" t="s">
        <v>20</v>
      </c>
      <c r="C2456" t="s">
        <v>29</v>
      </c>
      <c r="D2456">
        <v>363</v>
      </c>
      <c r="E2456">
        <v>50</v>
      </c>
      <c r="F2456">
        <v>218.18</v>
      </c>
      <c r="G2456" t="s">
        <v>34</v>
      </c>
      <c r="H2456" s="1">
        <v>45404</v>
      </c>
      <c r="I2456" s="1">
        <v>45441</v>
      </c>
      <c r="J2456" t="s">
        <v>37</v>
      </c>
      <c r="K2456" t="b">
        <f>Table1[[#This Row],[CurrentStock]]&lt;Table1[[#This Row],[ReorderLevel]]</f>
        <v>0</v>
      </c>
      <c r="L2456" s="9">
        <f>Table1[[#This Row],[CurrentStock]]*Table1[[#This Row],[UnitPrice]]</f>
        <v>79199.34</v>
      </c>
      <c r="M2456" t="str">
        <f>IF(Table1[[#This Row],[ReorderLevel]]-Table1[[#This Row],[CurrentStock]]&gt;0,Table1[[#This Row],[ReorderLevel]]-Table1[[#This Row],[CurrentStock]],"")</f>
        <v/>
      </c>
      <c r="N2456" t="str">
        <f>IF(Table1[[#This Row],[CurrentStock]]&gt;Table1[[#This Row],[ReorderLevel]]*3,"Over Stock","Okay")</f>
        <v>Over Stock</v>
      </c>
      <c r="O2456" t="str">
        <f>IF(Table1[[#This Row],[CurrentStock]]&lt;Table1[[#This Row],[ReorderLevel]],"Reorder","Okay")</f>
        <v>Okay</v>
      </c>
    </row>
    <row r="2457" spans="1:15" x14ac:dyDescent="0.3">
      <c r="A2457">
        <v>78237</v>
      </c>
      <c r="B2457" t="s">
        <v>24</v>
      </c>
      <c r="C2457" t="s">
        <v>31</v>
      </c>
      <c r="D2457">
        <v>303</v>
      </c>
      <c r="E2457">
        <v>150</v>
      </c>
      <c r="F2457">
        <v>95.91</v>
      </c>
      <c r="G2457" t="s">
        <v>32</v>
      </c>
      <c r="H2457" s="1">
        <v>45331</v>
      </c>
      <c r="I2457" s="1">
        <v>45348</v>
      </c>
      <c r="J2457" t="s">
        <v>39</v>
      </c>
      <c r="K2457" t="b">
        <f>Table1[[#This Row],[CurrentStock]]&lt;Table1[[#This Row],[ReorderLevel]]</f>
        <v>0</v>
      </c>
      <c r="L2457" s="9">
        <f>Table1[[#This Row],[CurrentStock]]*Table1[[#This Row],[UnitPrice]]</f>
        <v>29060.73</v>
      </c>
      <c r="M2457" t="str">
        <f>IF(Table1[[#This Row],[ReorderLevel]]-Table1[[#This Row],[CurrentStock]]&gt;0,Table1[[#This Row],[ReorderLevel]]-Table1[[#This Row],[CurrentStock]],"")</f>
        <v/>
      </c>
      <c r="N2457" t="str">
        <f>IF(Table1[[#This Row],[CurrentStock]]&gt;Table1[[#This Row],[ReorderLevel]]*3,"Over Stock","Okay")</f>
        <v>Okay</v>
      </c>
      <c r="O2457" t="str">
        <f>IF(Table1[[#This Row],[CurrentStock]]&lt;Table1[[#This Row],[ReorderLevel]],"Reorder","Okay")</f>
        <v>Okay</v>
      </c>
    </row>
    <row r="2458" spans="1:15" x14ac:dyDescent="0.3">
      <c r="A2458">
        <v>92305</v>
      </c>
      <c r="B2458" t="s">
        <v>12</v>
      </c>
      <c r="C2458" t="s">
        <v>28</v>
      </c>
      <c r="D2458">
        <v>366</v>
      </c>
      <c r="E2458">
        <v>80</v>
      </c>
      <c r="F2458">
        <v>275.14</v>
      </c>
      <c r="G2458" t="s">
        <v>33</v>
      </c>
      <c r="H2458" s="1">
        <v>45576</v>
      </c>
      <c r="I2458" s="1">
        <v>45598</v>
      </c>
      <c r="J2458" t="s">
        <v>38</v>
      </c>
      <c r="K2458" t="b">
        <f>Table1[[#This Row],[CurrentStock]]&lt;Table1[[#This Row],[ReorderLevel]]</f>
        <v>0</v>
      </c>
      <c r="L2458" s="9">
        <f>Table1[[#This Row],[CurrentStock]]*Table1[[#This Row],[UnitPrice]]</f>
        <v>100701.23999999999</v>
      </c>
      <c r="M2458" t="str">
        <f>IF(Table1[[#This Row],[ReorderLevel]]-Table1[[#This Row],[CurrentStock]]&gt;0,Table1[[#This Row],[ReorderLevel]]-Table1[[#This Row],[CurrentStock]],"")</f>
        <v/>
      </c>
      <c r="N2458" t="str">
        <f>IF(Table1[[#This Row],[CurrentStock]]&gt;Table1[[#This Row],[ReorderLevel]]*3,"Over Stock","Okay")</f>
        <v>Over Stock</v>
      </c>
      <c r="O2458" t="str">
        <f>IF(Table1[[#This Row],[CurrentStock]]&lt;Table1[[#This Row],[ReorderLevel]],"Reorder","Okay")</f>
        <v>Okay</v>
      </c>
    </row>
    <row r="2459" spans="1:15" x14ac:dyDescent="0.3">
      <c r="A2459">
        <v>84327</v>
      </c>
      <c r="B2459" t="s">
        <v>17</v>
      </c>
      <c r="C2459" t="s">
        <v>30</v>
      </c>
      <c r="D2459">
        <v>327</v>
      </c>
      <c r="E2459">
        <v>40</v>
      </c>
      <c r="F2459">
        <v>238.41</v>
      </c>
      <c r="G2459" t="s">
        <v>35</v>
      </c>
      <c r="H2459" s="1">
        <v>45551</v>
      </c>
      <c r="I2459" s="1">
        <v>45564</v>
      </c>
      <c r="J2459" t="s">
        <v>37</v>
      </c>
      <c r="K2459" t="b">
        <f>Table1[[#This Row],[CurrentStock]]&lt;Table1[[#This Row],[ReorderLevel]]</f>
        <v>0</v>
      </c>
      <c r="L2459" s="9">
        <f>Table1[[#This Row],[CurrentStock]]*Table1[[#This Row],[UnitPrice]]</f>
        <v>77960.069999999992</v>
      </c>
      <c r="M2459" t="str">
        <f>IF(Table1[[#This Row],[ReorderLevel]]-Table1[[#This Row],[CurrentStock]]&gt;0,Table1[[#This Row],[ReorderLevel]]-Table1[[#This Row],[CurrentStock]],"")</f>
        <v/>
      </c>
      <c r="N2459" t="str">
        <f>IF(Table1[[#This Row],[CurrentStock]]&gt;Table1[[#This Row],[ReorderLevel]]*3,"Over Stock","Okay")</f>
        <v>Over Stock</v>
      </c>
      <c r="O2459" t="str">
        <f>IF(Table1[[#This Row],[CurrentStock]]&lt;Table1[[#This Row],[ReorderLevel]],"Reorder","Okay")</f>
        <v>Okay</v>
      </c>
    </row>
    <row r="2460" spans="1:15" x14ac:dyDescent="0.3">
      <c r="A2460">
        <v>52559</v>
      </c>
      <c r="B2460" t="s">
        <v>14</v>
      </c>
      <c r="C2460" t="s">
        <v>27</v>
      </c>
      <c r="D2460">
        <v>85</v>
      </c>
      <c r="E2460">
        <v>150</v>
      </c>
      <c r="F2460">
        <v>234.31</v>
      </c>
      <c r="G2460" t="s">
        <v>35</v>
      </c>
      <c r="H2460" s="1">
        <v>45455</v>
      </c>
      <c r="I2460" s="1">
        <v>45483</v>
      </c>
      <c r="J2460" t="s">
        <v>39</v>
      </c>
      <c r="K2460" t="b">
        <f>Table1[[#This Row],[CurrentStock]]&lt;Table1[[#This Row],[ReorderLevel]]</f>
        <v>1</v>
      </c>
      <c r="L2460" s="9">
        <f>Table1[[#This Row],[CurrentStock]]*Table1[[#This Row],[UnitPrice]]</f>
        <v>19916.349999999999</v>
      </c>
      <c r="M2460">
        <f>IF(Table1[[#This Row],[ReorderLevel]]-Table1[[#This Row],[CurrentStock]]&gt;0,Table1[[#This Row],[ReorderLevel]]-Table1[[#This Row],[CurrentStock]],"")</f>
        <v>65</v>
      </c>
      <c r="N2460" t="str">
        <f>IF(Table1[[#This Row],[CurrentStock]]&gt;Table1[[#This Row],[ReorderLevel]]*3,"Over Stock","Okay")</f>
        <v>Okay</v>
      </c>
      <c r="O2460" t="str">
        <f>IF(Table1[[#This Row],[CurrentStock]]&lt;Table1[[#This Row],[ReorderLevel]],"Reorder","Okay")</f>
        <v>Reorder</v>
      </c>
    </row>
    <row r="2461" spans="1:15" x14ac:dyDescent="0.3">
      <c r="A2461">
        <v>53346</v>
      </c>
      <c r="B2461" t="s">
        <v>14</v>
      </c>
      <c r="C2461" t="s">
        <v>27</v>
      </c>
      <c r="D2461">
        <v>46</v>
      </c>
      <c r="E2461">
        <v>150</v>
      </c>
      <c r="F2461">
        <v>87.38</v>
      </c>
      <c r="G2461" t="s">
        <v>32</v>
      </c>
      <c r="H2461" s="1">
        <v>45528</v>
      </c>
      <c r="I2461" s="1">
        <v>45544</v>
      </c>
      <c r="J2461" t="s">
        <v>39</v>
      </c>
      <c r="K2461" t="b">
        <f>Table1[[#This Row],[CurrentStock]]&lt;Table1[[#This Row],[ReorderLevel]]</f>
        <v>1</v>
      </c>
      <c r="L2461" s="9">
        <f>Table1[[#This Row],[CurrentStock]]*Table1[[#This Row],[UnitPrice]]</f>
        <v>4019.4799999999996</v>
      </c>
      <c r="M2461">
        <f>IF(Table1[[#This Row],[ReorderLevel]]-Table1[[#This Row],[CurrentStock]]&gt;0,Table1[[#This Row],[ReorderLevel]]-Table1[[#This Row],[CurrentStock]],"")</f>
        <v>104</v>
      </c>
      <c r="N2461" t="str">
        <f>IF(Table1[[#This Row],[CurrentStock]]&gt;Table1[[#This Row],[ReorderLevel]]*3,"Over Stock","Okay")</f>
        <v>Okay</v>
      </c>
      <c r="O2461" t="str">
        <f>IF(Table1[[#This Row],[CurrentStock]]&lt;Table1[[#This Row],[ReorderLevel]],"Reorder","Okay")</f>
        <v>Reorder</v>
      </c>
    </row>
    <row r="2462" spans="1:15" x14ac:dyDescent="0.3">
      <c r="A2462">
        <v>20920</v>
      </c>
      <c r="B2462" t="s">
        <v>26</v>
      </c>
      <c r="C2462" t="s">
        <v>30</v>
      </c>
      <c r="D2462">
        <v>84</v>
      </c>
      <c r="E2462">
        <v>40</v>
      </c>
      <c r="F2462">
        <v>206.8</v>
      </c>
      <c r="G2462" t="s">
        <v>33</v>
      </c>
      <c r="H2462" s="1">
        <v>45367</v>
      </c>
      <c r="I2462" s="1">
        <v>45378</v>
      </c>
      <c r="J2462" t="s">
        <v>37</v>
      </c>
      <c r="K2462" t="b">
        <f>Table1[[#This Row],[CurrentStock]]&lt;Table1[[#This Row],[ReorderLevel]]</f>
        <v>0</v>
      </c>
      <c r="L2462" s="9">
        <f>Table1[[#This Row],[CurrentStock]]*Table1[[#This Row],[UnitPrice]]</f>
        <v>17371.2</v>
      </c>
      <c r="M2462" t="str">
        <f>IF(Table1[[#This Row],[ReorderLevel]]-Table1[[#This Row],[CurrentStock]]&gt;0,Table1[[#This Row],[ReorderLevel]]-Table1[[#This Row],[CurrentStock]],"")</f>
        <v/>
      </c>
      <c r="N2462" t="str">
        <f>IF(Table1[[#This Row],[CurrentStock]]&gt;Table1[[#This Row],[ReorderLevel]]*3,"Over Stock","Okay")</f>
        <v>Okay</v>
      </c>
      <c r="O2462" t="str">
        <f>IF(Table1[[#This Row],[CurrentStock]]&lt;Table1[[#This Row],[ReorderLevel]],"Reorder","Okay")</f>
        <v>Okay</v>
      </c>
    </row>
    <row r="2463" spans="1:15" x14ac:dyDescent="0.3">
      <c r="A2463">
        <v>24052</v>
      </c>
      <c r="B2463" t="s">
        <v>21</v>
      </c>
      <c r="C2463" t="s">
        <v>31</v>
      </c>
      <c r="D2463">
        <v>299</v>
      </c>
      <c r="E2463">
        <v>100</v>
      </c>
      <c r="F2463">
        <v>32.299999999999997</v>
      </c>
      <c r="G2463" t="s">
        <v>32</v>
      </c>
      <c r="H2463" s="1">
        <v>45609</v>
      </c>
      <c r="I2463" s="1">
        <v>45623</v>
      </c>
      <c r="J2463" t="s">
        <v>37</v>
      </c>
      <c r="K2463" t="b">
        <f>Table1[[#This Row],[CurrentStock]]&lt;Table1[[#This Row],[ReorderLevel]]</f>
        <v>0</v>
      </c>
      <c r="L2463" s="9">
        <f>Table1[[#This Row],[CurrentStock]]*Table1[[#This Row],[UnitPrice]]</f>
        <v>9657.6999999999989</v>
      </c>
      <c r="M2463" t="str">
        <f>IF(Table1[[#This Row],[ReorderLevel]]-Table1[[#This Row],[CurrentStock]]&gt;0,Table1[[#This Row],[ReorderLevel]]-Table1[[#This Row],[CurrentStock]],"")</f>
        <v/>
      </c>
      <c r="N2463" t="str">
        <f>IF(Table1[[#This Row],[CurrentStock]]&gt;Table1[[#This Row],[ReorderLevel]]*3,"Over Stock","Okay")</f>
        <v>Okay</v>
      </c>
      <c r="O2463" t="str">
        <f>IF(Table1[[#This Row],[CurrentStock]]&lt;Table1[[#This Row],[ReorderLevel]],"Reorder","Okay")</f>
        <v>Okay</v>
      </c>
    </row>
    <row r="2464" spans="1:15" x14ac:dyDescent="0.3">
      <c r="A2464">
        <v>23225</v>
      </c>
      <c r="B2464" t="s">
        <v>19</v>
      </c>
      <c r="C2464" t="s">
        <v>28</v>
      </c>
      <c r="D2464">
        <v>249</v>
      </c>
      <c r="E2464">
        <v>50</v>
      </c>
      <c r="F2464">
        <v>162.4</v>
      </c>
      <c r="G2464" t="s">
        <v>35</v>
      </c>
      <c r="H2464" s="1">
        <v>45511</v>
      </c>
      <c r="I2464" s="1">
        <v>45526</v>
      </c>
      <c r="J2464" t="s">
        <v>38</v>
      </c>
      <c r="K2464" t="b">
        <f>Table1[[#This Row],[CurrentStock]]&lt;Table1[[#This Row],[ReorderLevel]]</f>
        <v>0</v>
      </c>
      <c r="L2464" s="9">
        <f>Table1[[#This Row],[CurrentStock]]*Table1[[#This Row],[UnitPrice]]</f>
        <v>40437.599999999999</v>
      </c>
      <c r="M2464" t="str">
        <f>IF(Table1[[#This Row],[ReorderLevel]]-Table1[[#This Row],[CurrentStock]]&gt;0,Table1[[#This Row],[ReorderLevel]]-Table1[[#This Row],[CurrentStock]],"")</f>
        <v/>
      </c>
      <c r="N2464" t="str">
        <f>IF(Table1[[#This Row],[CurrentStock]]&gt;Table1[[#This Row],[ReorderLevel]]*3,"Over Stock","Okay")</f>
        <v>Over Stock</v>
      </c>
      <c r="O2464" t="str">
        <f>IF(Table1[[#This Row],[CurrentStock]]&lt;Table1[[#This Row],[ReorderLevel]],"Reorder","Okay")</f>
        <v>Okay</v>
      </c>
    </row>
    <row r="2465" spans="1:15" x14ac:dyDescent="0.3">
      <c r="A2465">
        <v>37134</v>
      </c>
      <c r="B2465" t="s">
        <v>11</v>
      </c>
      <c r="C2465" t="s">
        <v>27</v>
      </c>
      <c r="D2465">
        <v>334</v>
      </c>
      <c r="E2465">
        <v>150</v>
      </c>
      <c r="F2465">
        <v>471.19</v>
      </c>
      <c r="G2465" t="s">
        <v>36</v>
      </c>
      <c r="H2465" s="1">
        <v>45594</v>
      </c>
      <c r="I2465" s="1">
        <v>45632</v>
      </c>
      <c r="J2465" t="s">
        <v>39</v>
      </c>
      <c r="K2465" t="b">
        <f>Table1[[#This Row],[CurrentStock]]&lt;Table1[[#This Row],[ReorderLevel]]</f>
        <v>0</v>
      </c>
      <c r="L2465" s="9">
        <f>Table1[[#This Row],[CurrentStock]]*Table1[[#This Row],[UnitPrice]]</f>
        <v>157377.46</v>
      </c>
      <c r="M2465" t="str">
        <f>IF(Table1[[#This Row],[ReorderLevel]]-Table1[[#This Row],[CurrentStock]]&gt;0,Table1[[#This Row],[ReorderLevel]]-Table1[[#This Row],[CurrentStock]],"")</f>
        <v/>
      </c>
      <c r="N2465" t="str">
        <f>IF(Table1[[#This Row],[CurrentStock]]&gt;Table1[[#This Row],[ReorderLevel]]*3,"Over Stock","Okay")</f>
        <v>Okay</v>
      </c>
      <c r="O2465" t="str">
        <f>IF(Table1[[#This Row],[CurrentStock]]&lt;Table1[[#This Row],[ReorderLevel]],"Reorder","Okay")</f>
        <v>Okay</v>
      </c>
    </row>
    <row r="2466" spans="1:15" x14ac:dyDescent="0.3">
      <c r="A2466">
        <v>84826</v>
      </c>
      <c r="B2466" t="s">
        <v>25</v>
      </c>
      <c r="C2466" t="s">
        <v>31</v>
      </c>
      <c r="D2466">
        <v>329</v>
      </c>
      <c r="E2466">
        <v>40</v>
      </c>
      <c r="F2466">
        <v>33.22</v>
      </c>
      <c r="G2466" t="s">
        <v>33</v>
      </c>
      <c r="H2466" s="1">
        <v>45543</v>
      </c>
      <c r="I2466" s="1">
        <v>45577</v>
      </c>
      <c r="J2466" t="s">
        <v>37</v>
      </c>
      <c r="K2466" t="b">
        <f>Table1[[#This Row],[CurrentStock]]&lt;Table1[[#This Row],[ReorderLevel]]</f>
        <v>0</v>
      </c>
      <c r="L2466" s="9">
        <f>Table1[[#This Row],[CurrentStock]]*Table1[[#This Row],[UnitPrice]]</f>
        <v>10929.38</v>
      </c>
      <c r="M2466" t="str">
        <f>IF(Table1[[#This Row],[ReorderLevel]]-Table1[[#This Row],[CurrentStock]]&gt;0,Table1[[#This Row],[ReorderLevel]]-Table1[[#This Row],[CurrentStock]],"")</f>
        <v/>
      </c>
      <c r="N2466" t="str">
        <f>IF(Table1[[#This Row],[CurrentStock]]&gt;Table1[[#This Row],[ReorderLevel]]*3,"Over Stock","Okay")</f>
        <v>Over Stock</v>
      </c>
      <c r="O2466" t="str">
        <f>IF(Table1[[#This Row],[CurrentStock]]&lt;Table1[[#This Row],[ReorderLevel]],"Reorder","Okay")</f>
        <v>Okay</v>
      </c>
    </row>
    <row r="2467" spans="1:15" x14ac:dyDescent="0.3">
      <c r="A2467">
        <v>79561</v>
      </c>
      <c r="B2467" t="s">
        <v>20</v>
      </c>
      <c r="C2467" t="s">
        <v>29</v>
      </c>
      <c r="D2467">
        <v>181</v>
      </c>
      <c r="E2467">
        <v>20</v>
      </c>
      <c r="F2467">
        <v>216.95</v>
      </c>
      <c r="G2467" t="s">
        <v>36</v>
      </c>
      <c r="H2467" s="1">
        <v>45568</v>
      </c>
      <c r="I2467" s="1">
        <v>45573</v>
      </c>
      <c r="J2467" t="s">
        <v>37</v>
      </c>
      <c r="K2467" t="b">
        <f>Table1[[#This Row],[CurrentStock]]&lt;Table1[[#This Row],[ReorderLevel]]</f>
        <v>0</v>
      </c>
      <c r="L2467" s="9">
        <f>Table1[[#This Row],[CurrentStock]]*Table1[[#This Row],[UnitPrice]]</f>
        <v>39267.949999999997</v>
      </c>
      <c r="M2467" t="str">
        <f>IF(Table1[[#This Row],[ReorderLevel]]-Table1[[#This Row],[CurrentStock]]&gt;0,Table1[[#This Row],[ReorderLevel]]-Table1[[#This Row],[CurrentStock]],"")</f>
        <v/>
      </c>
      <c r="N2467" t="str">
        <f>IF(Table1[[#This Row],[CurrentStock]]&gt;Table1[[#This Row],[ReorderLevel]]*3,"Over Stock","Okay")</f>
        <v>Over Stock</v>
      </c>
      <c r="O2467" t="str">
        <f>IF(Table1[[#This Row],[CurrentStock]]&lt;Table1[[#This Row],[ReorderLevel]],"Reorder","Okay")</f>
        <v>Okay</v>
      </c>
    </row>
    <row r="2468" spans="1:15" x14ac:dyDescent="0.3">
      <c r="A2468">
        <v>72119</v>
      </c>
      <c r="B2468" t="s">
        <v>26</v>
      </c>
      <c r="C2468" t="s">
        <v>30</v>
      </c>
      <c r="D2468">
        <v>179</v>
      </c>
      <c r="E2468">
        <v>150</v>
      </c>
      <c r="F2468">
        <v>22.63</v>
      </c>
      <c r="G2468" t="s">
        <v>35</v>
      </c>
      <c r="H2468" s="1">
        <v>45439</v>
      </c>
      <c r="I2468" s="1">
        <v>45455</v>
      </c>
      <c r="J2468" t="s">
        <v>39</v>
      </c>
      <c r="K2468" t="b">
        <f>Table1[[#This Row],[CurrentStock]]&lt;Table1[[#This Row],[ReorderLevel]]</f>
        <v>0</v>
      </c>
      <c r="L2468" s="9">
        <f>Table1[[#This Row],[CurrentStock]]*Table1[[#This Row],[UnitPrice]]</f>
        <v>4050.77</v>
      </c>
      <c r="M2468" t="str">
        <f>IF(Table1[[#This Row],[ReorderLevel]]-Table1[[#This Row],[CurrentStock]]&gt;0,Table1[[#This Row],[ReorderLevel]]-Table1[[#This Row],[CurrentStock]],"")</f>
        <v/>
      </c>
      <c r="N2468" t="str">
        <f>IF(Table1[[#This Row],[CurrentStock]]&gt;Table1[[#This Row],[ReorderLevel]]*3,"Over Stock","Okay")</f>
        <v>Okay</v>
      </c>
      <c r="O2468" t="str">
        <f>IF(Table1[[#This Row],[CurrentStock]]&lt;Table1[[#This Row],[ReorderLevel]],"Reorder","Okay")</f>
        <v>Okay</v>
      </c>
    </row>
    <row r="2469" spans="1:15" x14ac:dyDescent="0.3">
      <c r="A2469">
        <v>83424</v>
      </c>
      <c r="B2469" t="s">
        <v>22</v>
      </c>
      <c r="C2469" t="s">
        <v>27</v>
      </c>
      <c r="D2469">
        <v>115</v>
      </c>
      <c r="E2469">
        <v>40</v>
      </c>
      <c r="F2469">
        <v>61.77</v>
      </c>
      <c r="G2469" t="s">
        <v>35</v>
      </c>
      <c r="H2469" s="1">
        <v>45498</v>
      </c>
      <c r="I2469" s="1">
        <v>45537</v>
      </c>
      <c r="J2469" t="s">
        <v>37</v>
      </c>
      <c r="K2469" t="b">
        <f>Table1[[#This Row],[CurrentStock]]&lt;Table1[[#This Row],[ReorderLevel]]</f>
        <v>0</v>
      </c>
      <c r="L2469" s="9">
        <f>Table1[[#This Row],[CurrentStock]]*Table1[[#This Row],[UnitPrice]]</f>
        <v>7103.55</v>
      </c>
      <c r="M2469" t="str">
        <f>IF(Table1[[#This Row],[ReorderLevel]]-Table1[[#This Row],[CurrentStock]]&gt;0,Table1[[#This Row],[ReorderLevel]]-Table1[[#This Row],[CurrentStock]],"")</f>
        <v/>
      </c>
      <c r="N2469" t="str">
        <f>IF(Table1[[#This Row],[CurrentStock]]&gt;Table1[[#This Row],[ReorderLevel]]*3,"Over Stock","Okay")</f>
        <v>Okay</v>
      </c>
      <c r="O2469" t="str">
        <f>IF(Table1[[#This Row],[CurrentStock]]&lt;Table1[[#This Row],[ReorderLevel]],"Reorder","Okay")</f>
        <v>Okay</v>
      </c>
    </row>
    <row r="2470" spans="1:15" x14ac:dyDescent="0.3">
      <c r="A2470">
        <v>49214</v>
      </c>
      <c r="B2470" t="s">
        <v>13</v>
      </c>
      <c r="C2470" t="s">
        <v>29</v>
      </c>
      <c r="D2470">
        <v>488</v>
      </c>
      <c r="E2470">
        <v>150</v>
      </c>
      <c r="F2470">
        <v>158.59</v>
      </c>
      <c r="G2470" t="s">
        <v>35</v>
      </c>
      <c r="H2470" s="1">
        <v>45341</v>
      </c>
      <c r="I2470" s="1">
        <v>45368</v>
      </c>
      <c r="J2470" t="s">
        <v>37</v>
      </c>
      <c r="K2470" t="b">
        <f>Table1[[#This Row],[CurrentStock]]&lt;Table1[[#This Row],[ReorderLevel]]</f>
        <v>0</v>
      </c>
      <c r="L2470" s="9">
        <f>Table1[[#This Row],[CurrentStock]]*Table1[[#This Row],[UnitPrice]]</f>
        <v>77391.92</v>
      </c>
      <c r="M2470" t="str">
        <f>IF(Table1[[#This Row],[ReorderLevel]]-Table1[[#This Row],[CurrentStock]]&gt;0,Table1[[#This Row],[ReorderLevel]]-Table1[[#This Row],[CurrentStock]],"")</f>
        <v/>
      </c>
      <c r="N2470" t="str">
        <f>IF(Table1[[#This Row],[CurrentStock]]&gt;Table1[[#This Row],[ReorderLevel]]*3,"Over Stock","Okay")</f>
        <v>Over Stock</v>
      </c>
      <c r="O2470" t="str">
        <f>IF(Table1[[#This Row],[CurrentStock]]&lt;Table1[[#This Row],[ReorderLevel]],"Reorder","Okay")</f>
        <v>Okay</v>
      </c>
    </row>
    <row r="2471" spans="1:15" x14ac:dyDescent="0.3">
      <c r="A2471">
        <v>99037</v>
      </c>
      <c r="B2471" t="s">
        <v>21</v>
      </c>
      <c r="C2471" t="s">
        <v>31</v>
      </c>
      <c r="D2471">
        <v>135</v>
      </c>
      <c r="E2471">
        <v>30</v>
      </c>
      <c r="F2471">
        <v>193.43</v>
      </c>
      <c r="G2471" t="s">
        <v>32</v>
      </c>
      <c r="H2471" s="1">
        <v>45453</v>
      </c>
      <c r="I2471" s="1">
        <v>45476</v>
      </c>
      <c r="J2471" t="s">
        <v>37</v>
      </c>
      <c r="K2471" t="b">
        <f>Table1[[#This Row],[CurrentStock]]&lt;Table1[[#This Row],[ReorderLevel]]</f>
        <v>0</v>
      </c>
      <c r="L2471" s="9">
        <f>Table1[[#This Row],[CurrentStock]]*Table1[[#This Row],[UnitPrice]]</f>
        <v>26113.05</v>
      </c>
      <c r="M2471" t="str">
        <f>IF(Table1[[#This Row],[ReorderLevel]]-Table1[[#This Row],[CurrentStock]]&gt;0,Table1[[#This Row],[ReorderLevel]]-Table1[[#This Row],[CurrentStock]],"")</f>
        <v/>
      </c>
      <c r="N2471" t="str">
        <f>IF(Table1[[#This Row],[CurrentStock]]&gt;Table1[[#This Row],[ReorderLevel]]*3,"Over Stock","Okay")</f>
        <v>Over Stock</v>
      </c>
      <c r="O2471" t="str">
        <f>IF(Table1[[#This Row],[CurrentStock]]&lt;Table1[[#This Row],[ReorderLevel]],"Reorder","Okay")</f>
        <v>Okay</v>
      </c>
    </row>
    <row r="2472" spans="1:15" x14ac:dyDescent="0.3">
      <c r="A2472">
        <v>16309</v>
      </c>
      <c r="B2472" t="s">
        <v>19</v>
      </c>
      <c r="C2472" t="s">
        <v>28</v>
      </c>
      <c r="D2472">
        <v>83</v>
      </c>
      <c r="E2472">
        <v>100</v>
      </c>
      <c r="F2472">
        <v>440.12</v>
      </c>
      <c r="G2472" t="s">
        <v>34</v>
      </c>
      <c r="H2472" s="1">
        <v>45436</v>
      </c>
      <c r="I2472" s="1">
        <v>45445</v>
      </c>
      <c r="J2472" t="s">
        <v>38</v>
      </c>
      <c r="K2472" t="b">
        <f>Table1[[#This Row],[CurrentStock]]&lt;Table1[[#This Row],[ReorderLevel]]</f>
        <v>1</v>
      </c>
      <c r="L2472" s="9">
        <f>Table1[[#This Row],[CurrentStock]]*Table1[[#This Row],[UnitPrice]]</f>
        <v>36529.96</v>
      </c>
      <c r="M2472">
        <f>IF(Table1[[#This Row],[ReorderLevel]]-Table1[[#This Row],[CurrentStock]]&gt;0,Table1[[#This Row],[ReorderLevel]]-Table1[[#This Row],[CurrentStock]],"")</f>
        <v>17</v>
      </c>
      <c r="N2472" t="str">
        <f>IF(Table1[[#This Row],[CurrentStock]]&gt;Table1[[#This Row],[ReorderLevel]]*3,"Over Stock","Okay")</f>
        <v>Okay</v>
      </c>
      <c r="O2472" t="str">
        <f>IF(Table1[[#This Row],[CurrentStock]]&lt;Table1[[#This Row],[ReorderLevel]],"Reorder","Okay")</f>
        <v>Reorder</v>
      </c>
    </row>
    <row r="2473" spans="1:15" x14ac:dyDescent="0.3">
      <c r="A2473">
        <v>99344</v>
      </c>
      <c r="B2473" t="s">
        <v>13</v>
      </c>
      <c r="C2473" t="s">
        <v>29</v>
      </c>
      <c r="D2473">
        <v>237</v>
      </c>
      <c r="E2473">
        <v>20</v>
      </c>
      <c r="F2473">
        <v>403.76</v>
      </c>
      <c r="G2473" t="s">
        <v>33</v>
      </c>
      <c r="H2473" s="1">
        <v>45304</v>
      </c>
      <c r="I2473" s="1">
        <v>45335</v>
      </c>
      <c r="J2473" t="s">
        <v>39</v>
      </c>
      <c r="K2473" t="b">
        <f>Table1[[#This Row],[CurrentStock]]&lt;Table1[[#This Row],[ReorderLevel]]</f>
        <v>0</v>
      </c>
      <c r="L2473" s="9">
        <f>Table1[[#This Row],[CurrentStock]]*Table1[[#This Row],[UnitPrice]]</f>
        <v>95691.12</v>
      </c>
      <c r="M2473" t="str">
        <f>IF(Table1[[#This Row],[ReorderLevel]]-Table1[[#This Row],[CurrentStock]]&gt;0,Table1[[#This Row],[ReorderLevel]]-Table1[[#This Row],[CurrentStock]],"")</f>
        <v/>
      </c>
      <c r="N2473" t="str">
        <f>IF(Table1[[#This Row],[CurrentStock]]&gt;Table1[[#This Row],[ReorderLevel]]*3,"Over Stock","Okay")</f>
        <v>Over Stock</v>
      </c>
      <c r="O2473" t="str">
        <f>IF(Table1[[#This Row],[CurrentStock]]&lt;Table1[[#This Row],[ReorderLevel]],"Reorder","Okay")</f>
        <v>Okay</v>
      </c>
    </row>
    <row r="2474" spans="1:15" x14ac:dyDescent="0.3">
      <c r="A2474">
        <v>87424</v>
      </c>
      <c r="B2474" t="s">
        <v>10</v>
      </c>
      <c r="C2474" t="s">
        <v>27</v>
      </c>
      <c r="D2474">
        <v>224</v>
      </c>
      <c r="E2474">
        <v>50</v>
      </c>
      <c r="F2474">
        <v>38.5</v>
      </c>
      <c r="G2474" t="s">
        <v>36</v>
      </c>
      <c r="H2474" s="1">
        <v>45551</v>
      </c>
      <c r="I2474" s="1">
        <v>45564</v>
      </c>
      <c r="J2474" t="s">
        <v>38</v>
      </c>
      <c r="K2474" t="b">
        <f>Table1[[#This Row],[CurrentStock]]&lt;Table1[[#This Row],[ReorderLevel]]</f>
        <v>0</v>
      </c>
      <c r="L2474" s="9">
        <f>Table1[[#This Row],[CurrentStock]]*Table1[[#This Row],[UnitPrice]]</f>
        <v>8624</v>
      </c>
      <c r="M2474" t="str">
        <f>IF(Table1[[#This Row],[ReorderLevel]]-Table1[[#This Row],[CurrentStock]]&gt;0,Table1[[#This Row],[ReorderLevel]]-Table1[[#This Row],[CurrentStock]],"")</f>
        <v/>
      </c>
      <c r="N2474" t="str">
        <f>IF(Table1[[#This Row],[CurrentStock]]&gt;Table1[[#This Row],[ReorderLevel]]*3,"Over Stock","Okay")</f>
        <v>Over Stock</v>
      </c>
      <c r="O2474" t="str">
        <f>IF(Table1[[#This Row],[CurrentStock]]&lt;Table1[[#This Row],[ReorderLevel]],"Reorder","Okay")</f>
        <v>Okay</v>
      </c>
    </row>
    <row r="2475" spans="1:15" x14ac:dyDescent="0.3">
      <c r="A2475">
        <v>69327</v>
      </c>
      <c r="B2475" t="s">
        <v>11</v>
      </c>
      <c r="C2475" t="s">
        <v>27</v>
      </c>
      <c r="D2475">
        <v>116</v>
      </c>
      <c r="E2475">
        <v>30</v>
      </c>
      <c r="F2475">
        <v>162.43</v>
      </c>
      <c r="G2475" t="s">
        <v>34</v>
      </c>
      <c r="H2475" s="1">
        <v>45554</v>
      </c>
      <c r="I2475" s="1">
        <v>45591</v>
      </c>
      <c r="J2475" t="s">
        <v>39</v>
      </c>
      <c r="K2475" t="b">
        <f>Table1[[#This Row],[CurrentStock]]&lt;Table1[[#This Row],[ReorderLevel]]</f>
        <v>0</v>
      </c>
      <c r="L2475" s="9">
        <f>Table1[[#This Row],[CurrentStock]]*Table1[[#This Row],[UnitPrice]]</f>
        <v>18841.88</v>
      </c>
      <c r="M2475" t="str">
        <f>IF(Table1[[#This Row],[ReorderLevel]]-Table1[[#This Row],[CurrentStock]]&gt;0,Table1[[#This Row],[ReorderLevel]]-Table1[[#This Row],[CurrentStock]],"")</f>
        <v/>
      </c>
      <c r="N2475" t="str">
        <f>IF(Table1[[#This Row],[CurrentStock]]&gt;Table1[[#This Row],[ReorderLevel]]*3,"Over Stock","Okay")</f>
        <v>Over Stock</v>
      </c>
      <c r="O2475" t="str">
        <f>IF(Table1[[#This Row],[CurrentStock]]&lt;Table1[[#This Row],[ReorderLevel]],"Reorder","Okay")</f>
        <v>Okay</v>
      </c>
    </row>
    <row r="2476" spans="1:15" x14ac:dyDescent="0.3">
      <c r="A2476">
        <v>74501</v>
      </c>
      <c r="B2476" t="s">
        <v>18</v>
      </c>
      <c r="C2476" t="s">
        <v>28</v>
      </c>
      <c r="D2476">
        <v>89</v>
      </c>
      <c r="E2476">
        <v>50</v>
      </c>
      <c r="F2476">
        <v>217.77</v>
      </c>
      <c r="G2476" t="s">
        <v>35</v>
      </c>
      <c r="H2476" s="1">
        <v>45446</v>
      </c>
      <c r="I2476" s="1">
        <v>45465</v>
      </c>
      <c r="J2476" t="s">
        <v>38</v>
      </c>
      <c r="K2476" t="b">
        <f>Table1[[#This Row],[CurrentStock]]&lt;Table1[[#This Row],[ReorderLevel]]</f>
        <v>0</v>
      </c>
      <c r="L2476" s="9">
        <f>Table1[[#This Row],[CurrentStock]]*Table1[[#This Row],[UnitPrice]]</f>
        <v>19381.530000000002</v>
      </c>
      <c r="M2476" t="str">
        <f>IF(Table1[[#This Row],[ReorderLevel]]-Table1[[#This Row],[CurrentStock]]&gt;0,Table1[[#This Row],[ReorderLevel]]-Table1[[#This Row],[CurrentStock]],"")</f>
        <v/>
      </c>
      <c r="N2476" t="str">
        <f>IF(Table1[[#This Row],[CurrentStock]]&gt;Table1[[#This Row],[ReorderLevel]]*3,"Over Stock","Okay")</f>
        <v>Okay</v>
      </c>
      <c r="O2476" t="str">
        <f>IF(Table1[[#This Row],[CurrentStock]]&lt;Table1[[#This Row],[ReorderLevel]],"Reorder","Okay")</f>
        <v>Okay</v>
      </c>
    </row>
    <row r="2477" spans="1:15" x14ac:dyDescent="0.3">
      <c r="A2477">
        <v>80904</v>
      </c>
      <c r="B2477" t="s">
        <v>20</v>
      </c>
      <c r="C2477" t="s">
        <v>29</v>
      </c>
      <c r="D2477">
        <v>79</v>
      </c>
      <c r="E2477">
        <v>150</v>
      </c>
      <c r="F2477">
        <v>82.7</v>
      </c>
      <c r="G2477" t="s">
        <v>33</v>
      </c>
      <c r="H2477" s="1">
        <v>45556</v>
      </c>
      <c r="I2477" s="1">
        <v>45593</v>
      </c>
      <c r="J2477" t="s">
        <v>39</v>
      </c>
      <c r="K2477" t="b">
        <f>Table1[[#This Row],[CurrentStock]]&lt;Table1[[#This Row],[ReorderLevel]]</f>
        <v>1</v>
      </c>
      <c r="L2477" s="9">
        <f>Table1[[#This Row],[CurrentStock]]*Table1[[#This Row],[UnitPrice]]</f>
        <v>6533.3</v>
      </c>
      <c r="M2477">
        <f>IF(Table1[[#This Row],[ReorderLevel]]-Table1[[#This Row],[CurrentStock]]&gt;0,Table1[[#This Row],[ReorderLevel]]-Table1[[#This Row],[CurrentStock]],"")</f>
        <v>71</v>
      </c>
      <c r="N2477" t="str">
        <f>IF(Table1[[#This Row],[CurrentStock]]&gt;Table1[[#This Row],[ReorderLevel]]*3,"Over Stock","Okay")</f>
        <v>Okay</v>
      </c>
      <c r="O2477" t="str">
        <f>IF(Table1[[#This Row],[CurrentStock]]&lt;Table1[[#This Row],[ReorderLevel]],"Reorder","Okay")</f>
        <v>Reorder</v>
      </c>
    </row>
    <row r="2478" spans="1:15" x14ac:dyDescent="0.3">
      <c r="A2478">
        <v>37546</v>
      </c>
      <c r="B2478" t="s">
        <v>13</v>
      </c>
      <c r="C2478" t="s">
        <v>29</v>
      </c>
      <c r="D2478">
        <v>188</v>
      </c>
      <c r="E2478">
        <v>20</v>
      </c>
      <c r="F2478">
        <v>249.49</v>
      </c>
      <c r="G2478" t="s">
        <v>32</v>
      </c>
      <c r="H2478" s="1">
        <v>45521</v>
      </c>
      <c r="I2478" s="1">
        <v>45550</v>
      </c>
      <c r="J2478" t="s">
        <v>37</v>
      </c>
      <c r="K2478" t="b">
        <f>Table1[[#This Row],[CurrentStock]]&lt;Table1[[#This Row],[ReorderLevel]]</f>
        <v>0</v>
      </c>
      <c r="L2478" s="9">
        <f>Table1[[#This Row],[CurrentStock]]*Table1[[#This Row],[UnitPrice]]</f>
        <v>46904.12</v>
      </c>
      <c r="M2478" t="str">
        <f>IF(Table1[[#This Row],[ReorderLevel]]-Table1[[#This Row],[CurrentStock]]&gt;0,Table1[[#This Row],[ReorderLevel]]-Table1[[#This Row],[CurrentStock]],"")</f>
        <v/>
      </c>
      <c r="N2478" t="str">
        <f>IF(Table1[[#This Row],[CurrentStock]]&gt;Table1[[#This Row],[ReorderLevel]]*3,"Over Stock","Okay")</f>
        <v>Over Stock</v>
      </c>
      <c r="O2478" t="str">
        <f>IF(Table1[[#This Row],[CurrentStock]]&lt;Table1[[#This Row],[ReorderLevel]],"Reorder","Okay")</f>
        <v>Okay</v>
      </c>
    </row>
    <row r="2479" spans="1:15" x14ac:dyDescent="0.3">
      <c r="A2479">
        <v>77082</v>
      </c>
      <c r="B2479" t="s">
        <v>10</v>
      </c>
      <c r="C2479" t="s">
        <v>27</v>
      </c>
      <c r="D2479">
        <v>402</v>
      </c>
      <c r="E2479">
        <v>40</v>
      </c>
      <c r="F2479">
        <v>151.61000000000001</v>
      </c>
      <c r="G2479" t="s">
        <v>32</v>
      </c>
      <c r="H2479" s="1">
        <v>45307</v>
      </c>
      <c r="I2479" s="1">
        <v>45346</v>
      </c>
      <c r="J2479" t="s">
        <v>39</v>
      </c>
      <c r="K2479" t="b">
        <f>Table1[[#This Row],[CurrentStock]]&lt;Table1[[#This Row],[ReorderLevel]]</f>
        <v>0</v>
      </c>
      <c r="L2479" s="9">
        <f>Table1[[#This Row],[CurrentStock]]*Table1[[#This Row],[UnitPrice]]</f>
        <v>60947.220000000008</v>
      </c>
      <c r="M2479" t="str">
        <f>IF(Table1[[#This Row],[ReorderLevel]]-Table1[[#This Row],[CurrentStock]]&gt;0,Table1[[#This Row],[ReorderLevel]]-Table1[[#This Row],[CurrentStock]],"")</f>
        <v/>
      </c>
      <c r="N2479" t="str">
        <f>IF(Table1[[#This Row],[CurrentStock]]&gt;Table1[[#This Row],[ReorderLevel]]*3,"Over Stock","Okay")</f>
        <v>Over Stock</v>
      </c>
      <c r="O2479" t="str">
        <f>IF(Table1[[#This Row],[CurrentStock]]&lt;Table1[[#This Row],[ReorderLevel]],"Reorder","Okay")</f>
        <v>Okay</v>
      </c>
    </row>
    <row r="2480" spans="1:15" x14ac:dyDescent="0.3">
      <c r="A2480">
        <v>70526</v>
      </c>
      <c r="B2480" t="s">
        <v>24</v>
      </c>
      <c r="C2480" t="s">
        <v>31</v>
      </c>
      <c r="D2480">
        <v>470</v>
      </c>
      <c r="E2480">
        <v>150</v>
      </c>
      <c r="F2480">
        <v>381.46</v>
      </c>
      <c r="G2480" t="s">
        <v>33</v>
      </c>
      <c r="H2480" s="1">
        <v>45523</v>
      </c>
      <c r="I2480" s="1">
        <v>45540</v>
      </c>
      <c r="J2480" t="s">
        <v>37</v>
      </c>
      <c r="K2480" t="b">
        <f>Table1[[#This Row],[CurrentStock]]&lt;Table1[[#This Row],[ReorderLevel]]</f>
        <v>0</v>
      </c>
      <c r="L2480" s="9">
        <f>Table1[[#This Row],[CurrentStock]]*Table1[[#This Row],[UnitPrice]]</f>
        <v>179286.19999999998</v>
      </c>
      <c r="M2480" t="str">
        <f>IF(Table1[[#This Row],[ReorderLevel]]-Table1[[#This Row],[CurrentStock]]&gt;0,Table1[[#This Row],[ReorderLevel]]-Table1[[#This Row],[CurrentStock]],"")</f>
        <v/>
      </c>
      <c r="N2480" t="str">
        <f>IF(Table1[[#This Row],[CurrentStock]]&gt;Table1[[#This Row],[ReorderLevel]]*3,"Over Stock","Okay")</f>
        <v>Over Stock</v>
      </c>
      <c r="O2480" t="str">
        <f>IF(Table1[[#This Row],[CurrentStock]]&lt;Table1[[#This Row],[ReorderLevel]],"Reorder","Okay")</f>
        <v>Okay</v>
      </c>
    </row>
    <row r="2481" spans="1:15" x14ac:dyDescent="0.3">
      <c r="A2481">
        <v>36564</v>
      </c>
      <c r="B2481" t="s">
        <v>16</v>
      </c>
      <c r="C2481" t="s">
        <v>30</v>
      </c>
      <c r="D2481">
        <v>120</v>
      </c>
      <c r="E2481">
        <v>50</v>
      </c>
      <c r="F2481">
        <v>438.77</v>
      </c>
      <c r="G2481" t="s">
        <v>35</v>
      </c>
      <c r="H2481" s="1">
        <v>45461</v>
      </c>
      <c r="I2481" s="1">
        <v>45478</v>
      </c>
      <c r="J2481" t="s">
        <v>39</v>
      </c>
      <c r="K2481" t="b">
        <f>Table1[[#This Row],[CurrentStock]]&lt;Table1[[#This Row],[ReorderLevel]]</f>
        <v>0</v>
      </c>
      <c r="L2481" s="9">
        <f>Table1[[#This Row],[CurrentStock]]*Table1[[#This Row],[UnitPrice]]</f>
        <v>52652.399999999994</v>
      </c>
      <c r="M2481" t="str">
        <f>IF(Table1[[#This Row],[ReorderLevel]]-Table1[[#This Row],[CurrentStock]]&gt;0,Table1[[#This Row],[ReorderLevel]]-Table1[[#This Row],[CurrentStock]],"")</f>
        <v/>
      </c>
      <c r="N2481" t="str">
        <f>IF(Table1[[#This Row],[CurrentStock]]&gt;Table1[[#This Row],[ReorderLevel]]*3,"Over Stock","Okay")</f>
        <v>Okay</v>
      </c>
      <c r="O2481" t="str">
        <f>IF(Table1[[#This Row],[CurrentStock]]&lt;Table1[[#This Row],[ReorderLevel]],"Reorder","Okay")</f>
        <v>Okay</v>
      </c>
    </row>
    <row r="2482" spans="1:15" x14ac:dyDescent="0.3">
      <c r="A2482">
        <v>43488</v>
      </c>
      <c r="B2482" t="s">
        <v>15</v>
      </c>
      <c r="C2482" t="s">
        <v>29</v>
      </c>
      <c r="D2482">
        <v>66</v>
      </c>
      <c r="E2482">
        <v>80</v>
      </c>
      <c r="F2482">
        <v>374.14</v>
      </c>
      <c r="G2482" t="s">
        <v>34</v>
      </c>
      <c r="H2482" s="1">
        <v>45385</v>
      </c>
      <c r="I2482" s="1">
        <v>45396</v>
      </c>
      <c r="J2482" t="s">
        <v>39</v>
      </c>
      <c r="K2482" t="b">
        <f>Table1[[#This Row],[CurrentStock]]&lt;Table1[[#This Row],[ReorderLevel]]</f>
        <v>1</v>
      </c>
      <c r="L2482" s="9">
        <f>Table1[[#This Row],[CurrentStock]]*Table1[[#This Row],[UnitPrice]]</f>
        <v>24693.239999999998</v>
      </c>
      <c r="M2482">
        <f>IF(Table1[[#This Row],[ReorderLevel]]-Table1[[#This Row],[CurrentStock]]&gt;0,Table1[[#This Row],[ReorderLevel]]-Table1[[#This Row],[CurrentStock]],"")</f>
        <v>14</v>
      </c>
      <c r="N2482" t="str">
        <f>IF(Table1[[#This Row],[CurrentStock]]&gt;Table1[[#This Row],[ReorderLevel]]*3,"Over Stock","Okay")</f>
        <v>Okay</v>
      </c>
      <c r="O2482" t="str">
        <f>IF(Table1[[#This Row],[CurrentStock]]&lt;Table1[[#This Row],[ReorderLevel]],"Reorder","Okay")</f>
        <v>Reorder</v>
      </c>
    </row>
    <row r="2483" spans="1:15" x14ac:dyDescent="0.3">
      <c r="A2483">
        <v>42740</v>
      </c>
      <c r="B2483" t="s">
        <v>20</v>
      </c>
      <c r="C2483" t="s">
        <v>29</v>
      </c>
      <c r="D2483">
        <v>442</v>
      </c>
      <c r="E2483">
        <v>30</v>
      </c>
      <c r="F2483">
        <v>127.57</v>
      </c>
      <c r="G2483" t="s">
        <v>32</v>
      </c>
      <c r="H2483" s="1">
        <v>45477</v>
      </c>
      <c r="I2483" s="1">
        <v>45510</v>
      </c>
      <c r="J2483" t="s">
        <v>38</v>
      </c>
      <c r="K2483" t="b">
        <f>Table1[[#This Row],[CurrentStock]]&lt;Table1[[#This Row],[ReorderLevel]]</f>
        <v>0</v>
      </c>
      <c r="L2483" s="9">
        <f>Table1[[#This Row],[CurrentStock]]*Table1[[#This Row],[UnitPrice]]</f>
        <v>56385.939999999995</v>
      </c>
      <c r="M2483" t="str">
        <f>IF(Table1[[#This Row],[ReorderLevel]]-Table1[[#This Row],[CurrentStock]]&gt;0,Table1[[#This Row],[ReorderLevel]]-Table1[[#This Row],[CurrentStock]],"")</f>
        <v/>
      </c>
      <c r="N2483" t="str">
        <f>IF(Table1[[#This Row],[CurrentStock]]&gt;Table1[[#This Row],[ReorderLevel]]*3,"Over Stock","Okay")</f>
        <v>Over Stock</v>
      </c>
      <c r="O2483" t="str">
        <f>IF(Table1[[#This Row],[CurrentStock]]&lt;Table1[[#This Row],[ReorderLevel]],"Reorder","Okay")</f>
        <v>Okay</v>
      </c>
    </row>
    <row r="2484" spans="1:15" x14ac:dyDescent="0.3">
      <c r="A2484">
        <v>23987</v>
      </c>
      <c r="B2484" t="s">
        <v>13</v>
      </c>
      <c r="C2484" t="s">
        <v>29</v>
      </c>
      <c r="D2484">
        <v>468</v>
      </c>
      <c r="E2484">
        <v>30</v>
      </c>
      <c r="F2484">
        <v>291.41000000000003</v>
      </c>
      <c r="G2484" t="s">
        <v>34</v>
      </c>
      <c r="H2484" s="1">
        <v>45558</v>
      </c>
      <c r="I2484" s="1">
        <v>45576</v>
      </c>
      <c r="J2484" t="s">
        <v>37</v>
      </c>
      <c r="K2484" t="b">
        <f>Table1[[#This Row],[CurrentStock]]&lt;Table1[[#This Row],[ReorderLevel]]</f>
        <v>0</v>
      </c>
      <c r="L2484" s="9">
        <f>Table1[[#This Row],[CurrentStock]]*Table1[[#This Row],[UnitPrice]]</f>
        <v>136379.88</v>
      </c>
      <c r="M2484" t="str">
        <f>IF(Table1[[#This Row],[ReorderLevel]]-Table1[[#This Row],[CurrentStock]]&gt;0,Table1[[#This Row],[ReorderLevel]]-Table1[[#This Row],[CurrentStock]],"")</f>
        <v/>
      </c>
      <c r="N2484" t="str">
        <f>IF(Table1[[#This Row],[CurrentStock]]&gt;Table1[[#This Row],[ReorderLevel]]*3,"Over Stock","Okay")</f>
        <v>Over Stock</v>
      </c>
      <c r="O2484" t="str">
        <f>IF(Table1[[#This Row],[CurrentStock]]&lt;Table1[[#This Row],[ReorderLevel]],"Reorder","Okay")</f>
        <v>Okay</v>
      </c>
    </row>
    <row r="2485" spans="1:15" x14ac:dyDescent="0.3">
      <c r="A2485">
        <v>79741</v>
      </c>
      <c r="B2485" t="s">
        <v>24</v>
      </c>
      <c r="C2485" t="s">
        <v>31</v>
      </c>
      <c r="D2485">
        <v>362</v>
      </c>
      <c r="E2485">
        <v>50</v>
      </c>
      <c r="F2485">
        <v>22.78</v>
      </c>
      <c r="G2485" t="s">
        <v>33</v>
      </c>
      <c r="H2485" s="1">
        <v>45417</v>
      </c>
      <c r="I2485" s="1">
        <v>45425</v>
      </c>
      <c r="J2485" t="s">
        <v>37</v>
      </c>
      <c r="K2485" t="b">
        <f>Table1[[#This Row],[CurrentStock]]&lt;Table1[[#This Row],[ReorderLevel]]</f>
        <v>0</v>
      </c>
      <c r="L2485" s="9">
        <f>Table1[[#This Row],[CurrentStock]]*Table1[[#This Row],[UnitPrice]]</f>
        <v>8246.36</v>
      </c>
      <c r="M2485" t="str">
        <f>IF(Table1[[#This Row],[ReorderLevel]]-Table1[[#This Row],[CurrentStock]]&gt;0,Table1[[#This Row],[ReorderLevel]]-Table1[[#This Row],[CurrentStock]],"")</f>
        <v/>
      </c>
      <c r="N2485" t="str">
        <f>IF(Table1[[#This Row],[CurrentStock]]&gt;Table1[[#This Row],[ReorderLevel]]*3,"Over Stock","Okay")</f>
        <v>Over Stock</v>
      </c>
      <c r="O2485" t="str">
        <f>IF(Table1[[#This Row],[CurrentStock]]&lt;Table1[[#This Row],[ReorderLevel]],"Reorder","Okay")</f>
        <v>Okay</v>
      </c>
    </row>
    <row r="2486" spans="1:15" x14ac:dyDescent="0.3">
      <c r="A2486">
        <v>45411</v>
      </c>
      <c r="B2486" t="s">
        <v>21</v>
      </c>
      <c r="C2486" t="s">
        <v>31</v>
      </c>
      <c r="D2486">
        <v>75</v>
      </c>
      <c r="E2486">
        <v>40</v>
      </c>
      <c r="F2486">
        <v>35.25</v>
      </c>
      <c r="G2486" t="s">
        <v>34</v>
      </c>
      <c r="H2486" s="1">
        <v>45481</v>
      </c>
      <c r="I2486" s="1">
        <v>45489</v>
      </c>
      <c r="J2486" t="s">
        <v>39</v>
      </c>
      <c r="K2486" t="b">
        <f>Table1[[#This Row],[CurrentStock]]&lt;Table1[[#This Row],[ReorderLevel]]</f>
        <v>0</v>
      </c>
      <c r="L2486" s="9">
        <f>Table1[[#This Row],[CurrentStock]]*Table1[[#This Row],[UnitPrice]]</f>
        <v>2643.75</v>
      </c>
      <c r="M2486" t="str">
        <f>IF(Table1[[#This Row],[ReorderLevel]]-Table1[[#This Row],[CurrentStock]]&gt;0,Table1[[#This Row],[ReorderLevel]]-Table1[[#This Row],[CurrentStock]],"")</f>
        <v/>
      </c>
      <c r="N2486" t="str">
        <f>IF(Table1[[#This Row],[CurrentStock]]&gt;Table1[[#This Row],[ReorderLevel]]*3,"Over Stock","Okay")</f>
        <v>Okay</v>
      </c>
      <c r="O2486" t="str">
        <f>IF(Table1[[#This Row],[CurrentStock]]&lt;Table1[[#This Row],[ReorderLevel]],"Reorder","Okay")</f>
        <v>Okay</v>
      </c>
    </row>
    <row r="2487" spans="1:15" x14ac:dyDescent="0.3">
      <c r="A2487">
        <v>25772</v>
      </c>
      <c r="B2487" t="s">
        <v>26</v>
      </c>
      <c r="C2487" t="s">
        <v>30</v>
      </c>
      <c r="D2487">
        <v>9</v>
      </c>
      <c r="E2487">
        <v>100</v>
      </c>
      <c r="F2487">
        <v>412.49</v>
      </c>
      <c r="G2487" t="s">
        <v>33</v>
      </c>
      <c r="H2487" s="1">
        <v>45346</v>
      </c>
      <c r="I2487" s="1">
        <v>45353</v>
      </c>
      <c r="J2487" t="s">
        <v>37</v>
      </c>
      <c r="K2487" t="b">
        <f>Table1[[#This Row],[CurrentStock]]&lt;Table1[[#This Row],[ReorderLevel]]</f>
        <v>1</v>
      </c>
      <c r="L2487" s="9">
        <f>Table1[[#This Row],[CurrentStock]]*Table1[[#This Row],[UnitPrice]]</f>
        <v>3712.41</v>
      </c>
      <c r="M2487">
        <f>IF(Table1[[#This Row],[ReorderLevel]]-Table1[[#This Row],[CurrentStock]]&gt;0,Table1[[#This Row],[ReorderLevel]]-Table1[[#This Row],[CurrentStock]],"")</f>
        <v>91</v>
      </c>
      <c r="N2487" t="str">
        <f>IF(Table1[[#This Row],[CurrentStock]]&gt;Table1[[#This Row],[ReorderLevel]]*3,"Over Stock","Okay")</f>
        <v>Okay</v>
      </c>
      <c r="O2487" t="str">
        <f>IF(Table1[[#This Row],[CurrentStock]]&lt;Table1[[#This Row],[ReorderLevel]],"Reorder","Okay")</f>
        <v>Reorder</v>
      </c>
    </row>
    <row r="2488" spans="1:15" x14ac:dyDescent="0.3">
      <c r="A2488">
        <v>16228</v>
      </c>
      <c r="B2488" t="s">
        <v>20</v>
      </c>
      <c r="C2488" t="s">
        <v>29</v>
      </c>
      <c r="D2488">
        <v>441</v>
      </c>
      <c r="E2488">
        <v>40</v>
      </c>
      <c r="F2488">
        <v>113.9</v>
      </c>
      <c r="G2488" t="s">
        <v>36</v>
      </c>
      <c r="H2488" s="1">
        <v>45545</v>
      </c>
      <c r="I2488" s="1">
        <v>45561</v>
      </c>
      <c r="J2488" t="s">
        <v>38</v>
      </c>
      <c r="K2488" t="b">
        <f>Table1[[#This Row],[CurrentStock]]&lt;Table1[[#This Row],[ReorderLevel]]</f>
        <v>0</v>
      </c>
      <c r="L2488" s="9">
        <f>Table1[[#This Row],[CurrentStock]]*Table1[[#This Row],[UnitPrice]]</f>
        <v>50229.9</v>
      </c>
      <c r="M2488" t="str">
        <f>IF(Table1[[#This Row],[ReorderLevel]]-Table1[[#This Row],[CurrentStock]]&gt;0,Table1[[#This Row],[ReorderLevel]]-Table1[[#This Row],[CurrentStock]],"")</f>
        <v/>
      </c>
      <c r="N2488" t="str">
        <f>IF(Table1[[#This Row],[CurrentStock]]&gt;Table1[[#This Row],[ReorderLevel]]*3,"Over Stock","Okay")</f>
        <v>Over Stock</v>
      </c>
      <c r="O2488" t="str">
        <f>IF(Table1[[#This Row],[CurrentStock]]&lt;Table1[[#This Row],[ReorderLevel]],"Reorder","Okay")</f>
        <v>Okay</v>
      </c>
    </row>
    <row r="2489" spans="1:15" x14ac:dyDescent="0.3">
      <c r="A2489">
        <v>98770</v>
      </c>
      <c r="B2489" t="s">
        <v>20</v>
      </c>
      <c r="C2489" t="s">
        <v>29</v>
      </c>
      <c r="D2489">
        <v>192</v>
      </c>
      <c r="E2489">
        <v>80</v>
      </c>
      <c r="F2489">
        <v>350.71</v>
      </c>
      <c r="G2489" t="s">
        <v>35</v>
      </c>
      <c r="H2489" s="1">
        <v>45535</v>
      </c>
      <c r="I2489" s="1">
        <v>45559</v>
      </c>
      <c r="J2489" t="s">
        <v>38</v>
      </c>
      <c r="K2489" t="b">
        <f>Table1[[#This Row],[CurrentStock]]&lt;Table1[[#This Row],[ReorderLevel]]</f>
        <v>0</v>
      </c>
      <c r="L2489" s="9">
        <f>Table1[[#This Row],[CurrentStock]]*Table1[[#This Row],[UnitPrice]]</f>
        <v>67336.319999999992</v>
      </c>
      <c r="M2489" t="str">
        <f>IF(Table1[[#This Row],[ReorderLevel]]-Table1[[#This Row],[CurrentStock]]&gt;0,Table1[[#This Row],[ReorderLevel]]-Table1[[#This Row],[CurrentStock]],"")</f>
        <v/>
      </c>
      <c r="N2489" t="str">
        <f>IF(Table1[[#This Row],[CurrentStock]]&gt;Table1[[#This Row],[ReorderLevel]]*3,"Over Stock","Okay")</f>
        <v>Okay</v>
      </c>
      <c r="O2489" t="str">
        <f>IF(Table1[[#This Row],[CurrentStock]]&lt;Table1[[#This Row],[ReorderLevel]],"Reorder","Okay")</f>
        <v>Okay</v>
      </c>
    </row>
    <row r="2490" spans="1:15" x14ac:dyDescent="0.3">
      <c r="A2490">
        <v>47488</v>
      </c>
      <c r="B2490" t="s">
        <v>24</v>
      </c>
      <c r="C2490" t="s">
        <v>31</v>
      </c>
      <c r="D2490">
        <v>298</v>
      </c>
      <c r="E2490">
        <v>80</v>
      </c>
      <c r="F2490">
        <v>473.39</v>
      </c>
      <c r="G2490" t="s">
        <v>33</v>
      </c>
      <c r="H2490" s="1">
        <v>45464</v>
      </c>
      <c r="I2490" s="1">
        <v>45485</v>
      </c>
      <c r="J2490" t="s">
        <v>37</v>
      </c>
      <c r="K2490" t="b">
        <f>Table1[[#This Row],[CurrentStock]]&lt;Table1[[#This Row],[ReorderLevel]]</f>
        <v>0</v>
      </c>
      <c r="L2490" s="9">
        <f>Table1[[#This Row],[CurrentStock]]*Table1[[#This Row],[UnitPrice]]</f>
        <v>141070.22</v>
      </c>
      <c r="M2490" t="str">
        <f>IF(Table1[[#This Row],[ReorderLevel]]-Table1[[#This Row],[CurrentStock]]&gt;0,Table1[[#This Row],[ReorderLevel]]-Table1[[#This Row],[CurrentStock]],"")</f>
        <v/>
      </c>
      <c r="N2490" t="str">
        <f>IF(Table1[[#This Row],[CurrentStock]]&gt;Table1[[#This Row],[ReorderLevel]]*3,"Over Stock","Okay")</f>
        <v>Over Stock</v>
      </c>
      <c r="O2490" t="str">
        <f>IF(Table1[[#This Row],[CurrentStock]]&lt;Table1[[#This Row],[ReorderLevel]],"Reorder","Okay")</f>
        <v>Okay</v>
      </c>
    </row>
    <row r="2491" spans="1:15" x14ac:dyDescent="0.3">
      <c r="A2491">
        <v>84215</v>
      </c>
      <c r="B2491" t="s">
        <v>22</v>
      </c>
      <c r="C2491" t="s">
        <v>27</v>
      </c>
      <c r="D2491">
        <v>318</v>
      </c>
      <c r="E2491">
        <v>20</v>
      </c>
      <c r="F2491">
        <v>456.33</v>
      </c>
      <c r="G2491" t="s">
        <v>32</v>
      </c>
      <c r="H2491" s="1">
        <v>45642</v>
      </c>
      <c r="I2491" s="1">
        <v>45649</v>
      </c>
      <c r="J2491" t="s">
        <v>37</v>
      </c>
      <c r="K2491" t="b">
        <f>Table1[[#This Row],[CurrentStock]]&lt;Table1[[#This Row],[ReorderLevel]]</f>
        <v>0</v>
      </c>
      <c r="L2491" s="9">
        <f>Table1[[#This Row],[CurrentStock]]*Table1[[#This Row],[UnitPrice]]</f>
        <v>145112.94</v>
      </c>
      <c r="M2491" t="str">
        <f>IF(Table1[[#This Row],[ReorderLevel]]-Table1[[#This Row],[CurrentStock]]&gt;0,Table1[[#This Row],[ReorderLevel]]-Table1[[#This Row],[CurrentStock]],"")</f>
        <v/>
      </c>
      <c r="N2491" t="str">
        <f>IF(Table1[[#This Row],[CurrentStock]]&gt;Table1[[#This Row],[ReorderLevel]]*3,"Over Stock","Okay")</f>
        <v>Over Stock</v>
      </c>
      <c r="O2491" t="str">
        <f>IF(Table1[[#This Row],[CurrentStock]]&lt;Table1[[#This Row],[ReorderLevel]],"Reorder","Okay")</f>
        <v>Okay</v>
      </c>
    </row>
    <row r="2492" spans="1:15" x14ac:dyDescent="0.3">
      <c r="A2492">
        <v>26631</v>
      </c>
      <c r="B2492" t="s">
        <v>22</v>
      </c>
      <c r="C2492" t="s">
        <v>27</v>
      </c>
      <c r="D2492">
        <v>12</v>
      </c>
      <c r="E2492">
        <v>80</v>
      </c>
      <c r="F2492">
        <v>59.97</v>
      </c>
      <c r="G2492" t="s">
        <v>34</v>
      </c>
      <c r="H2492" s="1">
        <v>45499</v>
      </c>
      <c r="I2492" s="1">
        <v>45524</v>
      </c>
      <c r="J2492" t="s">
        <v>37</v>
      </c>
      <c r="K2492" t="b">
        <f>Table1[[#This Row],[CurrentStock]]&lt;Table1[[#This Row],[ReorderLevel]]</f>
        <v>1</v>
      </c>
      <c r="L2492" s="9">
        <f>Table1[[#This Row],[CurrentStock]]*Table1[[#This Row],[UnitPrice]]</f>
        <v>719.64</v>
      </c>
      <c r="M2492">
        <f>IF(Table1[[#This Row],[ReorderLevel]]-Table1[[#This Row],[CurrentStock]]&gt;0,Table1[[#This Row],[ReorderLevel]]-Table1[[#This Row],[CurrentStock]],"")</f>
        <v>68</v>
      </c>
      <c r="N2492" t="str">
        <f>IF(Table1[[#This Row],[CurrentStock]]&gt;Table1[[#This Row],[ReorderLevel]]*3,"Over Stock","Okay")</f>
        <v>Okay</v>
      </c>
      <c r="O2492" t="str">
        <f>IF(Table1[[#This Row],[CurrentStock]]&lt;Table1[[#This Row],[ReorderLevel]],"Reorder","Okay")</f>
        <v>Reorder</v>
      </c>
    </row>
    <row r="2493" spans="1:15" x14ac:dyDescent="0.3">
      <c r="A2493">
        <v>76904</v>
      </c>
      <c r="B2493" t="s">
        <v>22</v>
      </c>
      <c r="C2493" t="s">
        <v>27</v>
      </c>
      <c r="D2493">
        <v>200</v>
      </c>
      <c r="E2493">
        <v>20</v>
      </c>
      <c r="F2493">
        <v>22.57</v>
      </c>
      <c r="G2493" t="s">
        <v>32</v>
      </c>
      <c r="H2493" s="1">
        <v>45648</v>
      </c>
      <c r="I2493" s="1">
        <v>45676</v>
      </c>
      <c r="J2493" t="s">
        <v>37</v>
      </c>
      <c r="K2493" t="b">
        <f>Table1[[#This Row],[CurrentStock]]&lt;Table1[[#This Row],[ReorderLevel]]</f>
        <v>0</v>
      </c>
      <c r="L2493" s="9">
        <f>Table1[[#This Row],[CurrentStock]]*Table1[[#This Row],[UnitPrice]]</f>
        <v>4514</v>
      </c>
      <c r="M2493" t="str">
        <f>IF(Table1[[#This Row],[ReorderLevel]]-Table1[[#This Row],[CurrentStock]]&gt;0,Table1[[#This Row],[ReorderLevel]]-Table1[[#This Row],[CurrentStock]],"")</f>
        <v/>
      </c>
      <c r="N2493" t="str">
        <f>IF(Table1[[#This Row],[CurrentStock]]&gt;Table1[[#This Row],[ReorderLevel]]*3,"Over Stock","Okay")</f>
        <v>Over Stock</v>
      </c>
      <c r="O2493" t="str">
        <f>IF(Table1[[#This Row],[CurrentStock]]&lt;Table1[[#This Row],[ReorderLevel]],"Reorder","Okay")</f>
        <v>Okay</v>
      </c>
    </row>
    <row r="2494" spans="1:15" x14ac:dyDescent="0.3">
      <c r="A2494">
        <v>88651</v>
      </c>
      <c r="B2494" t="s">
        <v>16</v>
      </c>
      <c r="C2494" t="s">
        <v>30</v>
      </c>
      <c r="D2494">
        <v>423</v>
      </c>
      <c r="E2494">
        <v>40</v>
      </c>
      <c r="F2494">
        <v>357.01</v>
      </c>
      <c r="G2494" t="s">
        <v>33</v>
      </c>
      <c r="H2494" s="1">
        <v>45327</v>
      </c>
      <c r="I2494" s="1">
        <v>45346</v>
      </c>
      <c r="J2494" t="s">
        <v>37</v>
      </c>
      <c r="K2494" t="b">
        <f>Table1[[#This Row],[CurrentStock]]&lt;Table1[[#This Row],[ReorderLevel]]</f>
        <v>0</v>
      </c>
      <c r="L2494" s="9">
        <f>Table1[[#This Row],[CurrentStock]]*Table1[[#This Row],[UnitPrice]]</f>
        <v>151015.23000000001</v>
      </c>
      <c r="M2494" t="str">
        <f>IF(Table1[[#This Row],[ReorderLevel]]-Table1[[#This Row],[CurrentStock]]&gt;0,Table1[[#This Row],[ReorderLevel]]-Table1[[#This Row],[CurrentStock]],"")</f>
        <v/>
      </c>
      <c r="N2494" t="str">
        <f>IF(Table1[[#This Row],[CurrentStock]]&gt;Table1[[#This Row],[ReorderLevel]]*3,"Over Stock","Okay")</f>
        <v>Over Stock</v>
      </c>
      <c r="O2494" t="str">
        <f>IF(Table1[[#This Row],[CurrentStock]]&lt;Table1[[#This Row],[ReorderLevel]],"Reorder","Okay")</f>
        <v>Okay</v>
      </c>
    </row>
    <row r="2495" spans="1:15" x14ac:dyDescent="0.3">
      <c r="A2495">
        <v>51682</v>
      </c>
      <c r="B2495" t="s">
        <v>24</v>
      </c>
      <c r="C2495" t="s">
        <v>31</v>
      </c>
      <c r="D2495">
        <v>274</v>
      </c>
      <c r="E2495">
        <v>150</v>
      </c>
      <c r="F2495">
        <v>83.93</v>
      </c>
      <c r="G2495" t="s">
        <v>33</v>
      </c>
      <c r="H2495" s="1">
        <v>45576</v>
      </c>
      <c r="I2495" s="1">
        <v>45614</v>
      </c>
      <c r="J2495" t="s">
        <v>39</v>
      </c>
      <c r="K2495" t="b">
        <f>Table1[[#This Row],[CurrentStock]]&lt;Table1[[#This Row],[ReorderLevel]]</f>
        <v>0</v>
      </c>
      <c r="L2495" s="9">
        <f>Table1[[#This Row],[CurrentStock]]*Table1[[#This Row],[UnitPrice]]</f>
        <v>22996.820000000003</v>
      </c>
      <c r="M2495" t="str">
        <f>IF(Table1[[#This Row],[ReorderLevel]]-Table1[[#This Row],[CurrentStock]]&gt;0,Table1[[#This Row],[ReorderLevel]]-Table1[[#This Row],[CurrentStock]],"")</f>
        <v/>
      </c>
      <c r="N2495" t="str">
        <f>IF(Table1[[#This Row],[CurrentStock]]&gt;Table1[[#This Row],[ReorderLevel]]*3,"Over Stock","Okay")</f>
        <v>Okay</v>
      </c>
      <c r="O2495" t="str">
        <f>IF(Table1[[#This Row],[CurrentStock]]&lt;Table1[[#This Row],[ReorderLevel]],"Reorder","Okay")</f>
        <v>Okay</v>
      </c>
    </row>
    <row r="2496" spans="1:15" x14ac:dyDescent="0.3">
      <c r="A2496">
        <v>23416</v>
      </c>
      <c r="B2496" t="s">
        <v>22</v>
      </c>
      <c r="C2496" t="s">
        <v>27</v>
      </c>
      <c r="D2496">
        <v>261</v>
      </c>
      <c r="E2496">
        <v>150</v>
      </c>
      <c r="F2496">
        <v>457.99</v>
      </c>
      <c r="G2496" t="s">
        <v>36</v>
      </c>
      <c r="H2496" s="1">
        <v>45553</v>
      </c>
      <c r="I2496" s="1">
        <v>45588</v>
      </c>
      <c r="J2496" t="s">
        <v>37</v>
      </c>
      <c r="K2496" t="b">
        <f>Table1[[#This Row],[CurrentStock]]&lt;Table1[[#This Row],[ReorderLevel]]</f>
        <v>0</v>
      </c>
      <c r="L2496" s="9">
        <f>Table1[[#This Row],[CurrentStock]]*Table1[[#This Row],[UnitPrice]]</f>
        <v>119535.39</v>
      </c>
      <c r="M2496" t="str">
        <f>IF(Table1[[#This Row],[ReorderLevel]]-Table1[[#This Row],[CurrentStock]]&gt;0,Table1[[#This Row],[ReorderLevel]]-Table1[[#This Row],[CurrentStock]],"")</f>
        <v/>
      </c>
      <c r="N2496" t="str">
        <f>IF(Table1[[#This Row],[CurrentStock]]&gt;Table1[[#This Row],[ReorderLevel]]*3,"Over Stock","Okay")</f>
        <v>Okay</v>
      </c>
      <c r="O2496" t="str">
        <f>IF(Table1[[#This Row],[CurrentStock]]&lt;Table1[[#This Row],[ReorderLevel]],"Reorder","Okay")</f>
        <v>Okay</v>
      </c>
    </row>
    <row r="2497" spans="1:15" x14ac:dyDescent="0.3">
      <c r="A2497">
        <v>54550</v>
      </c>
      <c r="B2497" t="s">
        <v>14</v>
      </c>
      <c r="C2497" t="s">
        <v>27</v>
      </c>
      <c r="D2497">
        <v>342</v>
      </c>
      <c r="E2497">
        <v>100</v>
      </c>
      <c r="F2497">
        <v>206.25</v>
      </c>
      <c r="G2497" t="s">
        <v>33</v>
      </c>
      <c r="H2497" s="1">
        <v>45455</v>
      </c>
      <c r="I2497" s="1">
        <v>45484</v>
      </c>
      <c r="J2497" t="s">
        <v>37</v>
      </c>
      <c r="K2497" t="b">
        <f>Table1[[#This Row],[CurrentStock]]&lt;Table1[[#This Row],[ReorderLevel]]</f>
        <v>0</v>
      </c>
      <c r="L2497" s="9">
        <f>Table1[[#This Row],[CurrentStock]]*Table1[[#This Row],[UnitPrice]]</f>
        <v>70537.5</v>
      </c>
      <c r="M2497" t="str">
        <f>IF(Table1[[#This Row],[ReorderLevel]]-Table1[[#This Row],[CurrentStock]]&gt;0,Table1[[#This Row],[ReorderLevel]]-Table1[[#This Row],[CurrentStock]],"")</f>
        <v/>
      </c>
      <c r="N2497" t="str">
        <f>IF(Table1[[#This Row],[CurrentStock]]&gt;Table1[[#This Row],[ReorderLevel]]*3,"Over Stock","Okay")</f>
        <v>Over Stock</v>
      </c>
      <c r="O2497" t="str">
        <f>IF(Table1[[#This Row],[CurrentStock]]&lt;Table1[[#This Row],[ReorderLevel]],"Reorder","Okay")</f>
        <v>Okay</v>
      </c>
    </row>
    <row r="2498" spans="1:15" x14ac:dyDescent="0.3">
      <c r="A2498">
        <v>84861</v>
      </c>
      <c r="B2498" t="s">
        <v>10</v>
      </c>
      <c r="C2498" t="s">
        <v>27</v>
      </c>
      <c r="D2498">
        <v>273</v>
      </c>
      <c r="E2498">
        <v>30</v>
      </c>
      <c r="F2498">
        <v>250.07</v>
      </c>
      <c r="G2498" t="s">
        <v>35</v>
      </c>
      <c r="H2498" s="1">
        <v>45370</v>
      </c>
      <c r="I2498" s="1">
        <v>45409</v>
      </c>
      <c r="J2498" t="s">
        <v>38</v>
      </c>
      <c r="K2498" t="b">
        <f>Table1[[#This Row],[CurrentStock]]&lt;Table1[[#This Row],[ReorderLevel]]</f>
        <v>0</v>
      </c>
      <c r="L2498" s="9">
        <f>Table1[[#This Row],[CurrentStock]]*Table1[[#This Row],[UnitPrice]]</f>
        <v>68269.11</v>
      </c>
      <c r="M2498" t="str">
        <f>IF(Table1[[#This Row],[ReorderLevel]]-Table1[[#This Row],[CurrentStock]]&gt;0,Table1[[#This Row],[ReorderLevel]]-Table1[[#This Row],[CurrentStock]],"")</f>
        <v/>
      </c>
      <c r="N2498" t="str">
        <f>IF(Table1[[#This Row],[CurrentStock]]&gt;Table1[[#This Row],[ReorderLevel]]*3,"Over Stock","Okay")</f>
        <v>Over Stock</v>
      </c>
      <c r="O2498" t="str">
        <f>IF(Table1[[#This Row],[CurrentStock]]&lt;Table1[[#This Row],[ReorderLevel]],"Reorder","Okay")</f>
        <v>Okay</v>
      </c>
    </row>
    <row r="2499" spans="1:15" x14ac:dyDescent="0.3">
      <c r="A2499">
        <v>29749</v>
      </c>
      <c r="B2499" t="s">
        <v>17</v>
      </c>
      <c r="C2499" t="s">
        <v>30</v>
      </c>
      <c r="D2499">
        <v>454</v>
      </c>
      <c r="E2499">
        <v>20</v>
      </c>
      <c r="F2499">
        <v>437.76</v>
      </c>
      <c r="G2499" t="s">
        <v>32</v>
      </c>
      <c r="H2499" s="1">
        <v>45655</v>
      </c>
      <c r="I2499" s="1">
        <v>45689</v>
      </c>
      <c r="J2499" t="s">
        <v>39</v>
      </c>
      <c r="K2499" t="b">
        <f>Table1[[#This Row],[CurrentStock]]&lt;Table1[[#This Row],[ReorderLevel]]</f>
        <v>0</v>
      </c>
      <c r="L2499" s="9">
        <f>Table1[[#This Row],[CurrentStock]]*Table1[[#This Row],[UnitPrice]]</f>
        <v>198743.04000000001</v>
      </c>
      <c r="M2499" t="str">
        <f>IF(Table1[[#This Row],[ReorderLevel]]-Table1[[#This Row],[CurrentStock]]&gt;0,Table1[[#This Row],[ReorderLevel]]-Table1[[#This Row],[CurrentStock]],"")</f>
        <v/>
      </c>
      <c r="N2499" t="str">
        <f>IF(Table1[[#This Row],[CurrentStock]]&gt;Table1[[#This Row],[ReorderLevel]]*3,"Over Stock","Okay")</f>
        <v>Over Stock</v>
      </c>
      <c r="O2499" t="str">
        <f>IF(Table1[[#This Row],[CurrentStock]]&lt;Table1[[#This Row],[ReorderLevel]],"Reorder","Okay")</f>
        <v>Okay</v>
      </c>
    </row>
    <row r="2500" spans="1:15" x14ac:dyDescent="0.3">
      <c r="A2500">
        <v>52635</v>
      </c>
      <c r="B2500" t="s">
        <v>10</v>
      </c>
      <c r="C2500" t="s">
        <v>27</v>
      </c>
      <c r="D2500">
        <v>84</v>
      </c>
      <c r="E2500">
        <v>80</v>
      </c>
      <c r="F2500">
        <v>31.22</v>
      </c>
      <c r="G2500" t="s">
        <v>33</v>
      </c>
      <c r="H2500" s="1">
        <v>45320</v>
      </c>
      <c r="I2500" s="1">
        <v>45348</v>
      </c>
      <c r="J2500" t="s">
        <v>39</v>
      </c>
      <c r="K2500" t="b">
        <f>Table1[[#This Row],[CurrentStock]]&lt;Table1[[#This Row],[ReorderLevel]]</f>
        <v>0</v>
      </c>
      <c r="L2500" s="9">
        <f>Table1[[#This Row],[CurrentStock]]*Table1[[#This Row],[UnitPrice]]</f>
        <v>2622.48</v>
      </c>
      <c r="M2500" t="str">
        <f>IF(Table1[[#This Row],[ReorderLevel]]-Table1[[#This Row],[CurrentStock]]&gt;0,Table1[[#This Row],[ReorderLevel]]-Table1[[#This Row],[CurrentStock]],"")</f>
        <v/>
      </c>
      <c r="N2500" t="str">
        <f>IF(Table1[[#This Row],[CurrentStock]]&gt;Table1[[#This Row],[ReorderLevel]]*3,"Over Stock","Okay")</f>
        <v>Okay</v>
      </c>
      <c r="O2500" t="str">
        <f>IF(Table1[[#This Row],[CurrentStock]]&lt;Table1[[#This Row],[ReorderLevel]],"Reorder","Okay")</f>
        <v>Okay</v>
      </c>
    </row>
    <row r="2501" spans="1:15" x14ac:dyDescent="0.3">
      <c r="A2501">
        <v>84548</v>
      </c>
      <c r="B2501" t="s">
        <v>15</v>
      </c>
      <c r="C2501" t="s">
        <v>29</v>
      </c>
      <c r="D2501">
        <v>399</v>
      </c>
      <c r="E2501">
        <v>80</v>
      </c>
      <c r="F2501">
        <v>454.38</v>
      </c>
      <c r="G2501" t="s">
        <v>35</v>
      </c>
      <c r="H2501" s="1">
        <v>45481</v>
      </c>
      <c r="I2501" s="1">
        <v>45516</v>
      </c>
      <c r="J2501" t="s">
        <v>37</v>
      </c>
      <c r="K2501" t="b">
        <f>Table1[[#This Row],[CurrentStock]]&lt;Table1[[#This Row],[ReorderLevel]]</f>
        <v>0</v>
      </c>
      <c r="L2501" s="9">
        <f>Table1[[#This Row],[CurrentStock]]*Table1[[#This Row],[UnitPrice]]</f>
        <v>181297.62</v>
      </c>
      <c r="M2501" t="str">
        <f>IF(Table1[[#This Row],[ReorderLevel]]-Table1[[#This Row],[CurrentStock]]&gt;0,Table1[[#This Row],[ReorderLevel]]-Table1[[#This Row],[CurrentStock]],"")</f>
        <v/>
      </c>
      <c r="N2501" t="str">
        <f>IF(Table1[[#This Row],[CurrentStock]]&gt;Table1[[#This Row],[ReorderLevel]]*3,"Over Stock","Okay")</f>
        <v>Over Stock</v>
      </c>
      <c r="O2501" t="str">
        <f>IF(Table1[[#This Row],[CurrentStock]]&lt;Table1[[#This Row],[ReorderLevel]],"Reorder","Okay")</f>
        <v>Okay</v>
      </c>
    </row>
    <row r="2502" spans="1:15" x14ac:dyDescent="0.3">
      <c r="A2502">
        <v>95916</v>
      </c>
      <c r="B2502" t="s">
        <v>19</v>
      </c>
      <c r="C2502" t="s">
        <v>28</v>
      </c>
      <c r="D2502">
        <v>409</v>
      </c>
      <c r="E2502">
        <v>80</v>
      </c>
      <c r="F2502">
        <v>391.02</v>
      </c>
      <c r="G2502" t="s">
        <v>36</v>
      </c>
      <c r="H2502" s="1">
        <v>45441</v>
      </c>
      <c r="I2502" s="1">
        <v>45466</v>
      </c>
      <c r="J2502" t="s">
        <v>39</v>
      </c>
      <c r="K2502" t="b">
        <f>Table1[[#This Row],[CurrentStock]]&lt;Table1[[#This Row],[ReorderLevel]]</f>
        <v>0</v>
      </c>
      <c r="L2502" s="9">
        <f>Table1[[#This Row],[CurrentStock]]*Table1[[#This Row],[UnitPrice]]</f>
        <v>159927.18</v>
      </c>
      <c r="M2502" t="str">
        <f>IF(Table1[[#This Row],[ReorderLevel]]-Table1[[#This Row],[CurrentStock]]&gt;0,Table1[[#This Row],[ReorderLevel]]-Table1[[#This Row],[CurrentStock]],"")</f>
        <v/>
      </c>
      <c r="N2502" t="str">
        <f>IF(Table1[[#This Row],[CurrentStock]]&gt;Table1[[#This Row],[ReorderLevel]]*3,"Over Stock","Okay")</f>
        <v>Over Stock</v>
      </c>
      <c r="O2502" t="str">
        <f>IF(Table1[[#This Row],[CurrentStock]]&lt;Table1[[#This Row],[ReorderLevel]],"Reorder","Okay")</f>
        <v>Okay</v>
      </c>
    </row>
    <row r="2503" spans="1:15" x14ac:dyDescent="0.3">
      <c r="A2503">
        <v>95799</v>
      </c>
      <c r="B2503" t="s">
        <v>23</v>
      </c>
      <c r="C2503" t="s">
        <v>30</v>
      </c>
      <c r="D2503">
        <v>81</v>
      </c>
      <c r="E2503">
        <v>50</v>
      </c>
      <c r="F2503">
        <v>222.63</v>
      </c>
      <c r="G2503" t="s">
        <v>35</v>
      </c>
      <c r="H2503" s="1">
        <v>45368</v>
      </c>
      <c r="I2503" s="1">
        <v>45376</v>
      </c>
      <c r="J2503" t="s">
        <v>37</v>
      </c>
      <c r="K2503" t="b">
        <f>Table1[[#This Row],[CurrentStock]]&lt;Table1[[#This Row],[ReorderLevel]]</f>
        <v>0</v>
      </c>
      <c r="L2503" s="9">
        <f>Table1[[#This Row],[CurrentStock]]*Table1[[#This Row],[UnitPrice]]</f>
        <v>18033.03</v>
      </c>
      <c r="M2503" t="str">
        <f>IF(Table1[[#This Row],[ReorderLevel]]-Table1[[#This Row],[CurrentStock]]&gt;0,Table1[[#This Row],[ReorderLevel]]-Table1[[#This Row],[CurrentStock]],"")</f>
        <v/>
      </c>
      <c r="N2503" t="str">
        <f>IF(Table1[[#This Row],[CurrentStock]]&gt;Table1[[#This Row],[ReorderLevel]]*3,"Over Stock","Okay")</f>
        <v>Okay</v>
      </c>
      <c r="O2503" t="str">
        <f>IF(Table1[[#This Row],[CurrentStock]]&lt;Table1[[#This Row],[ReorderLevel]],"Reorder","Okay")</f>
        <v>Okay</v>
      </c>
    </row>
    <row r="2504" spans="1:15" x14ac:dyDescent="0.3">
      <c r="A2504">
        <v>46326</v>
      </c>
      <c r="B2504" t="s">
        <v>14</v>
      </c>
      <c r="C2504" t="s">
        <v>27</v>
      </c>
      <c r="D2504">
        <v>247</v>
      </c>
      <c r="E2504">
        <v>100</v>
      </c>
      <c r="F2504">
        <v>441.36</v>
      </c>
      <c r="G2504" t="s">
        <v>32</v>
      </c>
      <c r="H2504" s="1">
        <v>45361</v>
      </c>
      <c r="I2504" s="1">
        <v>45374</v>
      </c>
      <c r="J2504" t="s">
        <v>39</v>
      </c>
      <c r="K2504" t="b">
        <f>Table1[[#This Row],[CurrentStock]]&lt;Table1[[#This Row],[ReorderLevel]]</f>
        <v>0</v>
      </c>
      <c r="L2504" s="9">
        <f>Table1[[#This Row],[CurrentStock]]*Table1[[#This Row],[UnitPrice]]</f>
        <v>109015.92</v>
      </c>
      <c r="M2504" t="str">
        <f>IF(Table1[[#This Row],[ReorderLevel]]-Table1[[#This Row],[CurrentStock]]&gt;0,Table1[[#This Row],[ReorderLevel]]-Table1[[#This Row],[CurrentStock]],"")</f>
        <v/>
      </c>
      <c r="N2504" t="str">
        <f>IF(Table1[[#This Row],[CurrentStock]]&gt;Table1[[#This Row],[ReorderLevel]]*3,"Over Stock","Okay")</f>
        <v>Okay</v>
      </c>
      <c r="O2504" t="str">
        <f>IF(Table1[[#This Row],[CurrentStock]]&lt;Table1[[#This Row],[ReorderLevel]],"Reorder","Okay")</f>
        <v>Okay</v>
      </c>
    </row>
    <row r="2505" spans="1:15" x14ac:dyDescent="0.3">
      <c r="A2505">
        <v>78718</v>
      </c>
      <c r="B2505" t="s">
        <v>12</v>
      </c>
      <c r="C2505" t="s">
        <v>28</v>
      </c>
      <c r="D2505">
        <v>11</v>
      </c>
      <c r="E2505">
        <v>100</v>
      </c>
      <c r="F2505">
        <v>34.42</v>
      </c>
      <c r="G2505" t="s">
        <v>32</v>
      </c>
      <c r="H2505" s="1">
        <v>45292</v>
      </c>
      <c r="I2505" s="1">
        <v>45311</v>
      </c>
      <c r="J2505" t="s">
        <v>37</v>
      </c>
      <c r="K2505" t="b">
        <f>Table1[[#This Row],[CurrentStock]]&lt;Table1[[#This Row],[ReorderLevel]]</f>
        <v>1</v>
      </c>
      <c r="L2505" s="9">
        <f>Table1[[#This Row],[CurrentStock]]*Table1[[#This Row],[UnitPrice]]</f>
        <v>378.62</v>
      </c>
      <c r="M2505">
        <f>IF(Table1[[#This Row],[ReorderLevel]]-Table1[[#This Row],[CurrentStock]]&gt;0,Table1[[#This Row],[ReorderLevel]]-Table1[[#This Row],[CurrentStock]],"")</f>
        <v>89</v>
      </c>
      <c r="N2505" t="str">
        <f>IF(Table1[[#This Row],[CurrentStock]]&gt;Table1[[#This Row],[ReorderLevel]]*3,"Over Stock","Okay")</f>
        <v>Okay</v>
      </c>
      <c r="O2505" t="str">
        <f>IF(Table1[[#This Row],[CurrentStock]]&lt;Table1[[#This Row],[ReorderLevel]],"Reorder","Okay")</f>
        <v>Reorder</v>
      </c>
    </row>
    <row r="2506" spans="1:15" x14ac:dyDescent="0.3">
      <c r="A2506">
        <v>43083</v>
      </c>
      <c r="B2506" t="s">
        <v>18</v>
      </c>
      <c r="C2506" t="s">
        <v>28</v>
      </c>
      <c r="D2506">
        <v>450</v>
      </c>
      <c r="E2506">
        <v>50</v>
      </c>
      <c r="F2506">
        <v>86.32</v>
      </c>
      <c r="G2506" t="s">
        <v>33</v>
      </c>
      <c r="H2506" s="1">
        <v>45330</v>
      </c>
      <c r="I2506" s="1">
        <v>45365</v>
      </c>
      <c r="J2506" t="s">
        <v>37</v>
      </c>
      <c r="K2506" t="b">
        <f>Table1[[#This Row],[CurrentStock]]&lt;Table1[[#This Row],[ReorderLevel]]</f>
        <v>0</v>
      </c>
      <c r="L2506" s="9">
        <f>Table1[[#This Row],[CurrentStock]]*Table1[[#This Row],[UnitPrice]]</f>
        <v>38844</v>
      </c>
      <c r="M2506" t="str">
        <f>IF(Table1[[#This Row],[ReorderLevel]]-Table1[[#This Row],[CurrentStock]]&gt;0,Table1[[#This Row],[ReorderLevel]]-Table1[[#This Row],[CurrentStock]],"")</f>
        <v/>
      </c>
      <c r="N2506" t="str">
        <f>IF(Table1[[#This Row],[CurrentStock]]&gt;Table1[[#This Row],[ReorderLevel]]*3,"Over Stock","Okay")</f>
        <v>Over Stock</v>
      </c>
      <c r="O2506" t="str">
        <f>IF(Table1[[#This Row],[CurrentStock]]&lt;Table1[[#This Row],[ReorderLevel]],"Reorder","Okay")</f>
        <v>Okay</v>
      </c>
    </row>
    <row r="2507" spans="1:15" x14ac:dyDescent="0.3">
      <c r="A2507">
        <v>22651</v>
      </c>
      <c r="B2507" t="s">
        <v>19</v>
      </c>
      <c r="C2507" t="s">
        <v>28</v>
      </c>
      <c r="D2507">
        <v>103</v>
      </c>
      <c r="E2507">
        <v>40</v>
      </c>
      <c r="F2507">
        <v>282.52</v>
      </c>
      <c r="G2507" t="s">
        <v>32</v>
      </c>
      <c r="H2507" s="1">
        <v>45380</v>
      </c>
      <c r="I2507" s="1">
        <v>45397</v>
      </c>
      <c r="J2507" t="s">
        <v>39</v>
      </c>
      <c r="K2507" t="b">
        <f>Table1[[#This Row],[CurrentStock]]&lt;Table1[[#This Row],[ReorderLevel]]</f>
        <v>0</v>
      </c>
      <c r="L2507" s="9">
        <f>Table1[[#This Row],[CurrentStock]]*Table1[[#This Row],[UnitPrice]]</f>
        <v>29099.559999999998</v>
      </c>
      <c r="M2507" t="str">
        <f>IF(Table1[[#This Row],[ReorderLevel]]-Table1[[#This Row],[CurrentStock]]&gt;0,Table1[[#This Row],[ReorderLevel]]-Table1[[#This Row],[CurrentStock]],"")</f>
        <v/>
      </c>
      <c r="N2507" t="str">
        <f>IF(Table1[[#This Row],[CurrentStock]]&gt;Table1[[#This Row],[ReorderLevel]]*3,"Over Stock","Okay")</f>
        <v>Okay</v>
      </c>
      <c r="O2507" t="str">
        <f>IF(Table1[[#This Row],[CurrentStock]]&lt;Table1[[#This Row],[ReorderLevel]],"Reorder","Okay")</f>
        <v>Okay</v>
      </c>
    </row>
    <row r="2508" spans="1:15" x14ac:dyDescent="0.3">
      <c r="A2508">
        <v>62136</v>
      </c>
      <c r="B2508" t="s">
        <v>11</v>
      </c>
      <c r="C2508" t="s">
        <v>27</v>
      </c>
      <c r="D2508">
        <v>451</v>
      </c>
      <c r="E2508">
        <v>40</v>
      </c>
      <c r="F2508">
        <v>495.15</v>
      </c>
      <c r="G2508" t="s">
        <v>32</v>
      </c>
      <c r="H2508" s="1">
        <v>45392</v>
      </c>
      <c r="I2508" s="1">
        <v>45421</v>
      </c>
      <c r="J2508" t="s">
        <v>37</v>
      </c>
      <c r="K2508" t="b">
        <f>Table1[[#This Row],[CurrentStock]]&lt;Table1[[#This Row],[ReorderLevel]]</f>
        <v>0</v>
      </c>
      <c r="L2508" s="9">
        <f>Table1[[#This Row],[CurrentStock]]*Table1[[#This Row],[UnitPrice]]</f>
        <v>223312.65</v>
      </c>
      <c r="M2508" t="str">
        <f>IF(Table1[[#This Row],[ReorderLevel]]-Table1[[#This Row],[CurrentStock]]&gt;0,Table1[[#This Row],[ReorderLevel]]-Table1[[#This Row],[CurrentStock]],"")</f>
        <v/>
      </c>
      <c r="N2508" t="str">
        <f>IF(Table1[[#This Row],[CurrentStock]]&gt;Table1[[#This Row],[ReorderLevel]]*3,"Over Stock","Okay")</f>
        <v>Over Stock</v>
      </c>
      <c r="O2508" t="str">
        <f>IF(Table1[[#This Row],[CurrentStock]]&lt;Table1[[#This Row],[ReorderLevel]],"Reorder","Okay")</f>
        <v>Okay</v>
      </c>
    </row>
    <row r="2509" spans="1:15" x14ac:dyDescent="0.3">
      <c r="A2509">
        <v>55213</v>
      </c>
      <c r="B2509" t="s">
        <v>18</v>
      </c>
      <c r="C2509" t="s">
        <v>28</v>
      </c>
      <c r="D2509">
        <v>75</v>
      </c>
      <c r="E2509">
        <v>40</v>
      </c>
      <c r="F2509">
        <v>277.42</v>
      </c>
      <c r="G2509" t="s">
        <v>35</v>
      </c>
      <c r="H2509" s="1">
        <v>45367</v>
      </c>
      <c r="I2509" s="1">
        <v>45381</v>
      </c>
      <c r="J2509" t="s">
        <v>38</v>
      </c>
      <c r="K2509" t="b">
        <f>Table1[[#This Row],[CurrentStock]]&lt;Table1[[#This Row],[ReorderLevel]]</f>
        <v>0</v>
      </c>
      <c r="L2509" s="9">
        <f>Table1[[#This Row],[CurrentStock]]*Table1[[#This Row],[UnitPrice]]</f>
        <v>20806.5</v>
      </c>
      <c r="M2509" t="str">
        <f>IF(Table1[[#This Row],[ReorderLevel]]-Table1[[#This Row],[CurrentStock]]&gt;0,Table1[[#This Row],[ReorderLevel]]-Table1[[#This Row],[CurrentStock]],"")</f>
        <v/>
      </c>
      <c r="N2509" t="str">
        <f>IF(Table1[[#This Row],[CurrentStock]]&gt;Table1[[#This Row],[ReorderLevel]]*3,"Over Stock","Okay")</f>
        <v>Okay</v>
      </c>
      <c r="O2509" t="str">
        <f>IF(Table1[[#This Row],[CurrentStock]]&lt;Table1[[#This Row],[ReorderLevel]],"Reorder","Okay")</f>
        <v>Okay</v>
      </c>
    </row>
    <row r="2510" spans="1:15" x14ac:dyDescent="0.3">
      <c r="A2510">
        <v>89211</v>
      </c>
      <c r="B2510" t="s">
        <v>16</v>
      </c>
      <c r="C2510" t="s">
        <v>30</v>
      </c>
      <c r="D2510">
        <v>120</v>
      </c>
      <c r="E2510">
        <v>100</v>
      </c>
      <c r="F2510">
        <v>30.82</v>
      </c>
      <c r="G2510" t="s">
        <v>36</v>
      </c>
      <c r="H2510" s="1">
        <v>45632</v>
      </c>
      <c r="I2510" s="1">
        <v>45664</v>
      </c>
      <c r="J2510" t="s">
        <v>37</v>
      </c>
      <c r="K2510" t="b">
        <f>Table1[[#This Row],[CurrentStock]]&lt;Table1[[#This Row],[ReorderLevel]]</f>
        <v>0</v>
      </c>
      <c r="L2510" s="9">
        <f>Table1[[#This Row],[CurrentStock]]*Table1[[#This Row],[UnitPrice]]</f>
        <v>3698.4</v>
      </c>
      <c r="M2510" t="str">
        <f>IF(Table1[[#This Row],[ReorderLevel]]-Table1[[#This Row],[CurrentStock]]&gt;0,Table1[[#This Row],[ReorderLevel]]-Table1[[#This Row],[CurrentStock]],"")</f>
        <v/>
      </c>
      <c r="N2510" t="str">
        <f>IF(Table1[[#This Row],[CurrentStock]]&gt;Table1[[#This Row],[ReorderLevel]]*3,"Over Stock","Okay")</f>
        <v>Okay</v>
      </c>
      <c r="O2510" t="str">
        <f>IF(Table1[[#This Row],[CurrentStock]]&lt;Table1[[#This Row],[ReorderLevel]],"Reorder","Okay")</f>
        <v>Okay</v>
      </c>
    </row>
    <row r="2511" spans="1:15" x14ac:dyDescent="0.3">
      <c r="A2511">
        <v>86964</v>
      </c>
      <c r="B2511" t="s">
        <v>13</v>
      </c>
      <c r="C2511" t="s">
        <v>29</v>
      </c>
      <c r="D2511">
        <v>76</v>
      </c>
      <c r="E2511">
        <v>30</v>
      </c>
      <c r="F2511">
        <v>185.4</v>
      </c>
      <c r="G2511" t="s">
        <v>36</v>
      </c>
      <c r="H2511" s="1">
        <v>45348</v>
      </c>
      <c r="I2511" s="1">
        <v>45380</v>
      </c>
      <c r="J2511" t="s">
        <v>39</v>
      </c>
      <c r="K2511" t="b">
        <f>Table1[[#This Row],[CurrentStock]]&lt;Table1[[#This Row],[ReorderLevel]]</f>
        <v>0</v>
      </c>
      <c r="L2511" s="9">
        <f>Table1[[#This Row],[CurrentStock]]*Table1[[#This Row],[UnitPrice]]</f>
        <v>14090.4</v>
      </c>
      <c r="M2511" t="str">
        <f>IF(Table1[[#This Row],[ReorderLevel]]-Table1[[#This Row],[CurrentStock]]&gt;0,Table1[[#This Row],[ReorderLevel]]-Table1[[#This Row],[CurrentStock]],"")</f>
        <v/>
      </c>
      <c r="N2511" t="str">
        <f>IF(Table1[[#This Row],[CurrentStock]]&gt;Table1[[#This Row],[ReorderLevel]]*3,"Over Stock","Okay")</f>
        <v>Okay</v>
      </c>
      <c r="O2511" t="str">
        <f>IF(Table1[[#This Row],[CurrentStock]]&lt;Table1[[#This Row],[ReorderLevel]],"Reorder","Okay")</f>
        <v>Okay</v>
      </c>
    </row>
    <row r="2512" spans="1:15" x14ac:dyDescent="0.3">
      <c r="A2512">
        <v>44563</v>
      </c>
      <c r="B2512" t="s">
        <v>14</v>
      </c>
      <c r="C2512" t="s">
        <v>27</v>
      </c>
      <c r="D2512">
        <v>155</v>
      </c>
      <c r="E2512">
        <v>150</v>
      </c>
      <c r="F2512">
        <v>346.56</v>
      </c>
      <c r="G2512" t="s">
        <v>35</v>
      </c>
      <c r="H2512" s="1">
        <v>45547</v>
      </c>
      <c r="I2512" s="1">
        <v>45583</v>
      </c>
      <c r="J2512" t="s">
        <v>37</v>
      </c>
      <c r="K2512" t="b">
        <f>Table1[[#This Row],[CurrentStock]]&lt;Table1[[#This Row],[ReorderLevel]]</f>
        <v>0</v>
      </c>
      <c r="L2512" s="9">
        <f>Table1[[#This Row],[CurrentStock]]*Table1[[#This Row],[UnitPrice]]</f>
        <v>53716.800000000003</v>
      </c>
      <c r="M2512" t="str">
        <f>IF(Table1[[#This Row],[ReorderLevel]]-Table1[[#This Row],[CurrentStock]]&gt;0,Table1[[#This Row],[ReorderLevel]]-Table1[[#This Row],[CurrentStock]],"")</f>
        <v/>
      </c>
      <c r="N2512" t="str">
        <f>IF(Table1[[#This Row],[CurrentStock]]&gt;Table1[[#This Row],[ReorderLevel]]*3,"Over Stock","Okay")</f>
        <v>Okay</v>
      </c>
      <c r="O2512" t="str">
        <f>IF(Table1[[#This Row],[CurrentStock]]&lt;Table1[[#This Row],[ReorderLevel]],"Reorder","Okay")</f>
        <v>Okay</v>
      </c>
    </row>
    <row r="2513" spans="1:15" x14ac:dyDescent="0.3">
      <c r="A2513">
        <v>45377</v>
      </c>
      <c r="B2513" t="s">
        <v>25</v>
      </c>
      <c r="C2513" t="s">
        <v>31</v>
      </c>
      <c r="D2513">
        <v>348</v>
      </c>
      <c r="E2513">
        <v>20</v>
      </c>
      <c r="F2513">
        <v>97.86</v>
      </c>
      <c r="G2513" t="s">
        <v>33</v>
      </c>
      <c r="H2513" s="1">
        <v>45293</v>
      </c>
      <c r="I2513" s="1">
        <v>45330</v>
      </c>
      <c r="J2513" t="s">
        <v>38</v>
      </c>
      <c r="K2513" t="b">
        <f>Table1[[#This Row],[CurrentStock]]&lt;Table1[[#This Row],[ReorderLevel]]</f>
        <v>0</v>
      </c>
      <c r="L2513" s="9">
        <f>Table1[[#This Row],[CurrentStock]]*Table1[[#This Row],[UnitPrice]]</f>
        <v>34055.279999999999</v>
      </c>
      <c r="M2513" t="str">
        <f>IF(Table1[[#This Row],[ReorderLevel]]-Table1[[#This Row],[CurrentStock]]&gt;0,Table1[[#This Row],[ReorderLevel]]-Table1[[#This Row],[CurrentStock]],"")</f>
        <v/>
      </c>
      <c r="N2513" t="str">
        <f>IF(Table1[[#This Row],[CurrentStock]]&gt;Table1[[#This Row],[ReorderLevel]]*3,"Over Stock","Okay")</f>
        <v>Over Stock</v>
      </c>
      <c r="O2513" t="str">
        <f>IF(Table1[[#This Row],[CurrentStock]]&lt;Table1[[#This Row],[ReorderLevel]],"Reorder","Okay")</f>
        <v>Okay</v>
      </c>
    </row>
    <row r="2514" spans="1:15" x14ac:dyDescent="0.3">
      <c r="A2514">
        <v>33434</v>
      </c>
      <c r="B2514" t="s">
        <v>22</v>
      </c>
      <c r="C2514" t="s">
        <v>27</v>
      </c>
      <c r="D2514">
        <v>186</v>
      </c>
      <c r="E2514">
        <v>100</v>
      </c>
      <c r="F2514">
        <v>226.17</v>
      </c>
      <c r="G2514" t="s">
        <v>32</v>
      </c>
      <c r="H2514" s="1">
        <v>45615</v>
      </c>
      <c r="I2514" s="1">
        <v>45636</v>
      </c>
      <c r="J2514" t="s">
        <v>39</v>
      </c>
      <c r="K2514" t="b">
        <f>Table1[[#This Row],[CurrentStock]]&lt;Table1[[#This Row],[ReorderLevel]]</f>
        <v>0</v>
      </c>
      <c r="L2514" s="9">
        <f>Table1[[#This Row],[CurrentStock]]*Table1[[#This Row],[UnitPrice]]</f>
        <v>42067.619999999995</v>
      </c>
      <c r="M2514" t="str">
        <f>IF(Table1[[#This Row],[ReorderLevel]]-Table1[[#This Row],[CurrentStock]]&gt;0,Table1[[#This Row],[ReorderLevel]]-Table1[[#This Row],[CurrentStock]],"")</f>
        <v/>
      </c>
      <c r="N2514" t="str">
        <f>IF(Table1[[#This Row],[CurrentStock]]&gt;Table1[[#This Row],[ReorderLevel]]*3,"Over Stock","Okay")</f>
        <v>Okay</v>
      </c>
      <c r="O2514" t="str">
        <f>IF(Table1[[#This Row],[CurrentStock]]&lt;Table1[[#This Row],[ReorderLevel]],"Reorder","Okay")</f>
        <v>Okay</v>
      </c>
    </row>
    <row r="2515" spans="1:15" x14ac:dyDescent="0.3">
      <c r="A2515">
        <v>34409</v>
      </c>
      <c r="B2515" t="s">
        <v>21</v>
      </c>
      <c r="C2515" t="s">
        <v>31</v>
      </c>
      <c r="D2515">
        <v>444</v>
      </c>
      <c r="E2515">
        <v>30</v>
      </c>
      <c r="F2515">
        <v>156.69999999999999</v>
      </c>
      <c r="G2515" t="s">
        <v>36</v>
      </c>
      <c r="H2515" s="1">
        <v>45556</v>
      </c>
      <c r="I2515" s="1">
        <v>45565</v>
      </c>
      <c r="J2515" t="s">
        <v>37</v>
      </c>
      <c r="K2515" t="b">
        <f>Table1[[#This Row],[CurrentStock]]&lt;Table1[[#This Row],[ReorderLevel]]</f>
        <v>0</v>
      </c>
      <c r="L2515" s="9">
        <f>Table1[[#This Row],[CurrentStock]]*Table1[[#This Row],[UnitPrice]]</f>
        <v>69574.799999999988</v>
      </c>
      <c r="M2515" t="str">
        <f>IF(Table1[[#This Row],[ReorderLevel]]-Table1[[#This Row],[CurrentStock]]&gt;0,Table1[[#This Row],[ReorderLevel]]-Table1[[#This Row],[CurrentStock]],"")</f>
        <v/>
      </c>
      <c r="N2515" t="str">
        <f>IF(Table1[[#This Row],[CurrentStock]]&gt;Table1[[#This Row],[ReorderLevel]]*3,"Over Stock","Okay")</f>
        <v>Over Stock</v>
      </c>
      <c r="O2515" t="str">
        <f>IF(Table1[[#This Row],[CurrentStock]]&lt;Table1[[#This Row],[ReorderLevel]],"Reorder","Okay")</f>
        <v>Okay</v>
      </c>
    </row>
    <row r="2516" spans="1:15" x14ac:dyDescent="0.3">
      <c r="A2516">
        <v>21027</v>
      </c>
      <c r="B2516" t="s">
        <v>19</v>
      </c>
      <c r="C2516" t="s">
        <v>28</v>
      </c>
      <c r="D2516">
        <v>220</v>
      </c>
      <c r="E2516">
        <v>80</v>
      </c>
      <c r="F2516">
        <v>276.52999999999997</v>
      </c>
      <c r="G2516" t="s">
        <v>33</v>
      </c>
      <c r="H2516" s="1">
        <v>45451</v>
      </c>
      <c r="I2516" s="1">
        <v>45463</v>
      </c>
      <c r="J2516" t="s">
        <v>38</v>
      </c>
      <c r="K2516" t="b">
        <f>Table1[[#This Row],[CurrentStock]]&lt;Table1[[#This Row],[ReorderLevel]]</f>
        <v>0</v>
      </c>
      <c r="L2516" s="9">
        <f>Table1[[#This Row],[CurrentStock]]*Table1[[#This Row],[UnitPrice]]</f>
        <v>60836.599999999991</v>
      </c>
      <c r="M2516" t="str">
        <f>IF(Table1[[#This Row],[ReorderLevel]]-Table1[[#This Row],[CurrentStock]]&gt;0,Table1[[#This Row],[ReorderLevel]]-Table1[[#This Row],[CurrentStock]],"")</f>
        <v/>
      </c>
      <c r="N2516" t="str">
        <f>IF(Table1[[#This Row],[CurrentStock]]&gt;Table1[[#This Row],[ReorderLevel]]*3,"Over Stock","Okay")</f>
        <v>Okay</v>
      </c>
      <c r="O2516" t="str">
        <f>IF(Table1[[#This Row],[CurrentStock]]&lt;Table1[[#This Row],[ReorderLevel]],"Reorder","Okay")</f>
        <v>Okay</v>
      </c>
    </row>
    <row r="2517" spans="1:15" x14ac:dyDescent="0.3">
      <c r="A2517">
        <v>83450</v>
      </c>
      <c r="B2517" t="s">
        <v>21</v>
      </c>
      <c r="C2517" t="s">
        <v>31</v>
      </c>
      <c r="D2517">
        <v>20</v>
      </c>
      <c r="E2517">
        <v>150</v>
      </c>
      <c r="F2517">
        <v>210.12</v>
      </c>
      <c r="G2517" t="s">
        <v>32</v>
      </c>
      <c r="H2517" s="1">
        <v>45552</v>
      </c>
      <c r="I2517" s="1">
        <v>45559</v>
      </c>
      <c r="J2517" t="s">
        <v>38</v>
      </c>
      <c r="K2517" t="b">
        <f>Table1[[#This Row],[CurrentStock]]&lt;Table1[[#This Row],[ReorderLevel]]</f>
        <v>1</v>
      </c>
      <c r="L2517" s="9">
        <f>Table1[[#This Row],[CurrentStock]]*Table1[[#This Row],[UnitPrice]]</f>
        <v>4202.3999999999996</v>
      </c>
      <c r="M2517">
        <f>IF(Table1[[#This Row],[ReorderLevel]]-Table1[[#This Row],[CurrentStock]]&gt;0,Table1[[#This Row],[ReorderLevel]]-Table1[[#This Row],[CurrentStock]],"")</f>
        <v>130</v>
      </c>
      <c r="N2517" t="str">
        <f>IF(Table1[[#This Row],[CurrentStock]]&gt;Table1[[#This Row],[ReorderLevel]]*3,"Over Stock","Okay")</f>
        <v>Okay</v>
      </c>
      <c r="O2517" t="str">
        <f>IF(Table1[[#This Row],[CurrentStock]]&lt;Table1[[#This Row],[ReorderLevel]],"Reorder","Okay")</f>
        <v>Reorder</v>
      </c>
    </row>
    <row r="2518" spans="1:15" x14ac:dyDescent="0.3">
      <c r="A2518">
        <v>54233</v>
      </c>
      <c r="B2518" t="s">
        <v>19</v>
      </c>
      <c r="C2518" t="s">
        <v>28</v>
      </c>
      <c r="D2518">
        <v>338</v>
      </c>
      <c r="E2518">
        <v>40</v>
      </c>
      <c r="F2518">
        <v>26.24</v>
      </c>
      <c r="G2518" t="s">
        <v>34</v>
      </c>
      <c r="H2518" s="1">
        <v>45586</v>
      </c>
      <c r="I2518" s="1">
        <v>45600</v>
      </c>
      <c r="J2518" t="s">
        <v>37</v>
      </c>
      <c r="K2518" t="b">
        <f>Table1[[#This Row],[CurrentStock]]&lt;Table1[[#This Row],[ReorderLevel]]</f>
        <v>0</v>
      </c>
      <c r="L2518" s="9">
        <f>Table1[[#This Row],[CurrentStock]]*Table1[[#This Row],[UnitPrice]]</f>
        <v>8869.119999999999</v>
      </c>
      <c r="M2518" t="str">
        <f>IF(Table1[[#This Row],[ReorderLevel]]-Table1[[#This Row],[CurrentStock]]&gt;0,Table1[[#This Row],[ReorderLevel]]-Table1[[#This Row],[CurrentStock]],"")</f>
        <v/>
      </c>
      <c r="N2518" t="str">
        <f>IF(Table1[[#This Row],[CurrentStock]]&gt;Table1[[#This Row],[ReorderLevel]]*3,"Over Stock","Okay")</f>
        <v>Over Stock</v>
      </c>
      <c r="O2518" t="str">
        <f>IF(Table1[[#This Row],[CurrentStock]]&lt;Table1[[#This Row],[ReorderLevel]],"Reorder","Okay")</f>
        <v>Okay</v>
      </c>
    </row>
    <row r="2519" spans="1:15" x14ac:dyDescent="0.3">
      <c r="A2519">
        <v>12082</v>
      </c>
      <c r="B2519" t="s">
        <v>23</v>
      </c>
      <c r="C2519" t="s">
        <v>30</v>
      </c>
      <c r="D2519">
        <v>65</v>
      </c>
      <c r="E2519">
        <v>100</v>
      </c>
      <c r="F2519">
        <v>49.46</v>
      </c>
      <c r="G2519" t="s">
        <v>36</v>
      </c>
      <c r="H2519" s="1">
        <v>45391</v>
      </c>
      <c r="I2519" s="1">
        <v>45408</v>
      </c>
      <c r="J2519" t="s">
        <v>39</v>
      </c>
      <c r="K2519" t="b">
        <f>Table1[[#This Row],[CurrentStock]]&lt;Table1[[#This Row],[ReorderLevel]]</f>
        <v>1</v>
      </c>
      <c r="L2519" s="9">
        <f>Table1[[#This Row],[CurrentStock]]*Table1[[#This Row],[UnitPrice]]</f>
        <v>3214.9</v>
      </c>
      <c r="M2519">
        <f>IF(Table1[[#This Row],[ReorderLevel]]-Table1[[#This Row],[CurrentStock]]&gt;0,Table1[[#This Row],[ReorderLevel]]-Table1[[#This Row],[CurrentStock]],"")</f>
        <v>35</v>
      </c>
      <c r="N2519" t="str">
        <f>IF(Table1[[#This Row],[CurrentStock]]&gt;Table1[[#This Row],[ReorderLevel]]*3,"Over Stock","Okay")</f>
        <v>Okay</v>
      </c>
      <c r="O2519" t="str">
        <f>IF(Table1[[#This Row],[CurrentStock]]&lt;Table1[[#This Row],[ReorderLevel]],"Reorder","Okay")</f>
        <v>Reorder</v>
      </c>
    </row>
    <row r="2520" spans="1:15" x14ac:dyDescent="0.3">
      <c r="A2520">
        <v>43268</v>
      </c>
      <c r="B2520" t="s">
        <v>15</v>
      </c>
      <c r="C2520" t="s">
        <v>29</v>
      </c>
      <c r="D2520">
        <v>16</v>
      </c>
      <c r="E2520">
        <v>80</v>
      </c>
      <c r="F2520">
        <v>228.09</v>
      </c>
      <c r="G2520" t="s">
        <v>33</v>
      </c>
      <c r="H2520" s="1">
        <v>45547</v>
      </c>
      <c r="I2520" s="1">
        <v>45575</v>
      </c>
      <c r="J2520" t="s">
        <v>38</v>
      </c>
      <c r="K2520" t="b">
        <f>Table1[[#This Row],[CurrentStock]]&lt;Table1[[#This Row],[ReorderLevel]]</f>
        <v>1</v>
      </c>
      <c r="L2520" s="9">
        <f>Table1[[#This Row],[CurrentStock]]*Table1[[#This Row],[UnitPrice]]</f>
        <v>3649.44</v>
      </c>
      <c r="M2520">
        <f>IF(Table1[[#This Row],[ReorderLevel]]-Table1[[#This Row],[CurrentStock]]&gt;0,Table1[[#This Row],[ReorderLevel]]-Table1[[#This Row],[CurrentStock]],"")</f>
        <v>64</v>
      </c>
      <c r="N2520" t="str">
        <f>IF(Table1[[#This Row],[CurrentStock]]&gt;Table1[[#This Row],[ReorderLevel]]*3,"Over Stock","Okay")</f>
        <v>Okay</v>
      </c>
      <c r="O2520" t="str">
        <f>IF(Table1[[#This Row],[CurrentStock]]&lt;Table1[[#This Row],[ReorderLevel]],"Reorder","Okay")</f>
        <v>Reorder</v>
      </c>
    </row>
    <row r="2521" spans="1:15" x14ac:dyDescent="0.3">
      <c r="A2521">
        <v>70361</v>
      </c>
      <c r="B2521" t="s">
        <v>19</v>
      </c>
      <c r="C2521" t="s">
        <v>28</v>
      </c>
      <c r="D2521">
        <v>90</v>
      </c>
      <c r="E2521">
        <v>40</v>
      </c>
      <c r="F2521">
        <v>278.01</v>
      </c>
      <c r="G2521" t="s">
        <v>36</v>
      </c>
      <c r="H2521" s="1">
        <v>45441</v>
      </c>
      <c r="I2521" s="1">
        <v>45472</v>
      </c>
      <c r="J2521" t="s">
        <v>38</v>
      </c>
      <c r="K2521" t="b">
        <f>Table1[[#This Row],[CurrentStock]]&lt;Table1[[#This Row],[ReorderLevel]]</f>
        <v>0</v>
      </c>
      <c r="L2521" s="9">
        <f>Table1[[#This Row],[CurrentStock]]*Table1[[#This Row],[UnitPrice]]</f>
        <v>25020.899999999998</v>
      </c>
      <c r="M2521" t="str">
        <f>IF(Table1[[#This Row],[ReorderLevel]]-Table1[[#This Row],[CurrentStock]]&gt;0,Table1[[#This Row],[ReorderLevel]]-Table1[[#This Row],[CurrentStock]],"")</f>
        <v/>
      </c>
      <c r="N2521" t="str">
        <f>IF(Table1[[#This Row],[CurrentStock]]&gt;Table1[[#This Row],[ReorderLevel]]*3,"Over Stock","Okay")</f>
        <v>Okay</v>
      </c>
      <c r="O2521" t="str">
        <f>IF(Table1[[#This Row],[CurrentStock]]&lt;Table1[[#This Row],[ReorderLevel]],"Reorder","Okay")</f>
        <v>Okay</v>
      </c>
    </row>
    <row r="2522" spans="1:15" x14ac:dyDescent="0.3">
      <c r="A2522">
        <v>25201</v>
      </c>
      <c r="B2522" t="s">
        <v>12</v>
      </c>
      <c r="C2522" t="s">
        <v>28</v>
      </c>
      <c r="D2522">
        <v>9</v>
      </c>
      <c r="E2522">
        <v>30</v>
      </c>
      <c r="F2522">
        <v>365.04</v>
      </c>
      <c r="G2522" t="s">
        <v>33</v>
      </c>
      <c r="H2522" s="1">
        <v>45505</v>
      </c>
      <c r="I2522" s="1">
        <v>45513</v>
      </c>
      <c r="J2522" t="s">
        <v>37</v>
      </c>
      <c r="K2522" t="b">
        <f>Table1[[#This Row],[CurrentStock]]&lt;Table1[[#This Row],[ReorderLevel]]</f>
        <v>1</v>
      </c>
      <c r="L2522" s="9">
        <f>Table1[[#This Row],[CurrentStock]]*Table1[[#This Row],[UnitPrice]]</f>
        <v>3285.36</v>
      </c>
      <c r="M2522">
        <f>IF(Table1[[#This Row],[ReorderLevel]]-Table1[[#This Row],[CurrentStock]]&gt;0,Table1[[#This Row],[ReorderLevel]]-Table1[[#This Row],[CurrentStock]],"")</f>
        <v>21</v>
      </c>
      <c r="N2522" t="str">
        <f>IF(Table1[[#This Row],[CurrentStock]]&gt;Table1[[#This Row],[ReorderLevel]]*3,"Over Stock","Okay")</f>
        <v>Okay</v>
      </c>
      <c r="O2522" t="str">
        <f>IF(Table1[[#This Row],[CurrentStock]]&lt;Table1[[#This Row],[ReorderLevel]],"Reorder","Okay")</f>
        <v>Reorder</v>
      </c>
    </row>
    <row r="2523" spans="1:15" x14ac:dyDescent="0.3">
      <c r="A2523">
        <v>50916</v>
      </c>
      <c r="B2523" t="s">
        <v>20</v>
      </c>
      <c r="C2523" t="s">
        <v>29</v>
      </c>
      <c r="D2523">
        <v>305</v>
      </c>
      <c r="E2523">
        <v>50</v>
      </c>
      <c r="F2523">
        <v>467.63</v>
      </c>
      <c r="G2523" t="s">
        <v>34</v>
      </c>
      <c r="H2523" s="1">
        <v>45516</v>
      </c>
      <c r="I2523" s="1">
        <v>45545</v>
      </c>
      <c r="J2523" t="s">
        <v>38</v>
      </c>
      <c r="K2523" t="b">
        <f>Table1[[#This Row],[CurrentStock]]&lt;Table1[[#This Row],[ReorderLevel]]</f>
        <v>0</v>
      </c>
      <c r="L2523" s="9">
        <f>Table1[[#This Row],[CurrentStock]]*Table1[[#This Row],[UnitPrice]]</f>
        <v>142627.15</v>
      </c>
      <c r="M2523" t="str">
        <f>IF(Table1[[#This Row],[ReorderLevel]]-Table1[[#This Row],[CurrentStock]]&gt;0,Table1[[#This Row],[ReorderLevel]]-Table1[[#This Row],[CurrentStock]],"")</f>
        <v/>
      </c>
      <c r="N2523" t="str">
        <f>IF(Table1[[#This Row],[CurrentStock]]&gt;Table1[[#This Row],[ReorderLevel]]*3,"Over Stock","Okay")</f>
        <v>Over Stock</v>
      </c>
      <c r="O2523" t="str">
        <f>IF(Table1[[#This Row],[CurrentStock]]&lt;Table1[[#This Row],[ReorderLevel]],"Reorder","Okay")</f>
        <v>Okay</v>
      </c>
    </row>
    <row r="2524" spans="1:15" x14ac:dyDescent="0.3">
      <c r="A2524">
        <v>56576</v>
      </c>
      <c r="B2524" t="s">
        <v>24</v>
      </c>
      <c r="C2524" t="s">
        <v>31</v>
      </c>
      <c r="D2524">
        <v>357</v>
      </c>
      <c r="E2524">
        <v>40</v>
      </c>
      <c r="F2524">
        <v>347.76</v>
      </c>
      <c r="G2524" t="s">
        <v>32</v>
      </c>
      <c r="H2524" s="1">
        <v>45656</v>
      </c>
      <c r="I2524" s="1">
        <v>45689</v>
      </c>
      <c r="J2524" t="s">
        <v>38</v>
      </c>
      <c r="K2524" t="b">
        <f>Table1[[#This Row],[CurrentStock]]&lt;Table1[[#This Row],[ReorderLevel]]</f>
        <v>0</v>
      </c>
      <c r="L2524" s="9">
        <f>Table1[[#This Row],[CurrentStock]]*Table1[[#This Row],[UnitPrice]]</f>
        <v>124150.31999999999</v>
      </c>
      <c r="M2524" t="str">
        <f>IF(Table1[[#This Row],[ReorderLevel]]-Table1[[#This Row],[CurrentStock]]&gt;0,Table1[[#This Row],[ReorderLevel]]-Table1[[#This Row],[CurrentStock]],"")</f>
        <v/>
      </c>
      <c r="N2524" t="str">
        <f>IF(Table1[[#This Row],[CurrentStock]]&gt;Table1[[#This Row],[ReorderLevel]]*3,"Over Stock","Okay")</f>
        <v>Over Stock</v>
      </c>
      <c r="O2524" t="str">
        <f>IF(Table1[[#This Row],[CurrentStock]]&lt;Table1[[#This Row],[ReorderLevel]],"Reorder","Okay")</f>
        <v>Okay</v>
      </c>
    </row>
    <row r="2525" spans="1:15" x14ac:dyDescent="0.3">
      <c r="A2525">
        <v>64626</v>
      </c>
      <c r="B2525" t="s">
        <v>14</v>
      </c>
      <c r="C2525" t="s">
        <v>27</v>
      </c>
      <c r="D2525">
        <v>163</v>
      </c>
      <c r="E2525">
        <v>50</v>
      </c>
      <c r="F2525">
        <v>341.04</v>
      </c>
      <c r="G2525" t="s">
        <v>35</v>
      </c>
      <c r="H2525" s="1">
        <v>45408</v>
      </c>
      <c r="I2525" s="1">
        <v>45424</v>
      </c>
      <c r="J2525" t="s">
        <v>39</v>
      </c>
      <c r="K2525" t="b">
        <f>Table1[[#This Row],[CurrentStock]]&lt;Table1[[#This Row],[ReorderLevel]]</f>
        <v>0</v>
      </c>
      <c r="L2525" s="9">
        <f>Table1[[#This Row],[CurrentStock]]*Table1[[#This Row],[UnitPrice]]</f>
        <v>55589.520000000004</v>
      </c>
      <c r="M2525" t="str">
        <f>IF(Table1[[#This Row],[ReorderLevel]]-Table1[[#This Row],[CurrentStock]]&gt;0,Table1[[#This Row],[ReorderLevel]]-Table1[[#This Row],[CurrentStock]],"")</f>
        <v/>
      </c>
      <c r="N2525" t="str">
        <f>IF(Table1[[#This Row],[CurrentStock]]&gt;Table1[[#This Row],[ReorderLevel]]*3,"Over Stock","Okay")</f>
        <v>Over Stock</v>
      </c>
      <c r="O2525" t="str">
        <f>IF(Table1[[#This Row],[CurrentStock]]&lt;Table1[[#This Row],[ReorderLevel]],"Reorder","Okay")</f>
        <v>Okay</v>
      </c>
    </row>
    <row r="2526" spans="1:15" x14ac:dyDescent="0.3">
      <c r="A2526">
        <v>24450</v>
      </c>
      <c r="B2526" t="s">
        <v>19</v>
      </c>
      <c r="C2526" t="s">
        <v>28</v>
      </c>
      <c r="D2526">
        <v>16</v>
      </c>
      <c r="E2526">
        <v>150</v>
      </c>
      <c r="F2526">
        <v>152.47999999999999</v>
      </c>
      <c r="G2526" t="s">
        <v>33</v>
      </c>
      <c r="H2526" s="1">
        <v>45330</v>
      </c>
      <c r="I2526" s="1">
        <v>45336</v>
      </c>
      <c r="J2526" t="s">
        <v>39</v>
      </c>
      <c r="K2526" t="b">
        <f>Table1[[#This Row],[CurrentStock]]&lt;Table1[[#This Row],[ReorderLevel]]</f>
        <v>1</v>
      </c>
      <c r="L2526" s="9">
        <f>Table1[[#This Row],[CurrentStock]]*Table1[[#This Row],[UnitPrice]]</f>
        <v>2439.6799999999998</v>
      </c>
      <c r="M2526">
        <f>IF(Table1[[#This Row],[ReorderLevel]]-Table1[[#This Row],[CurrentStock]]&gt;0,Table1[[#This Row],[ReorderLevel]]-Table1[[#This Row],[CurrentStock]],"")</f>
        <v>134</v>
      </c>
      <c r="N2526" t="str">
        <f>IF(Table1[[#This Row],[CurrentStock]]&gt;Table1[[#This Row],[ReorderLevel]]*3,"Over Stock","Okay")</f>
        <v>Okay</v>
      </c>
      <c r="O2526" t="str">
        <f>IF(Table1[[#This Row],[CurrentStock]]&lt;Table1[[#This Row],[ReorderLevel]],"Reorder","Okay")</f>
        <v>Reorder</v>
      </c>
    </row>
    <row r="2527" spans="1:15" x14ac:dyDescent="0.3">
      <c r="A2527">
        <v>31943</v>
      </c>
      <c r="B2527" t="s">
        <v>26</v>
      </c>
      <c r="C2527" t="s">
        <v>30</v>
      </c>
      <c r="D2527">
        <v>215</v>
      </c>
      <c r="E2527">
        <v>150</v>
      </c>
      <c r="F2527">
        <v>175.08</v>
      </c>
      <c r="G2527" t="s">
        <v>35</v>
      </c>
      <c r="H2527" s="1">
        <v>45556</v>
      </c>
      <c r="I2527" s="1">
        <v>45587</v>
      </c>
      <c r="J2527" t="s">
        <v>37</v>
      </c>
      <c r="K2527" t="b">
        <f>Table1[[#This Row],[CurrentStock]]&lt;Table1[[#This Row],[ReorderLevel]]</f>
        <v>0</v>
      </c>
      <c r="L2527" s="9">
        <f>Table1[[#This Row],[CurrentStock]]*Table1[[#This Row],[UnitPrice]]</f>
        <v>37642.200000000004</v>
      </c>
      <c r="M2527" t="str">
        <f>IF(Table1[[#This Row],[ReorderLevel]]-Table1[[#This Row],[CurrentStock]]&gt;0,Table1[[#This Row],[ReorderLevel]]-Table1[[#This Row],[CurrentStock]],"")</f>
        <v/>
      </c>
      <c r="N2527" t="str">
        <f>IF(Table1[[#This Row],[CurrentStock]]&gt;Table1[[#This Row],[ReorderLevel]]*3,"Over Stock","Okay")</f>
        <v>Okay</v>
      </c>
      <c r="O2527" t="str">
        <f>IF(Table1[[#This Row],[CurrentStock]]&lt;Table1[[#This Row],[ReorderLevel]],"Reorder","Okay")</f>
        <v>Okay</v>
      </c>
    </row>
    <row r="2528" spans="1:15" x14ac:dyDescent="0.3">
      <c r="A2528">
        <v>34601</v>
      </c>
      <c r="B2528" t="s">
        <v>26</v>
      </c>
      <c r="C2528" t="s">
        <v>30</v>
      </c>
      <c r="D2528">
        <v>170</v>
      </c>
      <c r="E2528">
        <v>50</v>
      </c>
      <c r="F2528">
        <v>338.13</v>
      </c>
      <c r="G2528" t="s">
        <v>32</v>
      </c>
      <c r="H2528" s="1">
        <v>45452</v>
      </c>
      <c r="I2528" s="1">
        <v>45483</v>
      </c>
      <c r="J2528" t="s">
        <v>37</v>
      </c>
      <c r="K2528" t="b">
        <f>Table1[[#This Row],[CurrentStock]]&lt;Table1[[#This Row],[ReorderLevel]]</f>
        <v>0</v>
      </c>
      <c r="L2528" s="9">
        <f>Table1[[#This Row],[CurrentStock]]*Table1[[#This Row],[UnitPrice]]</f>
        <v>57482.1</v>
      </c>
      <c r="M2528" t="str">
        <f>IF(Table1[[#This Row],[ReorderLevel]]-Table1[[#This Row],[CurrentStock]]&gt;0,Table1[[#This Row],[ReorderLevel]]-Table1[[#This Row],[CurrentStock]],"")</f>
        <v/>
      </c>
      <c r="N2528" t="str">
        <f>IF(Table1[[#This Row],[CurrentStock]]&gt;Table1[[#This Row],[ReorderLevel]]*3,"Over Stock","Okay")</f>
        <v>Over Stock</v>
      </c>
      <c r="O2528" t="str">
        <f>IF(Table1[[#This Row],[CurrentStock]]&lt;Table1[[#This Row],[ReorderLevel]],"Reorder","Okay")</f>
        <v>Okay</v>
      </c>
    </row>
    <row r="2529" spans="1:15" x14ac:dyDescent="0.3">
      <c r="A2529">
        <v>77581</v>
      </c>
      <c r="B2529" t="s">
        <v>23</v>
      </c>
      <c r="C2529" t="s">
        <v>30</v>
      </c>
      <c r="D2529">
        <v>69</v>
      </c>
      <c r="E2529">
        <v>40</v>
      </c>
      <c r="F2529">
        <v>315.74</v>
      </c>
      <c r="G2529" t="s">
        <v>35</v>
      </c>
      <c r="H2529" s="1">
        <v>45486</v>
      </c>
      <c r="I2529" s="1">
        <v>45503</v>
      </c>
      <c r="J2529" t="s">
        <v>37</v>
      </c>
      <c r="K2529" t="b">
        <f>Table1[[#This Row],[CurrentStock]]&lt;Table1[[#This Row],[ReorderLevel]]</f>
        <v>0</v>
      </c>
      <c r="L2529" s="9">
        <f>Table1[[#This Row],[CurrentStock]]*Table1[[#This Row],[UnitPrice]]</f>
        <v>21786.06</v>
      </c>
      <c r="M2529" t="str">
        <f>IF(Table1[[#This Row],[ReorderLevel]]-Table1[[#This Row],[CurrentStock]]&gt;0,Table1[[#This Row],[ReorderLevel]]-Table1[[#This Row],[CurrentStock]],"")</f>
        <v/>
      </c>
      <c r="N2529" t="str">
        <f>IF(Table1[[#This Row],[CurrentStock]]&gt;Table1[[#This Row],[ReorderLevel]]*3,"Over Stock","Okay")</f>
        <v>Okay</v>
      </c>
      <c r="O2529" t="str">
        <f>IF(Table1[[#This Row],[CurrentStock]]&lt;Table1[[#This Row],[ReorderLevel]],"Reorder","Okay")</f>
        <v>Okay</v>
      </c>
    </row>
    <row r="2530" spans="1:15" x14ac:dyDescent="0.3">
      <c r="A2530">
        <v>46516</v>
      </c>
      <c r="B2530" t="s">
        <v>18</v>
      </c>
      <c r="C2530" t="s">
        <v>28</v>
      </c>
      <c r="D2530">
        <v>39</v>
      </c>
      <c r="E2530">
        <v>80</v>
      </c>
      <c r="F2530">
        <v>250.25</v>
      </c>
      <c r="G2530" t="s">
        <v>32</v>
      </c>
      <c r="H2530" s="1">
        <v>45308</v>
      </c>
      <c r="I2530" s="1">
        <v>45321</v>
      </c>
      <c r="J2530" t="s">
        <v>37</v>
      </c>
      <c r="K2530" t="b">
        <f>Table1[[#This Row],[CurrentStock]]&lt;Table1[[#This Row],[ReorderLevel]]</f>
        <v>1</v>
      </c>
      <c r="L2530" s="9">
        <f>Table1[[#This Row],[CurrentStock]]*Table1[[#This Row],[UnitPrice]]</f>
        <v>9759.75</v>
      </c>
      <c r="M2530">
        <f>IF(Table1[[#This Row],[ReorderLevel]]-Table1[[#This Row],[CurrentStock]]&gt;0,Table1[[#This Row],[ReorderLevel]]-Table1[[#This Row],[CurrentStock]],"")</f>
        <v>41</v>
      </c>
      <c r="N2530" t="str">
        <f>IF(Table1[[#This Row],[CurrentStock]]&gt;Table1[[#This Row],[ReorderLevel]]*3,"Over Stock","Okay")</f>
        <v>Okay</v>
      </c>
      <c r="O2530" t="str">
        <f>IF(Table1[[#This Row],[CurrentStock]]&lt;Table1[[#This Row],[ReorderLevel]],"Reorder","Okay")</f>
        <v>Reorder</v>
      </c>
    </row>
    <row r="2531" spans="1:15" x14ac:dyDescent="0.3">
      <c r="A2531">
        <v>13051</v>
      </c>
      <c r="B2531" t="s">
        <v>21</v>
      </c>
      <c r="C2531" t="s">
        <v>31</v>
      </c>
      <c r="D2531">
        <v>312</v>
      </c>
      <c r="E2531">
        <v>150</v>
      </c>
      <c r="F2531">
        <v>325.64</v>
      </c>
      <c r="G2531" t="s">
        <v>33</v>
      </c>
      <c r="H2531" s="1">
        <v>45391</v>
      </c>
      <c r="I2531" s="1">
        <v>45398</v>
      </c>
      <c r="J2531" t="s">
        <v>38</v>
      </c>
      <c r="K2531" t="b">
        <f>Table1[[#This Row],[CurrentStock]]&lt;Table1[[#This Row],[ReorderLevel]]</f>
        <v>0</v>
      </c>
      <c r="L2531" s="9">
        <f>Table1[[#This Row],[CurrentStock]]*Table1[[#This Row],[UnitPrice]]</f>
        <v>101599.67999999999</v>
      </c>
      <c r="M2531" t="str">
        <f>IF(Table1[[#This Row],[ReorderLevel]]-Table1[[#This Row],[CurrentStock]]&gt;0,Table1[[#This Row],[ReorderLevel]]-Table1[[#This Row],[CurrentStock]],"")</f>
        <v/>
      </c>
      <c r="N2531" t="str">
        <f>IF(Table1[[#This Row],[CurrentStock]]&gt;Table1[[#This Row],[ReorderLevel]]*3,"Over Stock","Okay")</f>
        <v>Okay</v>
      </c>
      <c r="O2531" t="str">
        <f>IF(Table1[[#This Row],[CurrentStock]]&lt;Table1[[#This Row],[ReorderLevel]],"Reorder","Okay")</f>
        <v>Okay</v>
      </c>
    </row>
    <row r="2532" spans="1:15" x14ac:dyDescent="0.3">
      <c r="A2532">
        <v>17017</v>
      </c>
      <c r="B2532" t="s">
        <v>24</v>
      </c>
      <c r="C2532" t="s">
        <v>31</v>
      </c>
      <c r="D2532">
        <v>462</v>
      </c>
      <c r="E2532">
        <v>40</v>
      </c>
      <c r="F2532">
        <v>326.17</v>
      </c>
      <c r="G2532" t="s">
        <v>33</v>
      </c>
      <c r="H2532" s="1">
        <v>45303</v>
      </c>
      <c r="I2532" s="1">
        <v>45310</v>
      </c>
      <c r="J2532" t="s">
        <v>37</v>
      </c>
      <c r="K2532" t="b">
        <f>Table1[[#This Row],[CurrentStock]]&lt;Table1[[#This Row],[ReorderLevel]]</f>
        <v>0</v>
      </c>
      <c r="L2532" s="9">
        <f>Table1[[#This Row],[CurrentStock]]*Table1[[#This Row],[UnitPrice]]</f>
        <v>150690.54</v>
      </c>
      <c r="M2532" t="str">
        <f>IF(Table1[[#This Row],[ReorderLevel]]-Table1[[#This Row],[CurrentStock]]&gt;0,Table1[[#This Row],[ReorderLevel]]-Table1[[#This Row],[CurrentStock]],"")</f>
        <v/>
      </c>
      <c r="N2532" t="str">
        <f>IF(Table1[[#This Row],[CurrentStock]]&gt;Table1[[#This Row],[ReorderLevel]]*3,"Over Stock","Okay")</f>
        <v>Over Stock</v>
      </c>
      <c r="O2532" t="str">
        <f>IF(Table1[[#This Row],[CurrentStock]]&lt;Table1[[#This Row],[ReorderLevel]],"Reorder","Okay")</f>
        <v>Okay</v>
      </c>
    </row>
    <row r="2533" spans="1:15" x14ac:dyDescent="0.3">
      <c r="A2533">
        <v>87568</v>
      </c>
      <c r="B2533" t="s">
        <v>21</v>
      </c>
      <c r="C2533" t="s">
        <v>31</v>
      </c>
      <c r="D2533">
        <v>477</v>
      </c>
      <c r="E2533">
        <v>50</v>
      </c>
      <c r="F2533">
        <v>11.52</v>
      </c>
      <c r="G2533" t="s">
        <v>36</v>
      </c>
      <c r="H2533" s="1">
        <v>45584</v>
      </c>
      <c r="I2533" s="1">
        <v>45606</v>
      </c>
      <c r="J2533" t="s">
        <v>37</v>
      </c>
      <c r="K2533" t="b">
        <f>Table1[[#This Row],[CurrentStock]]&lt;Table1[[#This Row],[ReorderLevel]]</f>
        <v>0</v>
      </c>
      <c r="L2533" s="9">
        <f>Table1[[#This Row],[CurrentStock]]*Table1[[#This Row],[UnitPrice]]</f>
        <v>5495.04</v>
      </c>
      <c r="M2533" t="str">
        <f>IF(Table1[[#This Row],[ReorderLevel]]-Table1[[#This Row],[CurrentStock]]&gt;0,Table1[[#This Row],[ReorderLevel]]-Table1[[#This Row],[CurrentStock]],"")</f>
        <v/>
      </c>
      <c r="N2533" t="str">
        <f>IF(Table1[[#This Row],[CurrentStock]]&gt;Table1[[#This Row],[ReorderLevel]]*3,"Over Stock","Okay")</f>
        <v>Over Stock</v>
      </c>
      <c r="O2533" t="str">
        <f>IF(Table1[[#This Row],[CurrentStock]]&lt;Table1[[#This Row],[ReorderLevel]],"Reorder","Okay")</f>
        <v>Okay</v>
      </c>
    </row>
    <row r="2534" spans="1:15" x14ac:dyDescent="0.3">
      <c r="A2534">
        <v>59577</v>
      </c>
      <c r="B2534" t="s">
        <v>11</v>
      </c>
      <c r="C2534" t="s">
        <v>27</v>
      </c>
      <c r="D2534">
        <v>15</v>
      </c>
      <c r="E2534">
        <v>50</v>
      </c>
      <c r="F2534">
        <v>24.97</v>
      </c>
      <c r="G2534" t="s">
        <v>33</v>
      </c>
      <c r="H2534" s="1">
        <v>45420</v>
      </c>
      <c r="I2534" s="1">
        <v>45455</v>
      </c>
      <c r="J2534" t="s">
        <v>39</v>
      </c>
      <c r="K2534" t="b">
        <f>Table1[[#This Row],[CurrentStock]]&lt;Table1[[#This Row],[ReorderLevel]]</f>
        <v>1</v>
      </c>
      <c r="L2534" s="9">
        <f>Table1[[#This Row],[CurrentStock]]*Table1[[#This Row],[UnitPrice]]</f>
        <v>374.54999999999995</v>
      </c>
      <c r="M2534">
        <f>IF(Table1[[#This Row],[ReorderLevel]]-Table1[[#This Row],[CurrentStock]]&gt;0,Table1[[#This Row],[ReorderLevel]]-Table1[[#This Row],[CurrentStock]],"")</f>
        <v>35</v>
      </c>
      <c r="N2534" t="str">
        <f>IF(Table1[[#This Row],[CurrentStock]]&gt;Table1[[#This Row],[ReorderLevel]]*3,"Over Stock","Okay")</f>
        <v>Okay</v>
      </c>
      <c r="O2534" t="str">
        <f>IF(Table1[[#This Row],[CurrentStock]]&lt;Table1[[#This Row],[ReorderLevel]],"Reorder","Okay")</f>
        <v>Reorder</v>
      </c>
    </row>
    <row r="2535" spans="1:15" x14ac:dyDescent="0.3">
      <c r="A2535">
        <v>82607</v>
      </c>
      <c r="B2535" t="s">
        <v>22</v>
      </c>
      <c r="C2535" t="s">
        <v>27</v>
      </c>
      <c r="D2535">
        <v>478</v>
      </c>
      <c r="E2535">
        <v>20</v>
      </c>
      <c r="F2535">
        <v>296.77</v>
      </c>
      <c r="G2535" t="s">
        <v>32</v>
      </c>
      <c r="H2535" s="1">
        <v>45315</v>
      </c>
      <c r="I2535" s="1">
        <v>45339</v>
      </c>
      <c r="J2535" t="s">
        <v>37</v>
      </c>
      <c r="K2535" t="b">
        <f>Table1[[#This Row],[CurrentStock]]&lt;Table1[[#This Row],[ReorderLevel]]</f>
        <v>0</v>
      </c>
      <c r="L2535" s="9">
        <f>Table1[[#This Row],[CurrentStock]]*Table1[[#This Row],[UnitPrice]]</f>
        <v>141856.06</v>
      </c>
      <c r="M2535" t="str">
        <f>IF(Table1[[#This Row],[ReorderLevel]]-Table1[[#This Row],[CurrentStock]]&gt;0,Table1[[#This Row],[ReorderLevel]]-Table1[[#This Row],[CurrentStock]],"")</f>
        <v/>
      </c>
      <c r="N2535" t="str">
        <f>IF(Table1[[#This Row],[CurrentStock]]&gt;Table1[[#This Row],[ReorderLevel]]*3,"Over Stock","Okay")</f>
        <v>Over Stock</v>
      </c>
      <c r="O2535" t="str">
        <f>IF(Table1[[#This Row],[CurrentStock]]&lt;Table1[[#This Row],[ReorderLevel]],"Reorder","Okay")</f>
        <v>Okay</v>
      </c>
    </row>
    <row r="2536" spans="1:15" x14ac:dyDescent="0.3">
      <c r="A2536">
        <v>51787</v>
      </c>
      <c r="B2536" t="s">
        <v>13</v>
      </c>
      <c r="C2536" t="s">
        <v>29</v>
      </c>
      <c r="D2536">
        <v>111</v>
      </c>
      <c r="E2536">
        <v>150</v>
      </c>
      <c r="F2536">
        <v>247.35</v>
      </c>
      <c r="G2536" t="s">
        <v>35</v>
      </c>
      <c r="H2536" s="1">
        <v>45359</v>
      </c>
      <c r="I2536" s="1">
        <v>45390</v>
      </c>
      <c r="J2536" t="s">
        <v>37</v>
      </c>
      <c r="K2536" t="b">
        <f>Table1[[#This Row],[CurrentStock]]&lt;Table1[[#This Row],[ReorderLevel]]</f>
        <v>1</v>
      </c>
      <c r="L2536" s="9">
        <f>Table1[[#This Row],[CurrentStock]]*Table1[[#This Row],[UnitPrice]]</f>
        <v>27455.85</v>
      </c>
      <c r="M2536">
        <f>IF(Table1[[#This Row],[ReorderLevel]]-Table1[[#This Row],[CurrentStock]]&gt;0,Table1[[#This Row],[ReorderLevel]]-Table1[[#This Row],[CurrentStock]],"")</f>
        <v>39</v>
      </c>
      <c r="N2536" t="str">
        <f>IF(Table1[[#This Row],[CurrentStock]]&gt;Table1[[#This Row],[ReorderLevel]]*3,"Over Stock","Okay")</f>
        <v>Okay</v>
      </c>
      <c r="O2536" t="str">
        <f>IF(Table1[[#This Row],[CurrentStock]]&lt;Table1[[#This Row],[ReorderLevel]],"Reorder","Okay")</f>
        <v>Reorder</v>
      </c>
    </row>
    <row r="2537" spans="1:15" x14ac:dyDescent="0.3">
      <c r="A2537">
        <v>87093</v>
      </c>
      <c r="B2537" t="s">
        <v>18</v>
      </c>
      <c r="C2537" t="s">
        <v>28</v>
      </c>
      <c r="D2537">
        <v>285</v>
      </c>
      <c r="E2537">
        <v>80</v>
      </c>
      <c r="F2537">
        <v>416.35</v>
      </c>
      <c r="G2537" t="s">
        <v>35</v>
      </c>
      <c r="H2537" s="1">
        <v>45521</v>
      </c>
      <c r="I2537" s="1">
        <v>45557</v>
      </c>
      <c r="J2537" t="s">
        <v>37</v>
      </c>
      <c r="K2537" t="b">
        <f>Table1[[#This Row],[CurrentStock]]&lt;Table1[[#This Row],[ReorderLevel]]</f>
        <v>0</v>
      </c>
      <c r="L2537" s="9">
        <f>Table1[[#This Row],[CurrentStock]]*Table1[[#This Row],[UnitPrice]]</f>
        <v>118659.75</v>
      </c>
      <c r="M2537" t="str">
        <f>IF(Table1[[#This Row],[ReorderLevel]]-Table1[[#This Row],[CurrentStock]]&gt;0,Table1[[#This Row],[ReorderLevel]]-Table1[[#This Row],[CurrentStock]],"")</f>
        <v/>
      </c>
      <c r="N2537" t="str">
        <f>IF(Table1[[#This Row],[CurrentStock]]&gt;Table1[[#This Row],[ReorderLevel]]*3,"Over Stock","Okay")</f>
        <v>Over Stock</v>
      </c>
      <c r="O2537" t="str">
        <f>IF(Table1[[#This Row],[CurrentStock]]&lt;Table1[[#This Row],[ReorderLevel]],"Reorder","Okay")</f>
        <v>Okay</v>
      </c>
    </row>
    <row r="2538" spans="1:15" x14ac:dyDescent="0.3">
      <c r="A2538">
        <v>47595</v>
      </c>
      <c r="B2538" t="s">
        <v>21</v>
      </c>
      <c r="C2538" t="s">
        <v>31</v>
      </c>
      <c r="D2538">
        <v>364</v>
      </c>
      <c r="E2538">
        <v>50</v>
      </c>
      <c r="F2538">
        <v>114.06</v>
      </c>
      <c r="G2538" t="s">
        <v>35</v>
      </c>
      <c r="H2538" s="1">
        <v>45642</v>
      </c>
      <c r="I2538" s="1">
        <v>45665</v>
      </c>
      <c r="J2538" t="s">
        <v>37</v>
      </c>
      <c r="K2538" t="b">
        <f>Table1[[#This Row],[CurrentStock]]&lt;Table1[[#This Row],[ReorderLevel]]</f>
        <v>0</v>
      </c>
      <c r="L2538" s="9">
        <f>Table1[[#This Row],[CurrentStock]]*Table1[[#This Row],[UnitPrice]]</f>
        <v>41517.840000000004</v>
      </c>
      <c r="M2538" t="str">
        <f>IF(Table1[[#This Row],[ReorderLevel]]-Table1[[#This Row],[CurrentStock]]&gt;0,Table1[[#This Row],[ReorderLevel]]-Table1[[#This Row],[CurrentStock]],"")</f>
        <v/>
      </c>
      <c r="N2538" t="str">
        <f>IF(Table1[[#This Row],[CurrentStock]]&gt;Table1[[#This Row],[ReorderLevel]]*3,"Over Stock","Okay")</f>
        <v>Over Stock</v>
      </c>
      <c r="O2538" t="str">
        <f>IF(Table1[[#This Row],[CurrentStock]]&lt;Table1[[#This Row],[ReorderLevel]],"Reorder","Okay")</f>
        <v>Okay</v>
      </c>
    </row>
    <row r="2539" spans="1:15" x14ac:dyDescent="0.3">
      <c r="A2539">
        <v>35406</v>
      </c>
      <c r="B2539" t="s">
        <v>23</v>
      </c>
      <c r="C2539" t="s">
        <v>30</v>
      </c>
      <c r="D2539">
        <v>59</v>
      </c>
      <c r="E2539">
        <v>30</v>
      </c>
      <c r="F2539">
        <v>86.03</v>
      </c>
      <c r="G2539" t="s">
        <v>35</v>
      </c>
      <c r="H2539" s="1">
        <v>45472</v>
      </c>
      <c r="I2539" s="1">
        <v>45492</v>
      </c>
      <c r="J2539" t="s">
        <v>37</v>
      </c>
      <c r="K2539" t="b">
        <f>Table1[[#This Row],[CurrentStock]]&lt;Table1[[#This Row],[ReorderLevel]]</f>
        <v>0</v>
      </c>
      <c r="L2539" s="9">
        <f>Table1[[#This Row],[CurrentStock]]*Table1[[#This Row],[UnitPrice]]</f>
        <v>5075.7700000000004</v>
      </c>
      <c r="M2539" t="str">
        <f>IF(Table1[[#This Row],[ReorderLevel]]-Table1[[#This Row],[CurrentStock]]&gt;0,Table1[[#This Row],[ReorderLevel]]-Table1[[#This Row],[CurrentStock]],"")</f>
        <v/>
      </c>
      <c r="N2539" t="str">
        <f>IF(Table1[[#This Row],[CurrentStock]]&gt;Table1[[#This Row],[ReorderLevel]]*3,"Over Stock","Okay")</f>
        <v>Okay</v>
      </c>
      <c r="O2539" t="str">
        <f>IF(Table1[[#This Row],[CurrentStock]]&lt;Table1[[#This Row],[ReorderLevel]],"Reorder","Okay")</f>
        <v>Okay</v>
      </c>
    </row>
    <row r="2540" spans="1:15" x14ac:dyDescent="0.3">
      <c r="A2540">
        <v>31803</v>
      </c>
      <c r="B2540" t="s">
        <v>12</v>
      </c>
      <c r="C2540" t="s">
        <v>28</v>
      </c>
      <c r="D2540">
        <v>314</v>
      </c>
      <c r="E2540">
        <v>100</v>
      </c>
      <c r="F2540">
        <v>383.61</v>
      </c>
      <c r="G2540" t="s">
        <v>35</v>
      </c>
      <c r="H2540" s="1">
        <v>45636</v>
      </c>
      <c r="I2540" s="1">
        <v>45670</v>
      </c>
      <c r="J2540" t="s">
        <v>38</v>
      </c>
      <c r="K2540" t="b">
        <f>Table1[[#This Row],[CurrentStock]]&lt;Table1[[#This Row],[ReorderLevel]]</f>
        <v>0</v>
      </c>
      <c r="L2540" s="9">
        <f>Table1[[#This Row],[CurrentStock]]*Table1[[#This Row],[UnitPrice]]</f>
        <v>120453.54000000001</v>
      </c>
      <c r="M2540" t="str">
        <f>IF(Table1[[#This Row],[ReorderLevel]]-Table1[[#This Row],[CurrentStock]]&gt;0,Table1[[#This Row],[ReorderLevel]]-Table1[[#This Row],[CurrentStock]],"")</f>
        <v/>
      </c>
      <c r="N2540" t="str">
        <f>IF(Table1[[#This Row],[CurrentStock]]&gt;Table1[[#This Row],[ReorderLevel]]*3,"Over Stock","Okay")</f>
        <v>Over Stock</v>
      </c>
      <c r="O2540" t="str">
        <f>IF(Table1[[#This Row],[CurrentStock]]&lt;Table1[[#This Row],[ReorderLevel]],"Reorder","Okay")</f>
        <v>Okay</v>
      </c>
    </row>
    <row r="2541" spans="1:15" x14ac:dyDescent="0.3">
      <c r="A2541">
        <v>25941</v>
      </c>
      <c r="B2541" t="s">
        <v>13</v>
      </c>
      <c r="C2541" t="s">
        <v>29</v>
      </c>
      <c r="D2541">
        <v>180</v>
      </c>
      <c r="E2541">
        <v>80</v>
      </c>
      <c r="F2541">
        <v>100.15</v>
      </c>
      <c r="G2541" t="s">
        <v>34</v>
      </c>
      <c r="H2541" s="1">
        <v>45560</v>
      </c>
      <c r="I2541" s="1">
        <v>45598</v>
      </c>
      <c r="J2541" t="s">
        <v>37</v>
      </c>
      <c r="K2541" t="b">
        <f>Table1[[#This Row],[CurrentStock]]&lt;Table1[[#This Row],[ReorderLevel]]</f>
        <v>0</v>
      </c>
      <c r="L2541" s="9">
        <f>Table1[[#This Row],[CurrentStock]]*Table1[[#This Row],[UnitPrice]]</f>
        <v>18027</v>
      </c>
      <c r="M2541" t="str">
        <f>IF(Table1[[#This Row],[ReorderLevel]]-Table1[[#This Row],[CurrentStock]]&gt;0,Table1[[#This Row],[ReorderLevel]]-Table1[[#This Row],[CurrentStock]],"")</f>
        <v/>
      </c>
      <c r="N2541" t="str">
        <f>IF(Table1[[#This Row],[CurrentStock]]&gt;Table1[[#This Row],[ReorderLevel]]*3,"Over Stock","Okay")</f>
        <v>Okay</v>
      </c>
      <c r="O2541" t="str">
        <f>IF(Table1[[#This Row],[CurrentStock]]&lt;Table1[[#This Row],[ReorderLevel]],"Reorder","Okay")</f>
        <v>Okay</v>
      </c>
    </row>
    <row r="2542" spans="1:15" x14ac:dyDescent="0.3">
      <c r="A2542">
        <v>60139</v>
      </c>
      <c r="B2542" t="s">
        <v>17</v>
      </c>
      <c r="C2542" t="s">
        <v>30</v>
      </c>
      <c r="D2542">
        <v>386</v>
      </c>
      <c r="E2542">
        <v>150</v>
      </c>
      <c r="F2542">
        <v>353.02</v>
      </c>
      <c r="G2542" t="s">
        <v>34</v>
      </c>
      <c r="H2542" s="1">
        <v>45341</v>
      </c>
      <c r="I2542" s="1">
        <v>45355</v>
      </c>
      <c r="J2542" t="s">
        <v>37</v>
      </c>
      <c r="K2542" t="b">
        <f>Table1[[#This Row],[CurrentStock]]&lt;Table1[[#This Row],[ReorderLevel]]</f>
        <v>0</v>
      </c>
      <c r="L2542" s="9">
        <f>Table1[[#This Row],[CurrentStock]]*Table1[[#This Row],[UnitPrice]]</f>
        <v>136265.72</v>
      </c>
      <c r="M2542" t="str">
        <f>IF(Table1[[#This Row],[ReorderLevel]]-Table1[[#This Row],[CurrentStock]]&gt;0,Table1[[#This Row],[ReorderLevel]]-Table1[[#This Row],[CurrentStock]],"")</f>
        <v/>
      </c>
      <c r="N2542" t="str">
        <f>IF(Table1[[#This Row],[CurrentStock]]&gt;Table1[[#This Row],[ReorderLevel]]*3,"Over Stock","Okay")</f>
        <v>Okay</v>
      </c>
      <c r="O2542" t="str">
        <f>IF(Table1[[#This Row],[CurrentStock]]&lt;Table1[[#This Row],[ReorderLevel]],"Reorder","Okay")</f>
        <v>Okay</v>
      </c>
    </row>
    <row r="2543" spans="1:15" x14ac:dyDescent="0.3">
      <c r="A2543">
        <v>48568</v>
      </c>
      <c r="B2543" t="s">
        <v>20</v>
      </c>
      <c r="C2543" t="s">
        <v>29</v>
      </c>
      <c r="D2543">
        <v>495</v>
      </c>
      <c r="E2543">
        <v>40</v>
      </c>
      <c r="F2543">
        <v>460.56</v>
      </c>
      <c r="G2543" t="s">
        <v>35</v>
      </c>
      <c r="H2543" s="1">
        <v>45556</v>
      </c>
      <c r="I2543" s="1">
        <v>45564</v>
      </c>
      <c r="J2543" t="s">
        <v>39</v>
      </c>
      <c r="K2543" t="b">
        <f>Table1[[#This Row],[CurrentStock]]&lt;Table1[[#This Row],[ReorderLevel]]</f>
        <v>0</v>
      </c>
      <c r="L2543" s="9">
        <f>Table1[[#This Row],[CurrentStock]]*Table1[[#This Row],[UnitPrice]]</f>
        <v>227977.2</v>
      </c>
      <c r="M2543" t="str">
        <f>IF(Table1[[#This Row],[ReorderLevel]]-Table1[[#This Row],[CurrentStock]]&gt;0,Table1[[#This Row],[ReorderLevel]]-Table1[[#This Row],[CurrentStock]],"")</f>
        <v/>
      </c>
      <c r="N2543" t="str">
        <f>IF(Table1[[#This Row],[CurrentStock]]&gt;Table1[[#This Row],[ReorderLevel]]*3,"Over Stock","Okay")</f>
        <v>Over Stock</v>
      </c>
      <c r="O2543" t="str">
        <f>IF(Table1[[#This Row],[CurrentStock]]&lt;Table1[[#This Row],[ReorderLevel]],"Reorder","Okay")</f>
        <v>Okay</v>
      </c>
    </row>
    <row r="2544" spans="1:15" x14ac:dyDescent="0.3">
      <c r="A2544">
        <v>80561</v>
      </c>
      <c r="B2544" t="s">
        <v>18</v>
      </c>
      <c r="C2544" t="s">
        <v>28</v>
      </c>
      <c r="D2544">
        <v>337</v>
      </c>
      <c r="E2544">
        <v>40</v>
      </c>
      <c r="F2544">
        <v>302.35000000000002</v>
      </c>
      <c r="G2544" t="s">
        <v>35</v>
      </c>
      <c r="H2544" s="1">
        <v>45499</v>
      </c>
      <c r="I2544" s="1">
        <v>45507</v>
      </c>
      <c r="J2544" t="s">
        <v>39</v>
      </c>
      <c r="K2544" t="b">
        <f>Table1[[#This Row],[CurrentStock]]&lt;Table1[[#This Row],[ReorderLevel]]</f>
        <v>0</v>
      </c>
      <c r="L2544" s="9">
        <f>Table1[[#This Row],[CurrentStock]]*Table1[[#This Row],[UnitPrice]]</f>
        <v>101891.95000000001</v>
      </c>
      <c r="M2544" t="str">
        <f>IF(Table1[[#This Row],[ReorderLevel]]-Table1[[#This Row],[CurrentStock]]&gt;0,Table1[[#This Row],[ReorderLevel]]-Table1[[#This Row],[CurrentStock]],"")</f>
        <v/>
      </c>
      <c r="N2544" t="str">
        <f>IF(Table1[[#This Row],[CurrentStock]]&gt;Table1[[#This Row],[ReorderLevel]]*3,"Over Stock","Okay")</f>
        <v>Over Stock</v>
      </c>
      <c r="O2544" t="str">
        <f>IF(Table1[[#This Row],[CurrentStock]]&lt;Table1[[#This Row],[ReorderLevel]],"Reorder","Okay")</f>
        <v>Okay</v>
      </c>
    </row>
    <row r="2545" spans="1:15" x14ac:dyDescent="0.3">
      <c r="A2545">
        <v>24698</v>
      </c>
      <c r="B2545" t="s">
        <v>13</v>
      </c>
      <c r="C2545" t="s">
        <v>29</v>
      </c>
      <c r="D2545">
        <v>477</v>
      </c>
      <c r="E2545">
        <v>50</v>
      </c>
      <c r="F2545">
        <v>290.08</v>
      </c>
      <c r="G2545" t="s">
        <v>36</v>
      </c>
      <c r="H2545" s="1">
        <v>45502</v>
      </c>
      <c r="I2545" s="1">
        <v>45513</v>
      </c>
      <c r="J2545" t="s">
        <v>38</v>
      </c>
      <c r="K2545" t="b">
        <f>Table1[[#This Row],[CurrentStock]]&lt;Table1[[#This Row],[ReorderLevel]]</f>
        <v>0</v>
      </c>
      <c r="L2545" s="9">
        <f>Table1[[#This Row],[CurrentStock]]*Table1[[#This Row],[UnitPrice]]</f>
        <v>138368.16</v>
      </c>
      <c r="M2545" t="str">
        <f>IF(Table1[[#This Row],[ReorderLevel]]-Table1[[#This Row],[CurrentStock]]&gt;0,Table1[[#This Row],[ReorderLevel]]-Table1[[#This Row],[CurrentStock]],"")</f>
        <v/>
      </c>
      <c r="N2545" t="str">
        <f>IF(Table1[[#This Row],[CurrentStock]]&gt;Table1[[#This Row],[ReorderLevel]]*3,"Over Stock","Okay")</f>
        <v>Over Stock</v>
      </c>
      <c r="O2545" t="str">
        <f>IF(Table1[[#This Row],[CurrentStock]]&lt;Table1[[#This Row],[ReorderLevel]],"Reorder","Okay")</f>
        <v>Okay</v>
      </c>
    </row>
    <row r="2546" spans="1:15" x14ac:dyDescent="0.3">
      <c r="A2546">
        <v>89908</v>
      </c>
      <c r="B2546" t="s">
        <v>24</v>
      </c>
      <c r="C2546" t="s">
        <v>31</v>
      </c>
      <c r="D2546">
        <v>411</v>
      </c>
      <c r="E2546">
        <v>40</v>
      </c>
      <c r="F2546">
        <v>18.670000000000002</v>
      </c>
      <c r="G2546" t="s">
        <v>36</v>
      </c>
      <c r="H2546" s="1">
        <v>45576</v>
      </c>
      <c r="I2546" s="1">
        <v>45598</v>
      </c>
      <c r="J2546" t="s">
        <v>37</v>
      </c>
      <c r="K2546" t="b">
        <f>Table1[[#This Row],[CurrentStock]]&lt;Table1[[#This Row],[ReorderLevel]]</f>
        <v>0</v>
      </c>
      <c r="L2546" s="9">
        <f>Table1[[#This Row],[CurrentStock]]*Table1[[#This Row],[UnitPrice]]</f>
        <v>7673.3700000000008</v>
      </c>
      <c r="M2546" t="str">
        <f>IF(Table1[[#This Row],[ReorderLevel]]-Table1[[#This Row],[CurrentStock]]&gt;0,Table1[[#This Row],[ReorderLevel]]-Table1[[#This Row],[CurrentStock]],"")</f>
        <v/>
      </c>
      <c r="N2546" t="str">
        <f>IF(Table1[[#This Row],[CurrentStock]]&gt;Table1[[#This Row],[ReorderLevel]]*3,"Over Stock","Okay")</f>
        <v>Over Stock</v>
      </c>
      <c r="O2546" t="str">
        <f>IF(Table1[[#This Row],[CurrentStock]]&lt;Table1[[#This Row],[ReorderLevel]],"Reorder","Okay")</f>
        <v>Okay</v>
      </c>
    </row>
    <row r="2547" spans="1:15" x14ac:dyDescent="0.3">
      <c r="A2547">
        <v>34502</v>
      </c>
      <c r="B2547" t="s">
        <v>10</v>
      </c>
      <c r="C2547" t="s">
        <v>27</v>
      </c>
      <c r="D2547">
        <v>300</v>
      </c>
      <c r="E2547">
        <v>30</v>
      </c>
      <c r="F2547">
        <v>256.63</v>
      </c>
      <c r="G2547" t="s">
        <v>36</v>
      </c>
      <c r="H2547" s="1">
        <v>45570</v>
      </c>
      <c r="I2547" s="1">
        <v>45584</v>
      </c>
      <c r="J2547" t="s">
        <v>39</v>
      </c>
      <c r="K2547" t="b">
        <f>Table1[[#This Row],[CurrentStock]]&lt;Table1[[#This Row],[ReorderLevel]]</f>
        <v>0</v>
      </c>
      <c r="L2547" s="9">
        <f>Table1[[#This Row],[CurrentStock]]*Table1[[#This Row],[UnitPrice]]</f>
        <v>76989</v>
      </c>
      <c r="M2547" t="str">
        <f>IF(Table1[[#This Row],[ReorderLevel]]-Table1[[#This Row],[CurrentStock]]&gt;0,Table1[[#This Row],[ReorderLevel]]-Table1[[#This Row],[CurrentStock]],"")</f>
        <v/>
      </c>
      <c r="N2547" t="str">
        <f>IF(Table1[[#This Row],[CurrentStock]]&gt;Table1[[#This Row],[ReorderLevel]]*3,"Over Stock","Okay")</f>
        <v>Over Stock</v>
      </c>
      <c r="O2547" t="str">
        <f>IF(Table1[[#This Row],[CurrentStock]]&lt;Table1[[#This Row],[ReorderLevel]],"Reorder","Okay")</f>
        <v>Okay</v>
      </c>
    </row>
    <row r="2548" spans="1:15" x14ac:dyDescent="0.3">
      <c r="A2548">
        <v>64664</v>
      </c>
      <c r="B2548" t="s">
        <v>14</v>
      </c>
      <c r="C2548" t="s">
        <v>27</v>
      </c>
      <c r="D2548">
        <v>283</v>
      </c>
      <c r="E2548">
        <v>150</v>
      </c>
      <c r="F2548">
        <v>104.11</v>
      </c>
      <c r="G2548" t="s">
        <v>35</v>
      </c>
      <c r="H2548" s="1">
        <v>45391</v>
      </c>
      <c r="I2548" s="1">
        <v>45399</v>
      </c>
      <c r="J2548" t="s">
        <v>37</v>
      </c>
      <c r="K2548" t="b">
        <f>Table1[[#This Row],[CurrentStock]]&lt;Table1[[#This Row],[ReorderLevel]]</f>
        <v>0</v>
      </c>
      <c r="L2548" s="9">
        <f>Table1[[#This Row],[CurrentStock]]*Table1[[#This Row],[UnitPrice]]</f>
        <v>29463.13</v>
      </c>
      <c r="M2548" t="str">
        <f>IF(Table1[[#This Row],[ReorderLevel]]-Table1[[#This Row],[CurrentStock]]&gt;0,Table1[[#This Row],[ReorderLevel]]-Table1[[#This Row],[CurrentStock]],"")</f>
        <v/>
      </c>
      <c r="N2548" t="str">
        <f>IF(Table1[[#This Row],[CurrentStock]]&gt;Table1[[#This Row],[ReorderLevel]]*3,"Over Stock","Okay")</f>
        <v>Okay</v>
      </c>
      <c r="O2548" t="str">
        <f>IF(Table1[[#This Row],[CurrentStock]]&lt;Table1[[#This Row],[ReorderLevel]],"Reorder","Okay")</f>
        <v>Okay</v>
      </c>
    </row>
    <row r="2549" spans="1:15" x14ac:dyDescent="0.3">
      <c r="A2549">
        <v>23102</v>
      </c>
      <c r="B2549" t="s">
        <v>14</v>
      </c>
      <c r="C2549" t="s">
        <v>27</v>
      </c>
      <c r="D2549">
        <v>45</v>
      </c>
      <c r="E2549">
        <v>80</v>
      </c>
      <c r="F2549">
        <v>337.37</v>
      </c>
      <c r="G2549" t="s">
        <v>33</v>
      </c>
      <c r="H2549" s="1">
        <v>45519</v>
      </c>
      <c r="I2549" s="1">
        <v>45540</v>
      </c>
      <c r="J2549" t="s">
        <v>38</v>
      </c>
      <c r="K2549" t="b">
        <f>Table1[[#This Row],[CurrentStock]]&lt;Table1[[#This Row],[ReorderLevel]]</f>
        <v>1</v>
      </c>
      <c r="L2549" s="9">
        <f>Table1[[#This Row],[CurrentStock]]*Table1[[#This Row],[UnitPrice]]</f>
        <v>15181.65</v>
      </c>
      <c r="M2549">
        <f>IF(Table1[[#This Row],[ReorderLevel]]-Table1[[#This Row],[CurrentStock]]&gt;0,Table1[[#This Row],[ReorderLevel]]-Table1[[#This Row],[CurrentStock]],"")</f>
        <v>35</v>
      </c>
      <c r="N2549" t="str">
        <f>IF(Table1[[#This Row],[CurrentStock]]&gt;Table1[[#This Row],[ReorderLevel]]*3,"Over Stock","Okay")</f>
        <v>Okay</v>
      </c>
      <c r="O2549" t="str">
        <f>IF(Table1[[#This Row],[CurrentStock]]&lt;Table1[[#This Row],[ReorderLevel]],"Reorder","Okay")</f>
        <v>Reorder</v>
      </c>
    </row>
    <row r="2550" spans="1:15" x14ac:dyDescent="0.3">
      <c r="A2550">
        <v>92203</v>
      </c>
      <c r="B2550" t="s">
        <v>11</v>
      </c>
      <c r="C2550" t="s">
        <v>27</v>
      </c>
      <c r="D2550">
        <v>211</v>
      </c>
      <c r="E2550">
        <v>40</v>
      </c>
      <c r="F2550">
        <v>499.68</v>
      </c>
      <c r="G2550" t="s">
        <v>36</v>
      </c>
      <c r="H2550" s="1">
        <v>45400</v>
      </c>
      <c r="I2550" s="1">
        <v>45412</v>
      </c>
      <c r="J2550" t="s">
        <v>37</v>
      </c>
      <c r="K2550" t="b">
        <f>Table1[[#This Row],[CurrentStock]]&lt;Table1[[#This Row],[ReorderLevel]]</f>
        <v>0</v>
      </c>
      <c r="L2550" s="9">
        <f>Table1[[#This Row],[CurrentStock]]*Table1[[#This Row],[UnitPrice]]</f>
        <v>105432.48</v>
      </c>
      <c r="M2550" t="str">
        <f>IF(Table1[[#This Row],[ReorderLevel]]-Table1[[#This Row],[CurrentStock]]&gt;0,Table1[[#This Row],[ReorderLevel]]-Table1[[#This Row],[CurrentStock]],"")</f>
        <v/>
      </c>
      <c r="N2550" t="str">
        <f>IF(Table1[[#This Row],[CurrentStock]]&gt;Table1[[#This Row],[ReorderLevel]]*3,"Over Stock","Okay")</f>
        <v>Over Stock</v>
      </c>
      <c r="O2550" t="str">
        <f>IF(Table1[[#This Row],[CurrentStock]]&lt;Table1[[#This Row],[ReorderLevel]],"Reorder","Okay")</f>
        <v>Okay</v>
      </c>
    </row>
    <row r="2551" spans="1:15" x14ac:dyDescent="0.3">
      <c r="A2551">
        <v>46843</v>
      </c>
      <c r="B2551" t="s">
        <v>18</v>
      </c>
      <c r="C2551" t="s">
        <v>28</v>
      </c>
      <c r="D2551">
        <v>238</v>
      </c>
      <c r="E2551">
        <v>100</v>
      </c>
      <c r="F2551">
        <v>233.07</v>
      </c>
      <c r="G2551" t="s">
        <v>32</v>
      </c>
      <c r="H2551" s="1">
        <v>45631</v>
      </c>
      <c r="I2551" s="1">
        <v>45668</v>
      </c>
      <c r="J2551" t="s">
        <v>38</v>
      </c>
      <c r="K2551" t="b">
        <f>Table1[[#This Row],[CurrentStock]]&lt;Table1[[#This Row],[ReorderLevel]]</f>
        <v>0</v>
      </c>
      <c r="L2551" s="9">
        <f>Table1[[#This Row],[CurrentStock]]*Table1[[#This Row],[UnitPrice]]</f>
        <v>55470.659999999996</v>
      </c>
      <c r="M2551" t="str">
        <f>IF(Table1[[#This Row],[ReorderLevel]]-Table1[[#This Row],[CurrentStock]]&gt;0,Table1[[#This Row],[ReorderLevel]]-Table1[[#This Row],[CurrentStock]],"")</f>
        <v/>
      </c>
      <c r="N2551" t="str">
        <f>IF(Table1[[#This Row],[CurrentStock]]&gt;Table1[[#This Row],[ReorderLevel]]*3,"Over Stock","Okay")</f>
        <v>Okay</v>
      </c>
      <c r="O2551" t="str">
        <f>IF(Table1[[#This Row],[CurrentStock]]&lt;Table1[[#This Row],[ReorderLevel]],"Reorder","Okay")</f>
        <v>Okay</v>
      </c>
    </row>
    <row r="2552" spans="1:15" x14ac:dyDescent="0.3">
      <c r="A2552">
        <v>22992</v>
      </c>
      <c r="B2552" t="s">
        <v>23</v>
      </c>
      <c r="C2552" t="s">
        <v>30</v>
      </c>
      <c r="D2552">
        <v>288</v>
      </c>
      <c r="E2552">
        <v>40</v>
      </c>
      <c r="F2552">
        <v>337.89</v>
      </c>
      <c r="G2552" t="s">
        <v>32</v>
      </c>
      <c r="H2552" s="1">
        <v>45589</v>
      </c>
      <c r="I2552" s="1">
        <v>45615</v>
      </c>
      <c r="J2552" t="s">
        <v>37</v>
      </c>
      <c r="K2552" t="b">
        <f>Table1[[#This Row],[CurrentStock]]&lt;Table1[[#This Row],[ReorderLevel]]</f>
        <v>0</v>
      </c>
      <c r="L2552" s="9">
        <f>Table1[[#This Row],[CurrentStock]]*Table1[[#This Row],[UnitPrice]]</f>
        <v>97312.319999999992</v>
      </c>
      <c r="M2552" t="str">
        <f>IF(Table1[[#This Row],[ReorderLevel]]-Table1[[#This Row],[CurrentStock]]&gt;0,Table1[[#This Row],[ReorderLevel]]-Table1[[#This Row],[CurrentStock]],"")</f>
        <v/>
      </c>
      <c r="N2552" t="str">
        <f>IF(Table1[[#This Row],[CurrentStock]]&gt;Table1[[#This Row],[ReorderLevel]]*3,"Over Stock","Okay")</f>
        <v>Over Stock</v>
      </c>
      <c r="O2552" t="str">
        <f>IF(Table1[[#This Row],[CurrentStock]]&lt;Table1[[#This Row],[ReorderLevel]],"Reorder","Okay")</f>
        <v>Okay</v>
      </c>
    </row>
    <row r="2553" spans="1:15" x14ac:dyDescent="0.3">
      <c r="A2553">
        <v>29703</v>
      </c>
      <c r="B2553" t="s">
        <v>11</v>
      </c>
      <c r="C2553" t="s">
        <v>27</v>
      </c>
      <c r="D2553">
        <v>438</v>
      </c>
      <c r="E2553">
        <v>100</v>
      </c>
      <c r="F2553">
        <v>84.38</v>
      </c>
      <c r="G2553" t="s">
        <v>33</v>
      </c>
      <c r="H2553" s="1">
        <v>45499</v>
      </c>
      <c r="I2553" s="1">
        <v>45511</v>
      </c>
      <c r="J2553" t="s">
        <v>38</v>
      </c>
      <c r="K2553" t="b">
        <f>Table1[[#This Row],[CurrentStock]]&lt;Table1[[#This Row],[ReorderLevel]]</f>
        <v>0</v>
      </c>
      <c r="L2553" s="9">
        <f>Table1[[#This Row],[CurrentStock]]*Table1[[#This Row],[UnitPrice]]</f>
        <v>36958.439999999995</v>
      </c>
      <c r="M2553" t="str">
        <f>IF(Table1[[#This Row],[ReorderLevel]]-Table1[[#This Row],[CurrentStock]]&gt;0,Table1[[#This Row],[ReorderLevel]]-Table1[[#This Row],[CurrentStock]],"")</f>
        <v/>
      </c>
      <c r="N2553" t="str">
        <f>IF(Table1[[#This Row],[CurrentStock]]&gt;Table1[[#This Row],[ReorderLevel]]*3,"Over Stock","Okay")</f>
        <v>Over Stock</v>
      </c>
      <c r="O2553" t="str">
        <f>IF(Table1[[#This Row],[CurrentStock]]&lt;Table1[[#This Row],[ReorderLevel]],"Reorder","Okay")</f>
        <v>Okay</v>
      </c>
    </row>
    <row r="2554" spans="1:15" x14ac:dyDescent="0.3">
      <c r="A2554">
        <v>85653</v>
      </c>
      <c r="B2554" t="s">
        <v>12</v>
      </c>
      <c r="C2554" t="s">
        <v>28</v>
      </c>
      <c r="D2554">
        <v>183</v>
      </c>
      <c r="E2554">
        <v>50</v>
      </c>
      <c r="F2554">
        <v>355.14</v>
      </c>
      <c r="G2554" t="s">
        <v>36</v>
      </c>
      <c r="H2554" s="1">
        <v>45479</v>
      </c>
      <c r="I2554" s="1">
        <v>45490</v>
      </c>
      <c r="J2554" t="s">
        <v>38</v>
      </c>
      <c r="K2554" t="b">
        <f>Table1[[#This Row],[CurrentStock]]&lt;Table1[[#This Row],[ReorderLevel]]</f>
        <v>0</v>
      </c>
      <c r="L2554" s="9">
        <f>Table1[[#This Row],[CurrentStock]]*Table1[[#This Row],[UnitPrice]]</f>
        <v>64990.619999999995</v>
      </c>
      <c r="M2554" t="str">
        <f>IF(Table1[[#This Row],[ReorderLevel]]-Table1[[#This Row],[CurrentStock]]&gt;0,Table1[[#This Row],[ReorderLevel]]-Table1[[#This Row],[CurrentStock]],"")</f>
        <v/>
      </c>
      <c r="N2554" t="str">
        <f>IF(Table1[[#This Row],[CurrentStock]]&gt;Table1[[#This Row],[ReorderLevel]]*3,"Over Stock","Okay")</f>
        <v>Over Stock</v>
      </c>
      <c r="O2554" t="str">
        <f>IF(Table1[[#This Row],[CurrentStock]]&lt;Table1[[#This Row],[ReorderLevel]],"Reorder","Okay")</f>
        <v>Okay</v>
      </c>
    </row>
    <row r="2555" spans="1:15" x14ac:dyDescent="0.3">
      <c r="A2555">
        <v>37328</v>
      </c>
      <c r="B2555" t="s">
        <v>25</v>
      </c>
      <c r="C2555" t="s">
        <v>31</v>
      </c>
      <c r="D2555">
        <v>130</v>
      </c>
      <c r="E2555">
        <v>20</v>
      </c>
      <c r="F2555">
        <v>366.69</v>
      </c>
      <c r="G2555" t="s">
        <v>35</v>
      </c>
      <c r="H2555" s="1">
        <v>45593</v>
      </c>
      <c r="I2555" s="1">
        <v>45619</v>
      </c>
      <c r="J2555" t="s">
        <v>38</v>
      </c>
      <c r="K2555" t="b">
        <f>Table1[[#This Row],[CurrentStock]]&lt;Table1[[#This Row],[ReorderLevel]]</f>
        <v>0</v>
      </c>
      <c r="L2555" s="9">
        <f>Table1[[#This Row],[CurrentStock]]*Table1[[#This Row],[UnitPrice]]</f>
        <v>47669.7</v>
      </c>
      <c r="M2555" t="str">
        <f>IF(Table1[[#This Row],[ReorderLevel]]-Table1[[#This Row],[CurrentStock]]&gt;0,Table1[[#This Row],[ReorderLevel]]-Table1[[#This Row],[CurrentStock]],"")</f>
        <v/>
      </c>
      <c r="N2555" t="str">
        <f>IF(Table1[[#This Row],[CurrentStock]]&gt;Table1[[#This Row],[ReorderLevel]]*3,"Over Stock","Okay")</f>
        <v>Over Stock</v>
      </c>
      <c r="O2555" t="str">
        <f>IF(Table1[[#This Row],[CurrentStock]]&lt;Table1[[#This Row],[ReorderLevel]],"Reorder","Okay")</f>
        <v>Okay</v>
      </c>
    </row>
    <row r="2556" spans="1:15" x14ac:dyDescent="0.3">
      <c r="A2556">
        <v>12703</v>
      </c>
      <c r="B2556" t="s">
        <v>14</v>
      </c>
      <c r="C2556" t="s">
        <v>27</v>
      </c>
      <c r="D2556">
        <v>97</v>
      </c>
      <c r="E2556">
        <v>20</v>
      </c>
      <c r="F2556">
        <v>342.43</v>
      </c>
      <c r="G2556" t="s">
        <v>32</v>
      </c>
      <c r="H2556" s="1">
        <v>45379</v>
      </c>
      <c r="I2556" s="1">
        <v>45395</v>
      </c>
      <c r="J2556" t="s">
        <v>38</v>
      </c>
      <c r="K2556" t="b">
        <f>Table1[[#This Row],[CurrentStock]]&lt;Table1[[#This Row],[ReorderLevel]]</f>
        <v>0</v>
      </c>
      <c r="L2556" s="9">
        <f>Table1[[#This Row],[CurrentStock]]*Table1[[#This Row],[UnitPrice]]</f>
        <v>33215.71</v>
      </c>
      <c r="M2556" t="str">
        <f>IF(Table1[[#This Row],[ReorderLevel]]-Table1[[#This Row],[CurrentStock]]&gt;0,Table1[[#This Row],[ReorderLevel]]-Table1[[#This Row],[CurrentStock]],"")</f>
        <v/>
      </c>
      <c r="N2556" t="str">
        <f>IF(Table1[[#This Row],[CurrentStock]]&gt;Table1[[#This Row],[ReorderLevel]]*3,"Over Stock","Okay")</f>
        <v>Over Stock</v>
      </c>
      <c r="O2556" t="str">
        <f>IF(Table1[[#This Row],[CurrentStock]]&lt;Table1[[#This Row],[ReorderLevel]],"Reorder","Okay")</f>
        <v>Okay</v>
      </c>
    </row>
    <row r="2557" spans="1:15" x14ac:dyDescent="0.3">
      <c r="A2557">
        <v>66195</v>
      </c>
      <c r="B2557" t="s">
        <v>10</v>
      </c>
      <c r="C2557" t="s">
        <v>27</v>
      </c>
      <c r="D2557">
        <v>211</v>
      </c>
      <c r="E2557">
        <v>20</v>
      </c>
      <c r="F2557">
        <v>408.22</v>
      </c>
      <c r="G2557" t="s">
        <v>36</v>
      </c>
      <c r="H2557" s="1">
        <v>45330</v>
      </c>
      <c r="I2557" s="1">
        <v>45347</v>
      </c>
      <c r="J2557" t="s">
        <v>39</v>
      </c>
      <c r="K2557" t="b">
        <f>Table1[[#This Row],[CurrentStock]]&lt;Table1[[#This Row],[ReorderLevel]]</f>
        <v>0</v>
      </c>
      <c r="L2557" s="9">
        <f>Table1[[#This Row],[CurrentStock]]*Table1[[#This Row],[UnitPrice]]</f>
        <v>86134.420000000013</v>
      </c>
      <c r="M2557" t="str">
        <f>IF(Table1[[#This Row],[ReorderLevel]]-Table1[[#This Row],[CurrentStock]]&gt;0,Table1[[#This Row],[ReorderLevel]]-Table1[[#This Row],[CurrentStock]],"")</f>
        <v/>
      </c>
      <c r="N2557" t="str">
        <f>IF(Table1[[#This Row],[CurrentStock]]&gt;Table1[[#This Row],[ReorderLevel]]*3,"Over Stock","Okay")</f>
        <v>Over Stock</v>
      </c>
      <c r="O2557" t="str">
        <f>IF(Table1[[#This Row],[CurrentStock]]&lt;Table1[[#This Row],[ReorderLevel]],"Reorder","Okay")</f>
        <v>Okay</v>
      </c>
    </row>
    <row r="2558" spans="1:15" x14ac:dyDescent="0.3">
      <c r="A2558">
        <v>15723</v>
      </c>
      <c r="B2558" t="s">
        <v>20</v>
      </c>
      <c r="C2558" t="s">
        <v>29</v>
      </c>
      <c r="D2558">
        <v>87</v>
      </c>
      <c r="E2558">
        <v>80</v>
      </c>
      <c r="F2558">
        <v>315.25</v>
      </c>
      <c r="G2558" t="s">
        <v>36</v>
      </c>
      <c r="H2558" s="1">
        <v>45417</v>
      </c>
      <c r="I2558" s="1">
        <v>45443</v>
      </c>
      <c r="J2558" t="s">
        <v>37</v>
      </c>
      <c r="K2558" t="b">
        <f>Table1[[#This Row],[CurrentStock]]&lt;Table1[[#This Row],[ReorderLevel]]</f>
        <v>0</v>
      </c>
      <c r="L2558" s="9">
        <f>Table1[[#This Row],[CurrentStock]]*Table1[[#This Row],[UnitPrice]]</f>
        <v>27426.75</v>
      </c>
      <c r="M2558" t="str">
        <f>IF(Table1[[#This Row],[ReorderLevel]]-Table1[[#This Row],[CurrentStock]]&gt;0,Table1[[#This Row],[ReorderLevel]]-Table1[[#This Row],[CurrentStock]],"")</f>
        <v/>
      </c>
      <c r="N2558" t="str">
        <f>IF(Table1[[#This Row],[CurrentStock]]&gt;Table1[[#This Row],[ReorderLevel]]*3,"Over Stock","Okay")</f>
        <v>Okay</v>
      </c>
      <c r="O2558" t="str">
        <f>IF(Table1[[#This Row],[CurrentStock]]&lt;Table1[[#This Row],[ReorderLevel]],"Reorder","Okay")</f>
        <v>Okay</v>
      </c>
    </row>
    <row r="2559" spans="1:15" x14ac:dyDescent="0.3">
      <c r="A2559">
        <v>31162</v>
      </c>
      <c r="B2559" t="s">
        <v>19</v>
      </c>
      <c r="C2559" t="s">
        <v>28</v>
      </c>
      <c r="D2559">
        <v>120</v>
      </c>
      <c r="E2559">
        <v>80</v>
      </c>
      <c r="F2559">
        <v>71.94</v>
      </c>
      <c r="G2559" t="s">
        <v>33</v>
      </c>
      <c r="H2559" s="1">
        <v>45652</v>
      </c>
      <c r="I2559" s="1">
        <v>45674</v>
      </c>
      <c r="J2559" t="s">
        <v>37</v>
      </c>
      <c r="K2559" t="b">
        <f>Table1[[#This Row],[CurrentStock]]&lt;Table1[[#This Row],[ReorderLevel]]</f>
        <v>0</v>
      </c>
      <c r="L2559" s="9">
        <f>Table1[[#This Row],[CurrentStock]]*Table1[[#This Row],[UnitPrice]]</f>
        <v>8632.7999999999993</v>
      </c>
      <c r="M2559" t="str">
        <f>IF(Table1[[#This Row],[ReorderLevel]]-Table1[[#This Row],[CurrentStock]]&gt;0,Table1[[#This Row],[ReorderLevel]]-Table1[[#This Row],[CurrentStock]],"")</f>
        <v/>
      </c>
      <c r="N2559" t="str">
        <f>IF(Table1[[#This Row],[CurrentStock]]&gt;Table1[[#This Row],[ReorderLevel]]*3,"Over Stock","Okay")</f>
        <v>Okay</v>
      </c>
      <c r="O2559" t="str">
        <f>IF(Table1[[#This Row],[CurrentStock]]&lt;Table1[[#This Row],[ReorderLevel]],"Reorder","Okay")</f>
        <v>Okay</v>
      </c>
    </row>
    <row r="2560" spans="1:15" x14ac:dyDescent="0.3">
      <c r="A2560">
        <v>87195</v>
      </c>
      <c r="B2560" t="s">
        <v>10</v>
      </c>
      <c r="C2560" t="s">
        <v>27</v>
      </c>
      <c r="D2560">
        <v>35</v>
      </c>
      <c r="E2560">
        <v>100</v>
      </c>
      <c r="F2560">
        <v>242.69</v>
      </c>
      <c r="G2560" t="s">
        <v>34</v>
      </c>
      <c r="H2560" s="1">
        <v>45539</v>
      </c>
      <c r="I2560" s="1">
        <v>45562</v>
      </c>
      <c r="J2560" t="s">
        <v>38</v>
      </c>
      <c r="K2560" t="b">
        <f>Table1[[#This Row],[CurrentStock]]&lt;Table1[[#This Row],[ReorderLevel]]</f>
        <v>1</v>
      </c>
      <c r="L2560" s="9">
        <f>Table1[[#This Row],[CurrentStock]]*Table1[[#This Row],[UnitPrice]]</f>
        <v>8494.15</v>
      </c>
      <c r="M2560">
        <f>IF(Table1[[#This Row],[ReorderLevel]]-Table1[[#This Row],[CurrentStock]]&gt;0,Table1[[#This Row],[ReorderLevel]]-Table1[[#This Row],[CurrentStock]],"")</f>
        <v>65</v>
      </c>
      <c r="N2560" t="str">
        <f>IF(Table1[[#This Row],[CurrentStock]]&gt;Table1[[#This Row],[ReorderLevel]]*3,"Over Stock","Okay")</f>
        <v>Okay</v>
      </c>
      <c r="O2560" t="str">
        <f>IF(Table1[[#This Row],[CurrentStock]]&lt;Table1[[#This Row],[ReorderLevel]],"Reorder","Okay")</f>
        <v>Reorder</v>
      </c>
    </row>
    <row r="2561" spans="1:15" x14ac:dyDescent="0.3">
      <c r="A2561">
        <v>35931</v>
      </c>
      <c r="B2561" t="s">
        <v>17</v>
      </c>
      <c r="C2561" t="s">
        <v>30</v>
      </c>
      <c r="D2561">
        <v>98</v>
      </c>
      <c r="E2561">
        <v>50</v>
      </c>
      <c r="F2561">
        <v>152.97</v>
      </c>
      <c r="G2561" t="s">
        <v>35</v>
      </c>
      <c r="H2561" s="1">
        <v>45490</v>
      </c>
      <c r="I2561" s="1">
        <v>45497</v>
      </c>
      <c r="J2561" t="s">
        <v>37</v>
      </c>
      <c r="K2561" t="b">
        <f>Table1[[#This Row],[CurrentStock]]&lt;Table1[[#This Row],[ReorderLevel]]</f>
        <v>0</v>
      </c>
      <c r="L2561" s="9">
        <f>Table1[[#This Row],[CurrentStock]]*Table1[[#This Row],[UnitPrice]]</f>
        <v>14991.06</v>
      </c>
      <c r="M2561" t="str">
        <f>IF(Table1[[#This Row],[ReorderLevel]]-Table1[[#This Row],[CurrentStock]]&gt;0,Table1[[#This Row],[ReorderLevel]]-Table1[[#This Row],[CurrentStock]],"")</f>
        <v/>
      </c>
      <c r="N2561" t="str">
        <f>IF(Table1[[#This Row],[CurrentStock]]&gt;Table1[[#This Row],[ReorderLevel]]*3,"Over Stock","Okay")</f>
        <v>Okay</v>
      </c>
      <c r="O2561" t="str">
        <f>IF(Table1[[#This Row],[CurrentStock]]&lt;Table1[[#This Row],[ReorderLevel]],"Reorder","Okay")</f>
        <v>Okay</v>
      </c>
    </row>
    <row r="2562" spans="1:15" x14ac:dyDescent="0.3">
      <c r="A2562">
        <v>20605</v>
      </c>
      <c r="B2562" t="s">
        <v>14</v>
      </c>
      <c r="C2562" t="s">
        <v>27</v>
      </c>
      <c r="D2562">
        <v>290</v>
      </c>
      <c r="E2562">
        <v>50</v>
      </c>
      <c r="F2562">
        <v>143.25</v>
      </c>
      <c r="G2562" t="s">
        <v>34</v>
      </c>
      <c r="H2562" s="1">
        <v>45485</v>
      </c>
      <c r="I2562" s="1">
        <v>45503</v>
      </c>
      <c r="J2562" t="s">
        <v>37</v>
      </c>
      <c r="K2562" t="b">
        <f>Table1[[#This Row],[CurrentStock]]&lt;Table1[[#This Row],[ReorderLevel]]</f>
        <v>0</v>
      </c>
      <c r="L2562" s="9">
        <f>Table1[[#This Row],[CurrentStock]]*Table1[[#This Row],[UnitPrice]]</f>
        <v>41542.5</v>
      </c>
      <c r="M2562" t="str">
        <f>IF(Table1[[#This Row],[ReorderLevel]]-Table1[[#This Row],[CurrentStock]]&gt;0,Table1[[#This Row],[ReorderLevel]]-Table1[[#This Row],[CurrentStock]],"")</f>
        <v/>
      </c>
      <c r="N2562" t="str">
        <f>IF(Table1[[#This Row],[CurrentStock]]&gt;Table1[[#This Row],[ReorderLevel]]*3,"Over Stock","Okay")</f>
        <v>Over Stock</v>
      </c>
      <c r="O2562" t="str">
        <f>IF(Table1[[#This Row],[CurrentStock]]&lt;Table1[[#This Row],[ReorderLevel]],"Reorder","Okay")</f>
        <v>Okay</v>
      </c>
    </row>
    <row r="2563" spans="1:15" x14ac:dyDescent="0.3">
      <c r="A2563">
        <v>87195</v>
      </c>
      <c r="B2563" t="s">
        <v>17</v>
      </c>
      <c r="C2563" t="s">
        <v>30</v>
      </c>
      <c r="D2563">
        <v>48</v>
      </c>
      <c r="E2563">
        <v>150</v>
      </c>
      <c r="F2563">
        <v>89.7</v>
      </c>
      <c r="G2563" t="s">
        <v>32</v>
      </c>
      <c r="H2563" s="1">
        <v>45530</v>
      </c>
      <c r="I2563" s="1">
        <v>45551</v>
      </c>
      <c r="J2563" t="s">
        <v>38</v>
      </c>
      <c r="K2563" t="b">
        <f>Table1[[#This Row],[CurrentStock]]&lt;Table1[[#This Row],[ReorderLevel]]</f>
        <v>1</v>
      </c>
      <c r="L2563" s="9">
        <f>Table1[[#This Row],[CurrentStock]]*Table1[[#This Row],[UnitPrice]]</f>
        <v>4305.6000000000004</v>
      </c>
      <c r="M2563">
        <f>IF(Table1[[#This Row],[ReorderLevel]]-Table1[[#This Row],[CurrentStock]]&gt;0,Table1[[#This Row],[ReorderLevel]]-Table1[[#This Row],[CurrentStock]],"")</f>
        <v>102</v>
      </c>
      <c r="N2563" t="str">
        <f>IF(Table1[[#This Row],[CurrentStock]]&gt;Table1[[#This Row],[ReorderLevel]]*3,"Over Stock","Okay")</f>
        <v>Okay</v>
      </c>
      <c r="O2563" t="str">
        <f>IF(Table1[[#This Row],[CurrentStock]]&lt;Table1[[#This Row],[ReorderLevel]],"Reorder","Okay")</f>
        <v>Reorder</v>
      </c>
    </row>
    <row r="2564" spans="1:15" x14ac:dyDescent="0.3">
      <c r="A2564">
        <v>58745</v>
      </c>
      <c r="B2564" t="s">
        <v>15</v>
      </c>
      <c r="C2564" t="s">
        <v>29</v>
      </c>
      <c r="D2564">
        <v>382</v>
      </c>
      <c r="E2564">
        <v>150</v>
      </c>
      <c r="F2564">
        <v>142.02000000000001</v>
      </c>
      <c r="G2564" t="s">
        <v>33</v>
      </c>
      <c r="H2564" s="1">
        <v>45576</v>
      </c>
      <c r="I2564" s="1">
        <v>45607</v>
      </c>
      <c r="J2564" t="s">
        <v>38</v>
      </c>
      <c r="K2564" t="b">
        <f>Table1[[#This Row],[CurrentStock]]&lt;Table1[[#This Row],[ReorderLevel]]</f>
        <v>0</v>
      </c>
      <c r="L2564" s="9">
        <f>Table1[[#This Row],[CurrentStock]]*Table1[[#This Row],[UnitPrice]]</f>
        <v>54251.640000000007</v>
      </c>
      <c r="M2564" t="str">
        <f>IF(Table1[[#This Row],[ReorderLevel]]-Table1[[#This Row],[CurrentStock]]&gt;0,Table1[[#This Row],[ReorderLevel]]-Table1[[#This Row],[CurrentStock]],"")</f>
        <v/>
      </c>
      <c r="N2564" t="str">
        <f>IF(Table1[[#This Row],[CurrentStock]]&gt;Table1[[#This Row],[ReorderLevel]]*3,"Over Stock","Okay")</f>
        <v>Okay</v>
      </c>
      <c r="O2564" t="str">
        <f>IF(Table1[[#This Row],[CurrentStock]]&lt;Table1[[#This Row],[ReorderLevel]],"Reorder","Okay")</f>
        <v>Okay</v>
      </c>
    </row>
    <row r="2565" spans="1:15" x14ac:dyDescent="0.3">
      <c r="A2565">
        <v>94482</v>
      </c>
      <c r="B2565" t="s">
        <v>10</v>
      </c>
      <c r="C2565" t="s">
        <v>27</v>
      </c>
      <c r="D2565">
        <v>175</v>
      </c>
      <c r="E2565">
        <v>100</v>
      </c>
      <c r="F2565">
        <v>244.78</v>
      </c>
      <c r="G2565" t="s">
        <v>35</v>
      </c>
      <c r="H2565" s="1">
        <v>45540</v>
      </c>
      <c r="I2565" s="1">
        <v>45556</v>
      </c>
      <c r="J2565" t="s">
        <v>37</v>
      </c>
      <c r="K2565" t="b">
        <f>Table1[[#This Row],[CurrentStock]]&lt;Table1[[#This Row],[ReorderLevel]]</f>
        <v>0</v>
      </c>
      <c r="L2565" s="9">
        <f>Table1[[#This Row],[CurrentStock]]*Table1[[#This Row],[UnitPrice]]</f>
        <v>42836.5</v>
      </c>
      <c r="M2565" t="str">
        <f>IF(Table1[[#This Row],[ReorderLevel]]-Table1[[#This Row],[CurrentStock]]&gt;0,Table1[[#This Row],[ReorderLevel]]-Table1[[#This Row],[CurrentStock]],"")</f>
        <v/>
      </c>
      <c r="N2565" t="str">
        <f>IF(Table1[[#This Row],[CurrentStock]]&gt;Table1[[#This Row],[ReorderLevel]]*3,"Over Stock","Okay")</f>
        <v>Okay</v>
      </c>
      <c r="O2565" t="str">
        <f>IF(Table1[[#This Row],[CurrentStock]]&lt;Table1[[#This Row],[ReorderLevel]],"Reorder","Okay")</f>
        <v>Okay</v>
      </c>
    </row>
    <row r="2566" spans="1:15" x14ac:dyDescent="0.3">
      <c r="A2566">
        <v>29564</v>
      </c>
      <c r="B2566" t="s">
        <v>25</v>
      </c>
      <c r="C2566" t="s">
        <v>31</v>
      </c>
      <c r="D2566">
        <v>122</v>
      </c>
      <c r="E2566">
        <v>20</v>
      </c>
      <c r="F2566">
        <v>165.04</v>
      </c>
      <c r="G2566" t="s">
        <v>32</v>
      </c>
      <c r="H2566" s="1">
        <v>45449</v>
      </c>
      <c r="I2566" s="1">
        <v>45479</v>
      </c>
      <c r="J2566" t="s">
        <v>39</v>
      </c>
      <c r="K2566" t="b">
        <f>Table1[[#This Row],[CurrentStock]]&lt;Table1[[#This Row],[ReorderLevel]]</f>
        <v>0</v>
      </c>
      <c r="L2566" s="9">
        <f>Table1[[#This Row],[CurrentStock]]*Table1[[#This Row],[UnitPrice]]</f>
        <v>20134.879999999997</v>
      </c>
      <c r="M2566" t="str">
        <f>IF(Table1[[#This Row],[ReorderLevel]]-Table1[[#This Row],[CurrentStock]]&gt;0,Table1[[#This Row],[ReorderLevel]]-Table1[[#This Row],[CurrentStock]],"")</f>
        <v/>
      </c>
      <c r="N2566" t="str">
        <f>IF(Table1[[#This Row],[CurrentStock]]&gt;Table1[[#This Row],[ReorderLevel]]*3,"Over Stock","Okay")</f>
        <v>Over Stock</v>
      </c>
      <c r="O2566" t="str">
        <f>IF(Table1[[#This Row],[CurrentStock]]&lt;Table1[[#This Row],[ReorderLevel]],"Reorder","Okay")</f>
        <v>Okay</v>
      </c>
    </row>
    <row r="2567" spans="1:15" x14ac:dyDescent="0.3">
      <c r="A2567">
        <v>78071</v>
      </c>
      <c r="B2567" t="s">
        <v>23</v>
      </c>
      <c r="C2567" t="s">
        <v>30</v>
      </c>
      <c r="D2567">
        <v>414</v>
      </c>
      <c r="E2567">
        <v>100</v>
      </c>
      <c r="F2567">
        <v>258.27</v>
      </c>
      <c r="G2567" t="s">
        <v>32</v>
      </c>
      <c r="H2567" s="1">
        <v>45621</v>
      </c>
      <c r="I2567" s="1">
        <v>45634</v>
      </c>
      <c r="J2567" t="s">
        <v>39</v>
      </c>
      <c r="K2567" t="b">
        <f>Table1[[#This Row],[CurrentStock]]&lt;Table1[[#This Row],[ReorderLevel]]</f>
        <v>0</v>
      </c>
      <c r="L2567" s="9">
        <f>Table1[[#This Row],[CurrentStock]]*Table1[[#This Row],[UnitPrice]]</f>
        <v>106923.78</v>
      </c>
      <c r="M2567" t="str">
        <f>IF(Table1[[#This Row],[ReorderLevel]]-Table1[[#This Row],[CurrentStock]]&gt;0,Table1[[#This Row],[ReorderLevel]]-Table1[[#This Row],[CurrentStock]],"")</f>
        <v/>
      </c>
      <c r="N2567" t="str">
        <f>IF(Table1[[#This Row],[CurrentStock]]&gt;Table1[[#This Row],[ReorderLevel]]*3,"Over Stock","Okay")</f>
        <v>Over Stock</v>
      </c>
      <c r="O2567" t="str">
        <f>IF(Table1[[#This Row],[CurrentStock]]&lt;Table1[[#This Row],[ReorderLevel]],"Reorder","Okay")</f>
        <v>Okay</v>
      </c>
    </row>
    <row r="2568" spans="1:15" x14ac:dyDescent="0.3">
      <c r="A2568">
        <v>99694</v>
      </c>
      <c r="B2568" t="s">
        <v>21</v>
      </c>
      <c r="C2568" t="s">
        <v>31</v>
      </c>
      <c r="D2568">
        <v>60</v>
      </c>
      <c r="E2568">
        <v>40</v>
      </c>
      <c r="F2568">
        <v>115.77</v>
      </c>
      <c r="G2568" t="s">
        <v>36</v>
      </c>
      <c r="H2568" s="1">
        <v>45578</v>
      </c>
      <c r="I2568" s="1">
        <v>45583</v>
      </c>
      <c r="J2568" t="s">
        <v>37</v>
      </c>
      <c r="K2568" t="b">
        <f>Table1[[#This Row],[CurrentStock]]&lt;Table1[[#This Row],[ReorderLevel]]</f>
        <v>0</v>
      </c>
      <c r="L2568" s="9">
        <f>Table1[[#This Row],[CurrentStock]]*Table1[[#This Row],[UnitPrice]]</f>
        <v>6946.2</v>
      </c>
      <c r="M2568" t="str">
        <f>IF(Table1[[#This Row],[ReorderLevel]]-Table1[[#This Row],[CurrentStock]]&gt;0,Table1[[#This Row],[ReorderLevel]]-Table1[[#This Row],[CurrentStock]],"")</f>
        <v/>
      </c>
      <c r="N2568" t="str">
        <f>IF(Table1[[#This Row],[CurrentStock]]&gt;Table1[[#This Row],[ReorderLevel]]*3,"Over Stock","Okay")</f>
        <v>Okay</v>
      </c>
      <c r="O2568" t="str">
        <f>IF(Table1[[#This Row],[CurrentStock]]&lt;Table1[[#This Row],[ReorderLevel]],"Reorder","Okay")</f>
        <v>Okay</v>
      </c>
    </row>
    <row r="2569" spans="1:15" x14ac:dyDescent="0.3">
      <c r="A2569">
        <v>29715</v>
      </c>
      <c r="B2569" t="s">
        <v>20</v>
      </c>
      <c r="C2569" t="s">
        <v>29</v>
      </c>
      <c r="D2569">
        <v>290</v>
      </c>
      <c r="E2569">
        <v>150</v>
      </c>
      <c r="F2569">
        <v>219.68</v>
      </c>
      <c r="G2569" t="s">
        <v>36</v>
      </c>
      <c r="H2569" s="1">
        <v>45630</v>
      </c>
      <c r="I2569" s="1">
        <v>45662</v>
      </c>
      <c r="J2569" t="s">
        <v>37</v>
      </c>
      <c r="K2569" t="b">
        <f>Table1[[#This Row],[CurrentStock]]&lt;Table1[[#This Row],[ReorderLevel]]</f>
        <v>0</v>
      </c>
      <c r="L2569" s="9">
        <f>Table1[[#This Row],[CurrentStock]]*Table1[[#This Row],[UnitPrice]]</f>
        <v>63707.200000000004</v>
      </c>
      <c r="M2569" t="str">
        <f>IF(Table1[[#This Row],[ReorderLevel]]-Table1[[#This Row],[CurrentStock]]&gt;0,Table1[[#This Row],[ReorderLevel]]-Table1[[#This Row],[CurrentStock]],"")</f>
        <v/>
      </c>
      <c r="N2569" t="str">
        <f>IF(Table1[[#This Row],[CurrentStock]]&gt;Table1[[#This Row],[ReorderLevel]]*3,"Over Stock","Okay")</f>
        <v>Okay</v>
      </c>
      <c r="O2569" t="str">
        <f>IF(Table1[[#This Row],[CurrentStock]]&lt;Table1[[#This Row],[ReorderLevel]],"Reorder","Okay")</f>
        <v>Okay</v>
      </c>
    </row>
    <row r="2570" spans="1:15" x14ac:dyDescent="0.3">
      <c r="A2570">
        <v>85761</v>
      </c>
      <c r="B2570" t="s">
        <v>13</v>
      </c>
      <c r="C2570" t="s">
        <v>29</v>
      </c>
      <c r="D2570">
        <v>479</v>
      </c>
      <c r="E2570">
        <v>40</v>
      </c>
      <c r="F2570">
        <v>471.97</v>
      </c>
      <c r="G2570" t="s">
        <v>35</v>
      </c>
      <c r="H2570" s="1">
        <v>45503</v>
      </c>
      <c r="I2570" s="1">
        <v>45509</v>
      </c>
      <c r="J2570" t="s">
        <v>38</v>
      </c>
      <c r="K2570" t="b">
        <f>Table1[[#This Row],[CurrentStock]]&lt;Table1[[#This Row],[ReorderLevel]]</f>
        <v>0</v>
      </c>
      <c r="L2570" s="9">
        <f>Table1[[#This Row],[CurrentStock]]*Table1[[#This Row],[UnitPrice]]</f>
        <v>226073.63</v>
      </c>
      <c r="M2570" t="str">
        <f>IF(Table1[[#This Row],[ReorderLevel]]-Table1[[#This Row],[CurrentStock]]&gt;0,Table1[[#This Row],[ReorderLevel]]-Table1[[#This Row],[CurrentStock]],"")</f>
        <v/>
      </c>
      <c r="N2570" t="str">
        <f>IF(Table1[[#This Row],[CurrentStock]]&gt;Table1[[#This Row],[ReorderLevel]]*3,"Over Stock","Okay")</f>
        <v>Over Stock</v>
      </c>
      <c r="O2570" t="str">
        <f>IF(Table1[[#This Row],[CurrentStock]]&lt;Table1[[#This Row],[ReorderLevel]],"Reorder","Okay")</f>
        <v>Okay</v>
      </c>
    </row>
    <row r="2571" spans="1:15" x14ac:dyDescent="0.3">
      <c r="A2571">
        <v>24155</v>
      </c>
      <c r="B2571" t="s">
        <v>18</v>
      </c>
      <c r="C2571" t="s">
        <v>28</v>
      </c>
      <c r="D2571">
        <v>431</v>
      </c>
      <c r="E2571">
        <v>30</v>
      </c>
      <c r="F2571">
        <v>498.86</v>
      </c>
      <c r="G2571" t="s">
        <v>32</v>
      </c>
      <c r="H2571" s="1">
        <v>45310</v>
      </c>
      <c r="I2571" s="1">
        <v>45348</v>
      </c>
      <c r="J2571" t="s">
        <v>38</v>
      </c>
      <c r="K2571" t="b">
        <f>Table1[[#This Row],[CurrentStock]]&lt;Table1[[#This Row],[ReorderLevel]]</f>
        <v>0</v>
      </c>
      <c r="L2571" s="9">
        <f>Table1[[#This Row],[CurrentStock]]*Table1[[#This Row],[UnitPrice]]</f>
        <v>215008.66</v>
      </c>
      <c r="M2571" t="str">
        <f>IF(Table1[[#This Row],[ReorderLevel]]-Table1[[#This Row],[CurrentStock]]&gt;0,Table1[[#This Row],[ReorderLevel]]-Table1[[#This Row],[CurrentStock]],"")</f>
        <v/>
      </c>
      <c r="N2571" t="str">
        <f>IF(Table1[[#This Row],[CurrentStock]]&gt;Table1[[#This Row],[ReorderLevel]]*3,"Over Stock","Okay")</f>
        <v>Over Stock</v>
      </c>
      <c r="O2571" t="str">
        <f>IF(Table1[[#This Row],[CurrentStock]]&lt;Table1[[#This Row],[ReorderLevel]],"Reorder","Okay")</f>
        <v>Okay</v>
      </c>
    </row>
    <row r="2572" spans="1:15" x14ac:dyDescent="0.3">
      <c r="A2572">
        <v>91855</v>
      </c>
      <c r="B2572" t="s">
        <v>19</v>
      </c>
      <c r="C2572" t="s">
        <v>28</v>
      </c>
      <c r="D2572">
        <v>133</v>
      </c>
      <c r="E2572">
        <v>40</v>
      </c>
      <c r="F2572">
        <v>483.18</v>
      </c>
      <c r="G2572" t="s">
        <v>36</v>
      </c>
      <c r="H2572" s="1">
        <v>45377</v>
      </c>
      <c r="I2572" s="1">
        <v>45392</v>
      </c>
      <c r="J2572" t="s">
        <v>37</v>
      </c>
      <c r="K2572" t="b">
        <f>Table1[[#This Row],[CurrentStock]]&lt;Table1[[#This Row],[ReorderLevel]]</f>
        <v>0</v>
      </c>
      <c r="L2572" s="9">
        <f>Table1[[#This Row],[CurrentStock]]*Table1[[#This Row],[UnitPrice]]</f>
        <v>64262.94</v>
      </c>
      <c r="M2572" t="str">
        <f>IF(Table1[[#This Row],[ReorderLevel]]-Table1[[#This Row],[CurrentStock]]&gt;0,Table1[[#This Row],[ReorderLevel]]-Table1[[#This Row],[CurrentStock]],"")</f>
        <v/>
      </c>
      <c r="N2572" t="str">
        <f>IF(Table1[[#This Row],[CurrentStock]]&gt;Table1[[#This Row],[ReorderLevel]]*3,"Over Stock","Okay")</f>
        <v>Over Stock</v>
      </c>
      <c r="O2572" t="str">
        <f>IF(Table1[[#This Row],[CurrentStock]]&lt;Table1[[#This Row],[ReorderLevel]],"Reorder","Okay")</f>
        <v>Okay</v>
      </c>
    </row>
    <row r="2573" spans="1:15" x14ac:dyDescent="0.3">
      <c r="A2573">
        <v>72970</v>
      </c>
      <c r="B2573" t="s">
        <v>26</v>
      </c>
      <c r="C2573" t="s">
        <v>30</v>
      </c>
      <c r="D2573">
        <v>349</v>
      </c>
      <c r="E2573">
        <v>40</v>
      </c>
      <c r="F2573">
        <v>310.94</v>
      </c>
      <c r="G2573" t="s">
        <v>36</v>
      </c>
      <c r="H2573" s="1">
        <v>45594</v>
      </c>
      <c r="I2573" s="1">
        <v>45627</v>
      </c>
      <c r="J2573" t="s">
        <v>37</v>
      </c>
      <c r="K2573" t="b">
        <f>Table1[[#This Row],[CurrentStock]]&lt;Table1[[#This Row],[ReorderLevel]]</f>
        <v>0</v>
      </c>
      <c r="L2573" s="9">
        <f>Table1[[#This Row],[CurrentStock]]*Table1[[#This Row],[UnitPrice]]</f>
        <v>108518.06</v>
      </c>
      <c r="M2573" t="str">
        <f>IF(Table1[[#This Row],[ReorderLevel]]-Table1[[#This Row],[CurrentStock]]&gt;0,Table1[[#This Row],[ReorderLevel]]-Table1[[#This Row],[CurrentStock]],"")</f>
        <v/>
      </c>
      <c r="N2573" t="str">
        <f>IF(Table1[[#This Row],[CurrentStock]]&gt;Table1[[#This Row],[ReorderLevel]]*3,"Over Stock","Okay")</f>
        <v>Over Stock</v>
      </c>
      <c r="O2573" t="str">
        <f>IF(Table1[[#This Row],[CurrentStock]]&lt;Table1[[#This Row],[ReorderLevel]],"Reorder","Okay")</f>
        <v>Okay</v>
      </c>
    </row>
    <row r="2574" spans="1:15" x14ac:dyDescent="0.3">
      <c r="A2574">
        <v>52605</v>
      </c>
      <c r="B2574" t="s">
        <v>19</v>
      </c>
      <c r="C2574" t="s">
        <v>28</v>
      </c>
      <c r="D2574">
        <v>222</v>
      </c>
      <c r="E2574">
        <v>40</v>
      </c>
      <c r="F2574">
        <v>354.71</v>
      </c>
      <c r="G2574" t="s">
        <v>35</v>
      </c>
      <c r="H2574" s="1">
        <v>45528</v>
      </c>
      <c r="I2574" s="1">
        <v>45554</v>
      </c>
      <c r="J2574" t="s">
        <v>38</v>
      </c>
      <c r="K2574" t="b">
        <f>Table1[[#This Row],[CurrentStock]]&lt;Table1[[#This Row],[ReorderLevel]]</f>
        <v>0</v>
      </c>
      <c r="L2574" s="9">
        <f>Table1[[#This Row],[CurrentStock]]*Table1[[#This Row],[UnitPrice]]</f>
        <v>78745.62</v>
      </c>
      <c r="M2574" t="str">
        <f>IF(Table1[[#This Row],[ReorderLevel]]-Table1[[#This Row],[CurrentStock]]&gt;0,Table1[[#This Row],[ReorderLevel]]-Table1[[#This Row],[CurrentStock]],"")</f>
        <v/>
      </c>
      <c r="N2574" t="str">
        <f>IF(Table1[[#This Row],[CurrentStock]]&gt;Table1[[#This Row],[ReorderLevel]]*3,"Over Stock","Okay")</f>
        <v>Over Stock</v>
      </c>
      <c r="O2574" t="str">
        <f>IF(Table1[[#This Row],[CurrentStock]]&lt;Table1[[#This Row],[ReorderLevel]],"Reorder","Okay")</f>
        <v>Okay</v>
      </c>
    </row>
    <row r="2575" spans="1:15" x14ac:dyDescent="0.3">
      <c r="A2575">
        <v>68989</v>
      </c>
      <c r="B2575" t="s">
        <v>17</v>
      </c>
      <c r="C2575" t="s">
        <v>30</v>
      </c>
      <c r="D2575">
        <v>43</v>
      </c>
      <c r="E2575">
        <v>150</v>
      </c>
      <c r="F2575">
        <v>133.38999999999999</v>
      </c>
      <c r="G2575" t="s">
        <v>34</v>
      </c>
      <c r="H2575" s="1">
        <v>45421</v>
      </c>
      <c r="I2575" s="1">
        <v>45442</v>
      </c>
      <c r="J2575" t="s">
        <v>37</v>
      </c>
      <c r="K2575" t="b">
        <f>Table1[[#This Row],[CurrentStock]]&lt;Table1[[#This Row],[ReorderLevel]]</f>
        <v>1</v>
      </c>
      <c r="L2575" s="9">
        <f>Table1[[#This Row],[CurrentStock]]*Table1[[#This Row],[UnitPrice]]</f>
        <v>5735.7699999999995</v>
      </c>
      <c r="M2575">
        <f>IF(Table1[[#This Row],[ReorderLevel]]-Table1[[#This Row],[CurrentStock]]&gt;0,Table1[[#This Row],[ReorderLevel]]-Table1[[#This Row],[CurrentStock]],"")</f>
        <v>107</v>
      </c>
      <c r="N2575" t="str">
        <f>IF(Table1[[#This Row],[CurrentStock]]&gt;Table1[[#This Row],[ReorderLevel]]*3,"Over Stock","Okay")</f>
        <v>Okay</v>
      </c>
      <c r="O2575" t="str">
        <f>IF(Table1[[#This Row],[CurrentStock]]&lt;Table1[[#This Row],[ReorderLevel]],"Reorder","Okay")</f>
        <v>Reorder</v>
      </c>
    </row>
    <row r="2576" spans="1:15" x14ac:dyDescent="0.3">
      <c r="A2576">
        <v>30661</v>
      </c>
      <c r="B2576" t="s">
        <v>12</v>
      </c>
      <c r="C2576" t="s">
        <v>28</v>
      </c>
      <c r="D2576">
        <v>162</v>
      </c>
      <c r="E2576">
        <v>150</v>
      </c>
      <c r="F2576">
        <v>385.92</v>
      </c>
      <c r="G2576" t="s">
        <v>32</v>
      </c>
      <c r="H2576" s="1">
        <v>45652</v>
      </c>
      <c r="I2576" s="1">
        <v>45687</v>
      </c>
      <c r="J2576" t="s">
        <v>37</v>
      </c>
      <c r="K2576" t="b">
        <f>Table1[[#This Row],[CurrentStock]]&lt;Table1[[#This Row],[ReorderLevel]]</f>
        <v>0</v>
      </c>
      <c r="L2576" s="9">
        <f>Table1[[#This Row],[CurrentStock]]*Table1[[#This Row],[UnitPrice]]</f>
        <v>62519.040000000001</v>
      </c>
      <c r="M2576" t="str">
        <f>IF(Table1[[#This Row],[ReorderLevel]]-Table1[[#This Row],[CurrentStock]]&gt;0,Table1[[#This Row],[ReorderLevel]]-Table1[[#This Row],[CurrentStock]],"")</f>
        <v/>
      </c>
      <c r="N2576" t="str">
        <f>IF(Table1[[#This Row],[CurrentStock]]&gt;Table1[[#This Row],[ReorderLevel]]*3,"Over Stock","Okay")</f>
        <v>Okay</v>
      </c>
      <c r="O2576" t="str">
        <f>IF(Table1[[#This Row],[CurrentStock]]&lt;Table1[[#This Row],[ReorderLevel]],"Reorder","Okay")</f>
        <v>Okay</v>
      </c>
    </row>
    <row r="2577" spans="1:15" x14ac:dyDescent="0.3">
      <c r="A2577">
        <v>68491</v>
      </c>
      <c r="B2577" t="s">
        <v>15</v>
      </c>
      <c r="C2577" t="s">
        <v>29</v>
      </c>
      <c r="D2577">
        <v>33</v>
      </c>
      <c r="E2577">
        <v>40</v>
      </c>
      <c r="F2577">
        <v>184.81</v>
      </c>
      <c r="G2577" t="s">
        <v>36</v>
      </c>
      <c r="H2577" s="1">
        <v>45584</v>
      </c>
      <c r="I2577" s="1">
        <v>45607</v>
      </c>
      <c r="J2577" t="s">
        <v>38</v>
      </c>
      <c r="K2577" t="b">
        <f>Table1[[#This Row],[CurrentStock]]&lt;Table1[[#This Row],[ReorderLevel]]</f>
        <v>1</v>
      </c>
      <c r="L2577" s="9">
        <f>Table1[[#This Row],[CurrentStock]]*Table1[[#This Row],[UnitPrice]]</f>
        <v>6098.7300000000005</v>
      </c>
      <c r="M2577">
        <f>IF(Table1[[#This Row],[ReorderLevel]]-Table1[[#This Row],[CurrentStock]]&gt;0,Table1[[#This Row],[ReorderLevel]]-Table1[[#This Row],[CurrentStock]],"")</f>
        <v>7</v>
      </c>
      <c r="N2577" t="str">
        <f>IF(Table1[[#This Row],[CurrentStock]]&gt;Table1[[#This Row],[ReorderLevel]]*3,"Over Stock","Okay")</f>
        <v>Okay</v>
      </c>
      <c r="O2577" t="str">
        <f>IF(Table1[[#This Row],[CurrentStock]]&lt;Table1[[#This Row],[ReorderLevel]],"Reorder","Okay")</f>
        <v>Reorder</v>
      </c>
    </row>
    <row r="2578" spans="1:15" x14ac:dyDescent="0.3">
      <c r="A2578">
        <v>20002</v>
      </c>
      <c r="B2578" t="s">
        <v>23</v>
      </c>
      <c r="C2578" t="s">
        <v>30</v>
      </c>
      <c r="D2578">
        <v>457</v>
      </c>
      <c r="E2578">
        <v>80</v>
      </c>
      <c r="F2578">
        <v>461.27</v>
      </c>
      <c r="G2578" t="s">
        <v>32</v>
      </c>
      <c r="H2578" s="1">
        <v>45651</v>
      </c>
      <c r="I2578" s="1">
        <v>45663</v>
      </c>
      <c r="J2578" t="s">
        <v>39</v>
      </c>
      <c r="K2578" t="b">
        <f>Table1[[#This Row],[CurrentStock]]&lt;Table1[[#This Row],[ReorderLevel]]</f>
        <v>0</v>
      </c>
      <c r="L2578" s="9">
        <f>Table1[[#This Row],[CurrentStock]]*Table1[[#This Row],[UnitPrice]]</f>
        <v>210800.38999999998</v>
      </c>
      <c r="M2578" t="str">
        <f>IF(Table1[[#This Row],[ReorderLevel]]-Table1[[#This Row],[CurrentStock]]&gt;0,Table1[[#This Row],[ReorderLevel]]-Table1[[#This Row],[CurrentStock]],"")</f>
        <v/>
      </c>
      <c r="N2578" t="str">
        <f>IF(Table1[[#This Row],[CurrentStock]]&gt;Table1[[#This Row],[ReorderLevel]]*3,"Over Stock","Okay")</f>
        <v>Over Stock</v>
      </c>
      <c r="O2578" t="str">
        <f>IF(Table1[[#This Row],[CurrentStock]]&lt;Table1[[#This Row],[ReorderLevel]],"Reorder","Okay")</f>
        <v>Okay</v>
      </c>
    </row>
    <row r="2579" spans="1:15" x14ac:dyDescent="0.3">
      <c r="A2579">
        <v>84232</v>
      </c>
      <c r="B2579" t="s">
        <v>12</v>
      </c>
      <c r="C2579" t="s">
        <v>28</v>
      </c>
      <c r="D2579">
        <v>156</v>
      </c>
      <c r="E2579">
        <v>20</v>
      </c>
      <c r="F2579">
        <v>51.58</v>
      </c>
      <c r="G2579" t="s">
        <v>34</v>
      </c>
      <c r="H2579" s="1">
        <v>45609</v>
      </c>
      <c r="I2579" s="1">
        <v>45643</v>
      </c>
      <c r="J2579" t="s">
        <v>38</v>
      </c>
      <c r="K2579" t="b">
        <f>Table1[[#This Row],[CurrentStock]]&lt;Table1[[#This Row],[ReorderLevel]]</f>
        <v>0</v>
      </c>
      <c r="L2579" s="9">
        <f>Table1[[#This Row],[CurrentStock]]*Table1[[#This Row],[UnitPrice]]</f>
        <v>8046.48</v>
      </c>
      <c r="M2579" t="str">
        <f>IF(Table1[[#This Row],[ReorderLevel]]-Table1[[#This Row],[CurrentStock]]&gt;0,Table1[[#This Row],[ReorderLevel]]-Table1[[#This Row],[CurrentStock]],"")</f>
        <v/>
      </c>
      <c r="N2579" t="str">
        <f>IF(Table1[[#This Row],[CurrentStock]]&gt;Table1[[#This Row],[ReorderLevel]]*3,"Over Stock","Okay")</f>
        <v>Over Stock</v>
      </c>
      <c r="O2579" t="str">
        <f>IF(Table1[[#This Row],[CurrentStock]]&lt;Table1[[#This Row],[ReorderLevel]],"Reorder","Okay")</f>
        <v>Okay</v>
      </c>
    </row>
    <row r="2580" spans="1:15" x14ac:dyDescent="0.3">
      <c r="A2580">
        <v>87365</v>
      </c>
      <c r="B2580" t="s">
        <v>21</v>
      </c>
      <c r="C2580" t="s">
        <v>31</v>
      </c>
      <c r="D2580">
        <v>51</v>
      </c>
      <c r="E2580">
        <v>20</v>
      </c>
      <c r="F2580">
        <v>252.53</v>
      </c>
      <c r="G2580" t="s">
        <v>36</v>
      </c>
      <c r="H2580" s="1">
        <v>45542</v>
      </c>
      <c r="I2580" s="1">
        <v>45562</v>
      </c>
      <c r="J2580" t="s">
        <v>37</v>
      </c>
      <c r="K2580" t="b">
        <f>Table1[[#This Row],[CurrentStock]]&lt;Table1[[#This Row],[ReorderLevel]]</f>
        <v>0</v>
      </c>
      <c r="L2580" s="9">
        <f>Table1[[#This Row],[CurrentStock]]*Table1[[#This Row],[UnitPrice]]</f>
        <v>12879.03</v>
      </c>
      <c r="M2580" t="str">
        <f>IF(Table1[[#This Row],[ReorderLevel]]-Table1[[#This Row],[CurrentStock]]&gt;0,Table1[[#This Row],[ReorderLevel]]-Table1[[#This Row],[CurrentStock]],"")</f>
        <v/>
      </c>
      <c r="N2580" t="str">
        <f>IF(Table1[[#This Row],[CurrentStock]]&gt;Table1[[#This Row],[ReorderLevel]]*3,"Over Stock","Okay")</f>
        <v>Okay</v>
      </c>
      <c r="O2580" t="str">
        <f>IF(Table1[[#This Row],[CurrentStock]]&lt;Table1[[#This Row],[ReorderLevel]],"Reorder","Okay")</f>
        <v>Okay</v>
      </c>
    </row>
    <row r="2581" spans="1:15" x14ac:dyDescent="0.3">
      <c r="A2581">
        <v>53739</v>
      </c>
      <c r="B2581" t="s">
        <v>21</v>
      </c>
      <c r="C2581" t="s">
        <v>31</v>
      </c>
      <c r="D2581">
        <v>291</v>
      </c>
      <c r="E2581">
        <v>150</v>
      </c>
      <c r="F2581">
        <v>463.82</v>
      </c>
      <c r="G2581" t="s">
        <v>36</v>
      </c>
      <c r="H2581" s="1">
        <v>45372</v>
      </c>
      <c r="I2581" s="1">
        <v>45396</v>
      </c>
      <c r="J2581" t="s">
        <v>37</v>
      </c>
      <c r="K2581" t="b">
        <f>Table1[[#This Row],[CurrentStock]]&lt;Table1[[#This Row],[ReorderLevel]]</f>
        <v>0</v>
      </c>
      <c r="L2581" s="9">
        <f>Table1[[#This Row],[CurrentStock]]*Table1[[#This Row],[UnitPrice]]</f>
        <v>134971.62</v>
      </c>
      <c r="M2581" t="str">
        <f>IF(Table1[[#This Row],[ReorderLevel]]-Table1[[#This Row],[CurrentStock]]&gt;0,Table1[[#This Row],[ReorderLevel]]-Table1[[#This Row],[CurrentStock]],"")</f>
        <v/>
      </c>
      <c r="N2581" t="str">
        <f>IF(Table1[[#This Row],[CurrentStock]]&gt;Table1[[#This Row],[ReorderLevel]]*3,"Over Stock","Okay")</f>
        <v>Okay</v>
      </c>
      <c r="O2581" t="str">
        <f>IF(Table1[[#This Row],[CurrentStock]]&lt;Table1[[#This Row],[ReorderLevel]],"Reorder","Okay")</f>
        <v>Okay</v>
      </c>
    </row>
    <row r="2582" spans="1:15" x14ac:dyDescent="0.3">
      <c r="A2582">
        <v>85440</v>
      </c>
      <c r="B2582" t="s">
        <v>13</v>
      </c>
      <c r="C2582" t="s">
        <v>29</v>
      </c>
      <c r="D2582">
        <v>66</v>
      </c>
      <c r="E2582">
        <v>100</v>
      </c>
      <c r="F2582">
        <v>185.29</v>
      </c>
      <c r="G2582" t="s">
        <v>33</v>
      </c>
      <c r="H2582" s="1">
        <v>45489</v>
      </c>
      <c r="I2582" s="1">
        <v>45496</v>
      </c>
      <c r="J2582" t="s">
        <v>37</v>
      </c>
      <c r="K2582" t="b">
        <f>Table1[[#This Row],[CurrentStock]]&lt;Table1[[#This Row],[ReorderLevel]]</f>
        <v>1</v>
      </c>
      <c r="L2582" s="9">
        <f>Table1[[#This Row],[CurrentStock]]*Table1[[#This Row],[UnitPrice]]</f>
        <v>12229.14</v>
      </c>
      <c r="M2582">
        <f>IF(Table1[[#This Row],[ReorderLevel]]-Table1[[#This Row],[CurrentStock]]&gt;0,Table1[[#This Row],[ReorderLevel]]-Table1[[#This Row],[CurrentStock]],"")</f>
        <v>34</v>
      </c>
      <c r="N2582" t="str">
        <f>IF(Table1[[#This Row],[CurrentStock]]&gt;Table1[[#This Row],[ReorderLevel]]*3,"Over Stock","Okay")</f>
        <v>Okay</v>
      </c>
      <c r="O2582" t="str">
        <f>IF(Table1[[#This Row],[CurrentStock]]&lt;Table1[[#This Row],[ReorderLevel]],"Reorder","Okay")</f>
        <v>Reorder</v>
      </c>
    </row>
    <row r="2583" spans="1:15" x14ac:dyDescent="0.3">
      <c r="A2583">
        <v>98022</v>
      </c>
      <c r="B2583" t="s">
        <v>25</v>
      </c>
      <c r="C2583" t="s">
        <v>31</v>
      </c>
      <c r="D2583">
        <v>437</v>
      </c>
      <c r="E2583">
        <v>50</v>
      </c>
      <c r="F2583">
        <v>56.39</v>
      </c>
      <c r="G2583" t="s">
        <v>36</v>
      </c>
      <c r="H2583" s="1">
        <v>45585</v>
      </c>
      <c r="I2583" s="1">
        <v>45607</v>
      </c>
      <c r="J2583" t="s">
        <v>38</v>
      </c>
      <c r="K2583" t="b">
        <f>Table1[[#This Row],[CurrentStock]]&lt;Table1[[#This Row],[ReorderLevel]]</f>
        <v>0</v>
      </c>
      <c r="L2583" s="9">
        <f>Table1[[#This Row],[CurrentStock]]*Table1[[#This Row],[UnitPrice]]</f>
        <v>24642.43</v>
      </c>
      <c r="M2583" t="str">
        <f>IF(Table1[[#This Row],[ReorderLevel]]-Table1[[#This Row],[CurrentStock]]&gt;0,Table1[[#This Row],[ReorderLevel]]-Table1[[#This Row],[CurrentStock]],"")</f>
        <v/>
      </c>
      <c r="N2583" t="str">
        <f>IF(Table1[[#This Row],[CurrentStock]]&gt;Table1[[#This Row],[ReorderLevel]]*3,"Over Stock","Okay")</f>
        <v>Over Stock</v>
      </c>
      <c r="O2583" t="str">
        <f>IF(Table1[[#This Row],[CurrentStock]]&lt;Table1[[#This Row],[ReorderLevel]],"Reorder","Okay")</f>
        <v>Okay</v>
      </c>
    </row>
    <row r="2584" spans="1:15" x14ac:dyDescent="0.3">
      <c r="A2584">
        <v>95346</v>
      </c>
      <c r="B2584" t="s">
        <v>12</v>
      </c>
      <c r="C2584" t="s">
        <v>28</v>
      </c>
      <c r="D2584">
        <v>191</v>
      </c>
      <c r="E2584">
        <v>80</v>
      </c>
      <c r="F2584">
        <v>124.73</v>
      </c>
      <c r="G2584" t="s">
        <v>35</v>
      </c>
      <c r="H2584" s="1">
        <v>45516</v>
      </c>
      <c r="I2584" s="1">
        <v>45542</v>
      </c>
      <c r="J2584" t="s">
        <v>39</v>
      </c>
      <c r="K2584" t="b">
        <f>Table1[[#This Row],[CurrentStock]]&lt;Table1[[#This Row],[ReorderLevel]]</f>
        <v>0</v>
      </c>
      <c r="L2584" s="9">
        <f>Table1[[#This Row],[CurrentStock]]*Table1[[#This Row],[UnitPrice]]</f>
        <v>23823.43</v>
      </c>
      <c r="M2584" t="str">
        <f>IF(Table1[[#This Row],[ReorderLevel]]-Table1[[#This Row],[CurrentStock]]&gt;0,Table1[[#This Row],[ReorderLevel]]-Table1[[#This Row],[CurrentStock]],"")</f>
        <v/>
      </c>
      <c r="N2584" t="str">
        <f>IF(Table1[[#This Row],[CurrentStock]]&gt;Table1[[#This Row],[ReorderLevel]]*3,"Over Stock","Okay")</f>
        <v>Okay</v>
      </c>
      <c r="O2584" t="str">
        <f>IF(Table1[[#This Row],[CurrentStock]]&lt;Table1[[#This Row],[ReorderLevel]],"Reorder","Okay")</f>
        <v>Okay</v>
      </c>
    </row>
    <row r="2585" spans="1:15" x14ac:dyDescent="0.3">
      <c r="A2585">
        <v>53322</v>
      </c>
      <c r="B2585" t="s">
        <v>26</v>
      </c>
      <c r="C2585" t="s">
        <v>30</v>
      </c>
      <c r="D2585">
        <v>344</v>
      </c>
      <c r="E2585">
        <v>100</v>
      </c>
      <c r="F2585">
        <v>172.33</v>
      </c>
      <c r="G2585" t="s">
        <v>35</v>
      </c>
      <c r="H2585" s="1">
        <v>45642</v>
      </c>
      <c r="I2585" s="1">
        <v>45663</v>
      </c>
      <c r="J2585" t="s">
        <v>38</v>
      </c>
      <c r="K2585" t="b">
        <f>Table1[[#This Row],[CurrentStock]]&lt;Table1[[#This Row],[ReorderLevel]]</f>
        <v>0</v>
      </c>
      <c r="L2585" s="9">
        <f>Table1[[#This Row],[CurrentStock]]*Table1[[#This Row],[UnitPrice]]</f>
        <v>59281.520000000004</v>
      </c>
      <c r="M2585" t="str">
        <f>IF(Table1[[#This Row],[ReorderLevel]]-Table1[[#This Row],[CurrentStock]]&gt;0,Table1[[#This Row],[ReorderLevel]]-Table1[[#This Row],[CurrentStock]],"")</f>
        <v/>
      </c>
      <c r="N2585" t="str">
        <f>IF(Table1[[#This Row],[CurrentStock]]&gt;Table1[[#This Row],[ReorderLevel]]*3,"Over Stock","Okay")</f>
        <v>Over Stock</v>
      </c>
      <c r="O2585" t="str">
        <f>IF(Table1[[#This Row],[CurrentStock]]&lt;Table1[[#This Row],[ReorderLevel]],"Reorder","Okay")</f>
        <v>Okay</v>
      </c>
    </row>
    <row r="2586" spans="1:15" x14ac:dyDescent="0.3">
      <c r="A2586">
        <v>49767</v>
      </c>
      <c r="B2586" t="s">
        <v>17</v>
      </c>
      <c r="C2586" t="s">
        <v>30</v>
      </c>
      <c r="D2586">
        <v>67</v>
      </c>
      <c r="E2586">
        <v>40</v>
      </c>
      <c r="F2586">
        <v>159.53</v>
      </c>
      <c r="G2586" t="s">
        <v>32</v>
      </c>
      <c r="H2586" s="1">
        <v>45368</v>
      </c>
      <c r="I2586" s="1">
        <v>45399</v>
      </c>
      <c r="J2586" t="s">
        <v>37</v>
      </c>
      <c r="K2586" t="b">
        <f>Table1[[#This Row],[CurrentStock]]&lt;Table1[[#This Row],[ReorderLevel]]</f>
        <v>0</v>
      </c>
      <c r="L2586" s="9">
        <f>Table1[[#This Row],[CurrentStock]]*Table1[[#This Row],[UnitPrice]]</f>
        <v>10688.51</v>
      </c>
      <c r="M2586" t="str">
        <f>IF(Table1[[#This Row],[ReorderLevel]]-Table1[[#This Row],[CurrentStock]]&gt;0,Table1[[#This Row],[ReorderLevel]]-Table1[[#This Row],[CurrentStock]],"")</f>
        <v/>
      </c>
      <c r="N2586" t="str">
        <f>IF(Table1[[#This Row],[CurrentStock]]&gt;Table1[[#This Row],[ReorderLevel]]*3,"Over Stock","Okay")</f>
        <v>Okay</v>
      </c>
      <c r="O2586" t="str">
        <f>IF(Table1[[#This Row],[CurrentStock]]&lt;Table1[[#This Row],[ReorderLevel]],"Reorder","Okay")</f>
        <v>Okay</v>
      </c>
    </row>
    <row r="2587" spans="1:15" x14ac:dyDescent="0.3">
      <c r="A2587">
        <v>70510</v>
      </c>
      <c r="B2587" t="s">
        <v>22</v>
      </c>
      <c r="C2587" t="s">
        <v>27</v>
      </c>
      <c r="D2587">
        <v>241</v>
      </c>
      <c r="E2587">
        <v>150</v>
      </c>
      <c r="F2587">
        <v>84.02</v>
      </c>
      <c r="G2587" t="s">
        <v>32</v>
      </c>
      <c r="H2587" s="1">
        <v>45604</v>
      </c>
      <c r="I2587" s="1">
        <v>45619</v>
      </c>
      <c r="J2587" t="s">
        <v>39</v>
      </c>
      <c r="K2587" t="b">
        <f>Table1[[#This Row],[CurrentStock]]&lt;Table1[[#This Row],[ReorderLevel]]</f>
        <v>0</v>
      </c>
      <c r="L2587" s="9">
        <f>Table1[[#This Row],[CurrentStock]]*Table1[[#This Row],[UnitPrice]]</f>
        <v>20248.82</v>
      </c>
      <c r="M2587" t="str">
        <f>IF(Table1[[#This Row],[ReorderLevel]]-Table1[[#This Row],[CurrentStock]]&gt;0,Table1[[#This Row],[ReorderLevel]]-Table1[[#This Row],[CurrentStock]],"")</f>
        <v/>
      </c>
      <c r="N2587" t="str">
        <f>IF(Table1[[#This Row],[CurrentStock]]&gt;Table1[[#This Row],[ReorderLevel]]*3,"Over Stock","Okay")</f>
        <v>Okay</v>
      </c>
      <c r="O2587" t="str">
        <f>IF(Table1[[#This Row],[CurrentStock]]&lt;Table1[[#This Row],[ReorderLevel]],"Reorder","Okay")</f>
        <v>Okay</v>
      </c>
    </row>
    <row r="2588" spans="1:15" x14ac:dyDescent="0.3">
      <c r="A2588">
        <v>39402</v>
      </c>
      <c r="B2588" t="s">
        <v>20</v>
      </c>
      <c r="C2588" t="s">
        <v>29</v>
      </c>
      <c r="D2588">
        <v>331</v>
      </c>
      <c r="E2588">
        <v>40</v>
      </c>
      <c r="F2588">
        <v>80.09</v>
      </c>
      <c r="G2588" t="s">
        <v>35</v>
      </c>
      <c r="H2588" s="1">
        <v>45583</v>
      </c>
      <c r="I2588" s="1">
        <v>45589</v>
      </c>
      <c r="J2588" t="s">
        <v>37</v>
      </c>
      <c r="K2588" t="b">
        <f>Table1[[#This Row],[CurrentStock]]&lt;Table1[[#This Row],[ReorderLevel]]</f>
        <v>0</v>
      </c>
      <c r="L2588" s="9">
        <f>Table1[[#This Row],[CurrentStock]]*Table1[[#This Row],[UnitPrice]]</f>
        <v>26509.79</v>
      </c>
      <c r="M2588" t="str">
        <f>IF(Table1[[#This Row],[ReorderLevel]]-Table1[[#This Row],[CurrentStock]]&gt;0,Table1[[#This Row],[ReorderLevel]]-Table1[[#This Row],[CurrentStock]],"")</f>
        <v/>
      </c>
      <c r="N2588" t="str">
        <f>IF(Table1[[#This Row],[CurrentStock]]&gt;Table1[[#This Row],[ReorderLevel]]*3,"Over Stock","Okay")</f>
        <v>Over Stock</v>
      </c>
      <c r="O2588" t="str">
        <f>IF(Table1[[#This Row],[CurrentStock]]&lt;Table1[[#This Row],[ReorderLevel]],"Reorder","Okay")</f>
        <v>Okay</v>
      </c>
    </row>
    <row r="2589" spans="1:15" x14ac:dyDescent="0.3">
      <c r="A2589">
        <v>22767</v>
      </c>
      <c r="B2589" t="s">
        <v>21</v>
      </c>
      <c r="C2589" t="s">
        <v>31</v>
      </c>
      <c r="D2589">
        <v>248</v>
      </c>
      <c r="E2589">
        <v>30</v>
      </c>
      <c r="F2589">
        <v>445.6</v>
      </c>
      <c r="G2589" t="s">
        <v>33</v>
      </c>
      <c r="H2589" s="1">
        <v>45293</v>
      </c>
      <c r="I2589" s="1">
        <v>45309</v>
      </c>
      <c r="J2589" t="s">
        <v>38</v>
      </c>
      <c r="K2589" t="b">
        <f>Table1[[#This Row],[CurrentStock]]&lt;Table1[[#This Row],[ReorderLevel]]</f>
        <v>0</v>
      </c>
      <c r="L2589" s="9">
        <f>Table1[[#This Row],[CurrentStock]]*Table1[[#This Row],[UnitPrice]]</f>
        <v>110508.8</v>
      </c>
      <c r="M2589" t="str">
        <f>IF(Table1[[#This Row],[ReorderLevel]]-Table1[[#This Row],[CurrentStock]]&gt;0,Table1[[#This Row],[ReorderLevel]]-Table1[[#This Row],[CurrentStock]],"")</f>
        <v/>
      </c>
      <c r="N2589" t="str">
        <f>IF(Table1[[#This Row],[CurrentStock]]&gt;Table1[[#This Row],[ReorderLevel]]*3,"Over Stock","Okay")</f>
        <v>Over Stock</v>
      </c>
      <c r="O2589" t="str">
        <f>IF(Table1[[#This Row],[CurrentStock]]&lt;Table1[[#This Row],[ReorderLevel]],"Reorder","Okay")</f>
        <v>Okay</v>
      </c>
    </row>
    <row r="2590" spans="1:15" x14ac:dyDescent="0.3">
      <c r="A2590">
        <v>34806</v>
      </c>
      <c r="B2590" t="s">
        <v>25</v>
      </c>
      <c r="C2590" t="s">
        <v>31</v>
      </c>
      <c r="D2590">
        <v>397</v>
      </c>
      <c r="E2590">
        <v>30</v>
      </c>
      <c r="F2590">
        <v>214.05</v>
      </c>
      <c r="G2590" t="s">
        <v>32</v>
      </c>
      <c r="H2590" s="1">
        <v>45347</v>
      </c>
      <c r="I2590" s="1">
        <v>45355</v>
      </c>
      <c r="J2590" t="s">
        <v>39</v>
      </c>
      <c r="K2590" t="b">
        <f>Table1[[#This Row],[CurrentStock]]&lt;Table1[[#This Row],[ReorderLevel]]</f>
        <v>0</v>
      </c>
      <c r="L2590" s="9">
        <f>Table1[[#This Row],[CurrentStock]]*Table1[[#This Row],[UnitPrice]]</f>
        <v>84977.85</v>
      </c>
      <c r="M2590" t="str">
        <f>IF(Table1[[#This Row],[ReorderLevel]]-Table1[[#This Row],[CurrentStock]]&gt;0,Table1[[#This Row],[ReorderLevel]]-Table1[[#This Row],[CurrentStock]],"")</f>
        <v/>
      </c>
      <c r="N2590" t="str">
        <f>IF(Table1[[#This Row],[CurrentStock]]&gt;Table1[[#This Row],[ReorderLevel]]*3,"Over Stock","Okay")</f>
        <v>Over Stock</v>
      </c>
      <c r="O2590" t="str">
        <f>IF(Table1[[#This Row],[CurrentStock]]&lt;Table1[[#This Row],[ReorderLevel]],"Reorder","Okay")</f>
        <v>Okay</v>
      </c>
    </row>
    <row r="2591" spans="1:15" x14ac:dyDescent="0.3">
      <c r="A2591">
        <v>21612</v>
      </c>
      <c r="B2591" t="s">
        <v>20</v>
      </c>
      <c r="C2591" t="s">
        <v>29</v>
      </c>
      <c r="D2591">
        <v>385</v>
      </c>
      <c r="E2591">
        <v>50</v>
      </c>
      <c r="F2591">
        <v>480.05</v>
      </c>
      <c r="G2591" t="s">
        <v>34</v>
      </c>
      <c r="H2591" s="1">
        <v>45359</v>
      </c>
      <c r="I2591" s="1">
        <v>45385</v>
      </c>
      <c r="J2591" t="s">
        <v>37</v>
      </c>
      <c r="K2591" t="b">
        <f>Table1[[#This Row],[CurrentStock]]&lt;Table1[[#This Row],[ReorderLevel]]</f>
        <v>0</v>
      </c>
      <c r="L2591" s="9">
        <f>Table1[[#This Row],[CurrentStock]]*Table1[[#This Row],[UnitPrice]]</f>
        <v>184819.25</v>
      </c>
      <c r="M2591" t="str">
        <f>IF(Table1[[#This Row],[ReorderLevel]]-Table1[[#This Row],[CurrentStock]]&gt;0,Table1[[#This Row],[ReorderLevel]]-Table1[[#This Row],[CurrentStock]],"")</f>
        <v/>
      </c>
      <c r="N2591" t="str">
        <f>IF(Table1[[#This Row],[CurrentStock]]&gt;Table1[[#This Row],[ReorderLevel]]*3,"Over Stock","Okay")</f>
        <v>Over Stock</v>
      </c>
      <c r="O2591" t="str">
        <f>IF(Table1[[#This Row],[CurrentStock]]&lt;Table1[[#This Row],[ReorderLevel]],"Reorder","Okay")</f>
        <v>Okay</v>
      </c>
    </row>
    <row r="2592" spans="1:15" x14ac:dyDescent="0.3">
      <c r="A2592">
        <v>72093</v>
      </c>
      <c r="B2592" t="s">
        <v>24</v>
      </c>
      <c r="C2592" t="s">
        <v>31</v>
      </c>
      <c r="D2592">
        <v>199</v>
      </c>
      <c r="E2592">
        <v>20</v>
      </c>
      <c r="F2592">
        <v>224.73</v>
      </c>
      <c r="G2592" t="s">
        <v>36</v>
      </c>
      <c r="H2592" s="1">
        <v>45406</v>
      </c>
      <c r="I2592" s="1">
        <v>45414</v>
      </c>
      <c r="J2592" t="s">
        <v>39</v>
      </c>
      <c r="K2592" t="b">
        <f>Table1[[#This Row],[CurrentStock]]&lt;Table1[[#This Row],[ReorderLevel]]</f>
        <v>0</v>
      </c>
      <c r="L2592" s="9">
        <f>Table1[[#This Row],[CurrentStock]]*Table1[[#This Row],[UnitPrice]]</f>
        <v>44721.27</v>
      </c>
      <c r="M2592" t="str">
        <f>IF(Table1[[#This Row],[ReorderLevel]]-Table1[[#This Row],[CurrentStock]]&gt;0,Table1[[#This Row],[ReorderLevel]]-Table1[[#This Row],[CurrentStock]],"")</f>
        <v/>
      </c>
      <c r="N2592" t="str">
        <f>IF(Table1[[#This Row],[CurrentStock]]&gt;Table1[[#This Row],[ReorderLevel]]*3,"Over Stock","Okay")</f>
        <v>Over Stock</v>
      </c>
      <c r="O2592" t="str">
        <f>IF(Table1[[#This Row],[CurrentStock]]&lt;Table1[[#This Row],[ReorderLevel]],"Reorder","Okay")</f>
        <v>Okay</v>
      </c>
    </row>
    <row r="2593" spans="1:15" x14ac:dyDescent="0.3">
      <c r="A2593">
        <v>59851</v>
      </c>
      <c r="B2593" t="s">
        <v>18</v>
      </c>
      <c r="C2593" t="s">
        <v>28</v>
      </c>
      <c r="D2593">
        <v>25</v>
      </c>
      <c r="E2593">
        <v>20</v>
      </c>
      <c r="F2593">
        <v>439.45</v>
      </c>
      <c r="G2593" t="s">
        <v>36</v>
      </c>
      <c r="H2593" s="1">
        <v>45436</v>
      </c>
      <c r="I2593" s="1">
        <v>45444</v>
      </c>
      <c r="J2593" t="s">
        <v>39</v>
      </c>
      <c r="K2593" t="b">
        <f>Table1[[#This Row],[CurrentStock]]&lt;Table1[[#This Row],[ReorderLevel]]</f>
        <v>0</v>
      </c>
      <c r="L2593" s="9">
        <f>Table1[[#This Row],[CurrentStock]]*Table1[[#This Row],[UnitPrice]]</f>
        <v>10986.25</v>
      </c>
      <c r="M2593" t="str">
        <f>IF(Table1[[#This Row],[ReorderLevel]]-Table1[[#This Row],[CurrentStock]]&gt;0,Table1[[#This Row],[ReorderLevel]]-Table1[[#This Row],[CurrentStock]],"")</f>
        <v/>
      </c>
      <c r="N2593" t="str">
        <f>IF(Table1[[#This Row],[CurrentStock]]&gt;Table1[[#This Row],[ReorderLevel]]*3,"Over Stock","Okay")</f>
        <v>Okay</v>
      </c>
      <c r="O2593" t="str">
        <f>IF(Table1[[#This Row],[CurrentStock]]&lt;Table1[[#This Row],[ReorderLevel]],"Reorder","Okay")</f>
        <v>Okay</v>
      </c>
    </row>
    <row r="2594" spans="1:15" x14ac:dyDescent="0.3">
      <c r="A2594">
        <v>13756</v>
      </c>
      <c r="B2594" t="s">
        <v>20</v>
      </c>
      <c r="C2594" t="s">
        <v>29</v>
      </c>
      <c r="D2594">
        <v>280</v>
      </c>
      <c r="E2594">
        <v>80</v>
      </c>
      <c r="F2594">
        <v>273.02999999999997</v>
      </c>
      <c r="G2594" t="s">
        <v>33</v>
      </c>
      <c r="H2594" s="1">
        <v>45292</v>
      </c>
      <c r="I2594" s="1">
        <v>45297</v>
      </c>
      <c r="J2594" t="s">
        <v>38</v>
      </c>
      <c r="K2594" t="b">
        <f>Table1[[#This Row],[CurrentStock]]&lt;Table1[[#This Row],[ReorderLevel]]</f>
        <v>0</v>
      </c>
      <c r="L2594" s="9">
        <f>Table1[[#This Row],[CurrentStock]]*Table1[[#This Row],[UnitPrice]]</f>
        <v>76448.399999999994</v>
      </c>
      <c r="M2594" t="str">
        <f>IF(Table1[[#This Row],[ReorderLevel]]-Table1[[#This Row],[CurrentStock]]&gt;0,Table1[[#This Row],[ReorderLevel]]-Table1[[#This Row],[CurrentStock]],"")</f>
        <v/>
      </c>
      <c r="N2594" t="str">
        <f>IF(Table1[[#This Row],[CurrentStock]]&gt;Table1[[#This Row],[ReorderLevel]]*3,"Over Stock","Okay")</f>
        <v>Over Stock</v>
      </c>
      <c r="O2594" t="str">
        <f>IF(Table1[[#This Row],[CurrentStock]]&lt;Table1[[#This Row],[ReorderLevel]],"Reorder","Okay")</f>
        <v>Okay</v>
      </c>
    </row>
    <row r="2595" spans="1:15" x14ac:dyDescent="0.3">
      <c r="A2595">
        <v>89921</v>
      </c>
      <c r="B2595" t="s">
        <v>15</v>
      </c>
      <c r="C2595" t="s">
        <v>29</v>
      </c>
      <c r="D2595">
        <v>44</v>
      </c>
      <c r="E2595">
        <v>150</v>
      </c>
      <c r="F2595">
        <v>284.02</v>
      </c>
      <c r="G2595" t="s">
        <v>36</v>
      </c>
      <c r="H2595" s="1">
        <v>45524</v>
      </c>
      <c r="I2595" s="1">
        <v>45545</v>
      </c>
      <c r="J2595" t="s">
        <v>38</v>
      </c>
      <c r="K2595" t="b">
        <f>Table1[[#This Row],[CurrentStock]]&lt;Table1[[#This Row],[ReorderLevel]]</f>
        <v>1</v>
      </c>
      <c r="L2595" s="9">
        <f>Table1[[#This Row],[CurrentStock]]*Table1[[#This Row],[UnitPrice]]</f>
        <v>12496.88</v>
      </c>
      <c r="M2595">
        <f>IF(Table1[[#This Row],[ReorderLevel]]-Table1[[#This Row],[CurrentStock]]&gt;0,Table1[[#This Row],[ReorderLevel]]-Table1[[#This Row],[CurrentStock]],"")</f>
        <v>106</v>
      </c>
      <c r="N2595" t="str">
        <f>IF(Table1[[#This Row],[CurrentStock]]&gt;Table1[[#This Row],[ReorderLevel]]*3,"Over Stock","Okay")</f>
        <v>Okay</v>
      </c>
      <c r="O2595" t="str">
        <f>IF(Table1[[#This Row],[CurrentStock]]&lt;Table1[[#This Row],[ReorderLevel]],"Reorder","Okay")</f>
        <v>Reorder</v>
      </c>
    </row>
    <row r="2596" spans="1:15" x14ac:dyDescent="0.3">
      <c r="A2596">
        <v>95783</v>
      </c>
      <c r="B2596" t="s">
        <v>17</v>
      </c>
      <c r="C2596" t="s">
        <v>30</v>
      </c>
      <c r="D2596">
        <v>156</v>
      </c>
      <c r="E2596">
        <v>80</v>
      </c>
      <c r="F2596">
        <v>20.36</v>
      </c>
      <c r="G2596" t="s">
        <v>32</v>
      </c>
      <c r="H2596" s="1">
        <v>45322</v>
      </c>
      <c r="I2596" s="1">
        <v>45334</v>
      </c>
      <c r="J2596" t="s">
        <v>38</v>
      </c>
      <c r="K2596" t="b">
        <f>Table1[[#This Row],[CurrentStock]]&lt;Table1[[#This Row],[ReorderLevel]]</f>
        <v>0</v>
      </c>
      <c r="L2596" s="9">
        <f>Table1[[#This Row],[CurrentStock]]*Table1[[#This Row],[UnitPrice]]</f>
        <v>3176.16</v>
      </c>
      <c r="M2596" t="str">
        <f>IF(Table1[[#This Row],[ReorderLevel]]-Table1[[#This Row],[CurrentStock]]&gt;0,Table1[[#This Row],[ReorderLevel]]-Table1[[#This Row],[CurrentStock]],"")</f>
        <v/>
      </c>
      <c r="N2596" t="str">
        <f>IF(Table1[[#This Row],[CurrentStock]]&gt;Table1[[#This Row],[ReorderLevel]]*3,"Over Stock","Okay")</f>
        <v>Okay</v>
      </c>
      <c r="O2596" t="str">
        <f>IF(Table1[[#This Row],[CurrentStock]]&lt;Table1[[#This Row],[ReorderLevel]],"Reorder","Okay")</f>
        <v>Okay</v>
      </c>
    </row>
    <row r="2597" spans="1:15" x14ac:dyDescent="0.3">
      <c r="A2597">
        <v>20273</v>
      </c>
      <c r="B2597" t="s">
        <v>12</v>
      </c>
      <c r="C2597" t="s">
        <v>28</v>
      </c>
      <c r="D2597">
        <v>142</v>
      </c>
      <c r="E2597">
        <v>50</v>
      </c>
      <c r="F2597">
        <v>195.52</v>
      </c>
      <c r="G2597" t="s">
        <v>34</v>
      </c>
      <c r="H2597" s="1">
        <v>45641</v>
      </c>
      <c r="I2597" s="1">
        <v>45664</v>
      </c>
      <c r="J2597" t="s">
        <v>37</v>
      </c>
      <c r="K2597" t="b">
        <f>Table1[[#This Row],[CurrentStock]]&lt;Table1[[#This Row],[ReorderLevel]]</f>
        <v>0</v>
      </c>
      <c r="L2597" s="9">
        <f>Table1[[#This Row],[CurrentStock]]*Table1[[#This Row],[UnitPrice]]</f>
        <v>27763.84</v>
      </c>
      <c r="M2597" t="str">
        <f>IF(Table1[[#This Row],[ReorderLevel]]-Table1[[#This Row],[CurrentStock]]&gt;0,Table1[[#This Row],[ReorderLevel]]-Table1[[#This Row],[CurrentStock]],"")</f>
        <v/>
      </c>
      <c r="N2597" t="str">
        <f>IF(Table1[[#This Row],[CurrentStock]]&gt;Table1[[#This Row],[ReorderLevel]]*3,"Over Stock","Okay")</f>
        <v>Okay</v>
      </c>
      <c r="O2597" t="str">
        <f>IF(Table1[[#This Row],[CurrentStock]]&lt;Table1[[#This Row],[ReorderLevel]],"Reorder","Okay")</f>
        <v>Okay</v>
      </c>
    </row>
    <row r="2598" spans="1:15" x14ac:dyDescent="0.3">
      <c r="A2598">
        <v>57025</v>
      </c>
      <c r="B2598" t="s">
        <v>10</v>
      </c>
      <c r="C2598" t="s">
        <v>27</v>
      </c>
      <c r="D2598">
        <v>139</v>
      </c>
      <c r="E2598">
        <v>100</v>
      </c>
      <c r="F2598">
        <v>34.020000000000003</v>
      </c>
      <c r="G2598" t="s">
        <v>34</v>
      </c>
      <c r="H2598" s="1">
        <v>45652</v>
      </c>
      <c r="I2598" s="1">
        <v>45680</v>
      </c>
      <c r="J2598" t="s">
        <v>38</v>
      </c>
      <c r="K2598" t="b">
        <f>Table1[[#This Row],[CurrentStock]]&lt;Table1[[#This Row],[ReorderLevel]]</f>
        <v>0</v>
      </c>
      <c r="L2598" s="9">
        <f>Table1[[#This Row],[CurrentStock]]*Table1[[#This Row],[UnitPrice]]</f>
        <v>4728.7800000000007</v>
      </c>
      <c r="M2598" t="str">
        <f>IF(Table1[[#This Row],[ReorderLevel]]-Table1[[#This Row],[CurrentStock]]&gt;0,Table1[[#This Row],[ReorderLevel]]-Table1[[#This Row],[CurrentStock]],"")</f>
        <v/>
      </c>
      <c r="N2598" t="str">
        <f>IF(Table1[[#This Row],[CurrentStock]]&gt;Table1[[#This Row],[ReorderLevel]]*3,"Over Stock","Okay")</f>
        <v>Okay</v>
      </c>
      <c r="O2598" t="str">
        <f>IF(Table1[[#This Row],[CurrentStock]]&lt;Table1[[#This Row],[ReorderLevel]],"Reorder","Okay")</f>
        <v>Okay</v>
      </c>
    </row>
    <row r="2599" spans="1:15" x14ac:dyDescent="0.3">
      <c r="A2599">
        <v>70910</v>
      </c>
      <c r="B2599" t="s">
        <v>19</v>
      </c>
      <c r="C2599" t="s">
        <v>28</v>
      </c>
      <c r="D2599">
        <v>231</v>
      </c>
      <c r="E2599">
        <v>100</v>
      </c>
      <c r="F2599">
        <v>204.36</v>
      </c>
      <c r="G2599" t="s">
        <v>35</v>
      </c>
      <c r="H2599" s="1">
        <v>45361</v>
      </c>
      <c r="I2599" s="1">
        <v>45378</v>
      </c>
      <c r="J2599" t="s">
        <v>38</v>
      </c>
      <c r="K2599" t="b">
        <f>Table1[[#This Row],[CurrentStock]]&lt;Table1[[#This Row],[ReorderLevel]]</f>
        <v>0</v>
      </c>
      <c r="L2599" s="9">
        <f>Table1[[#This Row],[CurrentStock]]*Table1[[#This Row],[UnitPrice]]</f>
        <v>47207.16</v>
      </c>
      <c r="M2599" t="str">
        <f>IF(Table1[[#This Row],[ReorderLevel]]-Table1[[#This Row],[CurrentStock]]&gt;0,Table1[[#This Row],[ReorderLevel]]-Table1[[#This Row],[CurrentStock]],"")</f>
        <v/>
      </c>
      <c r="N2599" t="str">
        <f>IF(Table1[[#This Row],[CurrentStock]]&gt;Table1[[#This Row],[ReorderLevel]]*3,"Over Stock","Okay")</f>
        <v>Okay</v>
      </c>
      <c r="O2599" t="str">
        <f>IF(Table1[[#This Row],[CurrentStock]]&lt;Table1[[#This Row],[ReorderLevel]],"Reorder","Okay")</f>
        <v>Okay</v>
      </c>
    </row>
    <row r="2600" spans="1:15" x14ac:dyDescent="0.3">
      <c r="A2600">
        <v>72678</v>
      </c>
      <c r="B2600" t="s">
        <v>21</v>
      </c>
      <c r="C2600" t="s">
        <v>31</v>
      </c>
      <c r="D2600">
        <v>401</v>
      </c>
      <c r="E2600">
        <v>100</v>
      </c>
      <c r="F2600">
        <v>46.63</v>
      </c>
      <c r="G2600" t="s">
        <v>36</v>
      </c>
      <c r="H2600" s="1">
        <v>45323</v>
      </c>
      <c r="I2600" s="1">
        <v>45334</v>
      </c>
      <c r="J2600" t="s">
        <v>39</v>
      </c>
      <c r="K2600" t="b">
        <f>Table1[[#This Row],[CurrentStock]]&lt;Table1[[#This Row],[ReorderLevel]]</f>
        <v>0</v>
      </c>
      <c r="L2600" s="9">
        <f>Table1[[#This Row],[CurrentStock]]*Table1[[#This Row],[UnitPrice]]</f>
        <v>18698.63</v>
      </c>
      <c r="M2600" t="str">
        <f>IF(Table1[[#This Row],[ReorderLevel]]-Table1[[#This Row],[CurrentStock]]&gt;0,Table1[[#This Row],[ReorderLevel]]-Table1[[#This Row],[CurrentStock]],"")</f>
        <v/>
      </c>
      <c r="N2600" t="str">
        <f>IF(Table1[[#This Row],[CurrentStock]]&gt;Table1[[#This Row],[ReorderLevel]]*3,"Over Stock","Okay")</f>
        <v>Over Stock</v>
      </c>
      <c r="O2600" t="str">
        <f>IF(Table1[[#This Row],[CurrentStock]]&lt;Table1[[#This Row],[ReorderLevel]],"Reorder","Okay")</f>
        <v>Okay</v>
      </c>
    </row>
    <row r="2601" spans="1:15" x14ac:dyDescent="0.3">
      <c r="A2601">
        <v>64345</v>
      </c>
      <c r="B2601" t="s">
        <v>21</v>
      </c>
      <c r="C2601" t="s">
        <v>31</v>
      </c>
      <c r="D2601">
        <v>433</v>
      </c>
      <c r="E2601">
        <v>80</v>
      </c>
      <c r="F2601">
        <v>368.48</v>
      </c>
      <c r="G2601" t="s">
        <v>33</v>
      </c>
      <c r="H2601" s="1">
        <v>45633</v>
      </c>
      <c r="I2601" s="1">
        <v>45659</v>
      </c>
      <c r="J2601" t="s">
        <v>38</v>
      </c>
      <c r="K2601" t="b">
        <f>Table1[[#This Row],[CurrentStock]]&lt;Table1[[#This Row],[ReorderLevel]]</f>
        <v>0</v>
      </c>
      <c r="L2601" s="9">
        <f>Table1[[#This Row],[CurrentStock]]*Table1[[#This Row],[UnitPrice]]</f>
        <v>159551.84</v>
      </c>
      <c r="M2601" t="str">
        <f>IF(Table1[[#This Row],[ReorderLevel]]-Table1[[#This Row],[CurrentStock]]&gt;0,Table1[[#This Row],[ReorderLevel]]-Table1[[#This Row],[CurrentStock]],"")</f>
        <v/>
      </c>
      <c r="N2601" t="str">
        <f>IF(Table1[[#This Row],[CurrentStock]]&gt;Table1[[#This Row],[ReorderLevel]]*3,"Over Stock","Okay")</f>
        <v>Over Stock</v>
      </c>
      <c r="O2601" t="str">
        <f>IF(Table1[[#This Row],[CurrentStock]]&lt;Table1[[#This Row],[ReorderLevel]],"Reorder","Okay")</f>
        <v>Okay</v>
      </c>
    </row>
    <row r="2602" spans="1:15" x14ac:dyDescent="0.3">
      <c r="A2602">
        <v>26923</v>
      </c>
      <c r="B2602" t="s">
        <v>12</v>
      </c>
      <c r="C2602" t="s">
        <v>28</v>
      </c>
      <c r="D2602">
        <v>374</v>
      </c>
      <c r="E2602">
        <v>20</v>
      </c>
      <c r="F2602">
        <v>153.81</v>
      </c>
      <c r="G2602" t="s">
        <v>33</v>
      </c>
      <c r="H2602" s="1">
        <v>45583</v>
      </c>
      <c r="I2602" s="1">
        <v>45618</v>
      </c>
      <c r="J2602" t="s">
        <v>38</v>
      </c>
      <c r="K2602" t="b">
        <f>Table1[[#This Row],[CurrentStock]]&lt;Table1[[#This Row],[ReorderLevel]]</f>
        <v>0</v>
      </c>
      <c r="L2602" s="9">
        <f>Table1[[#This Row],[CurrentStock]]*Table1[[#This Row],[UnitPrice]]</f>
        <v>57524.94</v>
      </c>
      <c r="M2602" t="str">
        <f>IF(Table1[[#This Row],[ReorderLevel]]-Table1[[#This Row],[CurrentStock]]&gt;0,Table1[[#This Row],[ReorderLevel]]-Table1[[#This Row],[CurrentStock]],"")</f>
        <v/>
      </c>
      <c r="N2602" t="str">
        <f>IF(Table1[[#This Row],[CurrentStock]]&gt;Table1[[#This Row],[ReorderLevel]]*3,"Over Stock","Okay")</f>
        <v>Over Stock</v>
      </c>
      <c r="O2602" t="str">
        <f>IF(Table1[[#This Row],[CurrentStock]]&lt;Table1[[#This Row],[ReorderLevel]],"Reorder","Okay")</f>
        <v>Okay</v>
      </c>
    </row>
    <row r="2603" spans="1:15" x14ac:dyDescent="0.3">
      <c r="A2603">
        <v>16716</v>
      </c>
      <c r="B2603" t="s">
        <v>22</v>
      </c>
      <c r="C2603" t="s">
        <v>27</v>
      </c>
      <c r="D2603">
        <v>317</v>
      </c>
      <c r="E2603">
        <v>150</v>
      </c>
      <c r="F2603">
        <v>337.57</v>
      </c>
      <c r="G2603" t="s">
        <v>35</v>
      </c>
      <c r="H2603" s="1">
        <v>45416</v>
      </c>
      <c r="I2603" s="1">
        <v>45438</v>
      </c>
      <c r="J2603" t="s">
        <v>37</v>
      </c>
      <c r="K2603" t="b">
        <f>Table1[[#This Row],[CurrentStock]]&lt;Table1[[#This Row],[ReorderLevel]]</f>
        <v>0</v>
      </c>
      <c r="L2603" s="9">
        <f>Table1[[#This Row],[CurrentStock]]*Table1[[#This Row],[UnitPrice]]</f>
        <v>107009.69</v>
      </c>
      <c r="M2603" t="str">
        <f>IF(Table1[[#This Row],[ReorderLevel]]-Table1[[#This Row],[CurrentStock]]&gt;0,Table1[[#This Row],[ReorderLevel]]-Table1[[#This Row],[CurrentStock]],"")</f>
        <v/>
      </c>
      <c r="N2603" t="str">
        <f>IF(Table1[[#This Row],[CurrentStock]]&gt;Table1[[#This Row],[ReorderLevel]]*3,"Over Stock","Okay")</f>
        <v>Okay</v>
      </c>
      <c r="O2603" t="str">
        <f>IF(Table1[[#This Row],[CurrentStock]]&lt;Table1[[#This Row],[ReorderLevel]],"Reorder","Okay")</f>
        <v>Okay</v>
      </c>
    </row>
    <row r="2604" spans="1:15" x14ac:dyDescent="0.3">
      <c r="A2604">
        <v>22170</v>
      </c>
      <c r="B2604" t="s">
        <v>25</v>
      </c>
      <c r="C2604" t="s">
        <v>31</v>
      </c>
      <c r="D2604">
        <v>56</v>
      </c>
      <c r="E2604">
        <v>150</v>
      </c>
      <c r="F2604">
        <v>110.71</v>
      </c>
      <c r="G2604" t="s">
        <v>36</v>
      </c>
      <c r="H2604" s="1">
        <v>45333</v>
      </c>
      <c r="I2604" s="1">
        <v>45338</v>
      </c>
      <c r="J2604" t="s">
        <v>38</v>
      </c>
      <c r="K2604" t="b">
        <f>Table1[[#This Row],[CurrentStock]]&lt;Table1[[#This Row],[ReorderLevel]]</f>
        <v>1</v>
      </c>
      <c r="L2604" s="9">
        <f>Table1[[#This Row],[CurrentStock]]*Table1[[#This Row],[UnitPrice]]</f>
        <v>6199.7599999999993</v>
      </c>
      <c r="M2604">
        <f>IF(Table1[[#This Row],[ReorderLevel]]-Table1[[#This Row],[CurrentStock]]&gt;0,Table1[[#This Row],[ReorderLevel]]-Table1[[#This Row],[CurrentStock]],"")</f>
        <v>94</v>
      </c>
      <c r="N2604" t="str">
        <f>IF(Table1[[#This Row],[CurrentStock]]&gt;Table1[[#This Row],[ReorderLevel]]*3,"Over Stock","Okay")</f>
        <v>Okay</v>
      </c>
      <c r="O2604" t="str">
        <f>IF(Table1[[#This Row],[CurrentStock]]&lt;Table1[[#This Row],[ReorderLevel]],"Reorder","Okay")</f>
        <v>Reorder</v>
      </c>
    </row>
    <row r="2605" spans="1:15" x14ac:dyDescent="0.3">
      <c r="A2605">
        <v>66153</v>
      </c>
      <c r="B2605" t="s">
        <v>25</v>
      </c>
      <c r="C2605" t="s">
        <v>31</v>
      </c>
      <c r="D2605">
        <v>474</v>
      </c>
      <c r="E2605">
        <v>30</v>
      </c>
      <c r="F2605">
        <v>407.41</v>
      </c>
      <c r="G2605" t="s">
        <v>34</v>
      </c>
      <c r="H2605" s="1">
        <v>45427</v>
      </c>
      <c r="I2605" s="1">
        <v>45454</v>
      </c>
      <c r="J2605" t="s">
        <v>38</v>
      </c>
      <c r="K2605" t="b">
        <f>Table1[[#This Row],[CurrentStock]]&lt;Table1[[#This Row],[ReorderLevel]]</f>
        <v>0</v>
      </c>
      <c r="L2605" s="9">
        <f>Table1[[#This Row],[CurrentStock]]*Table1[[#This Row],[UnitPrice]]</f>
        <v>193112.34000000003</v>
      </c>
      <c r="M2605" t="str">
        <f>IF(Table1[[#This Row],[ReorderLevel]]-Table1[[#This Row],[CurrentStock]]&gt;0,Table1[[#This Row],[ReorderLevel]]-Table1[[#This Row],[CurrentStock]],"")</f>
        <v/>
      </c>
      <c r="N2605" t="str">
        <f>IF(Table1[[#This Row],[CurrentStock]]&gt;Table1[[#This Row],[ReorderLevel]]*3,"Over Stock","Okay")</f>
        <v>Over Stock</v>
      </c>
      <c r="O2605" t="str">
        <f>IF(Table1[[#This Row],[CurrentStock]]&lt;Table1[[#This Row],[ReorderLevel]],"Reorder","Okay")</f>
        <v>Okay</v>
      </c>
    </row>
    <row r="2606" spans="1:15" x14ac:dyDescent="0.3">
      <c r="A2606">
        <v>62169</v>
      </c>
      <c r="B2606" t="s">
        <v>20</v>
      </c>
      <c r="C2606" t="s">
        <v>29</v>
      </c>
      <c r="D2606">
        <v>429</v>
      </c>
      <c r="E2606">
        <v>100</v>
      </c>
      <c r="F2606">
        <v>129</v>
      </c>
      <c r="G2606" t="s">
        <v>35</v>
      </c>
      <c r="H2606" s="1">
        <v>45554</v>
      </c>
      <c r="I2606" s="1">
        <v>45569</v>
      </c>
      <c r="J2606" t="s">
        <v>38</v>
      </c>
      <c r="K2606" t="b">
        <f>Table1[[#This Row],[CurrentStock]]&lt;Table1[[#This Row],[ReorderLevel]]</f>
        <v>0</v>
      </c>
      <c r="L2606" s="9">
        <f>Table1[[#This Row],[CurrentStock]]*Table1[[#This Row],[UnitPrice]]</f>
        <v>55341</v>
      </c>
      <c r="M2606" t="str">
        <f>IF(Table1[[#This Row],[ReorderLevel]]-Table1[[#This Row],[CurrentStock]]&gt;0,Table1[[#This Row],[ReorderLevel]]-Table1[[#This Row],[CurrentStock]],"")</f>
        <v/>
      </c>
      <c r="N2606" t="str">
        <f>IF(Table1[[#This Row],[CurrentStock]]&gt;Table1[[#This Row],[ReorderLevel]]*3,"Over Stock","Okay")</f>
        <v>Over Stock</v>
      </c>
      <c r="O2606" t="str">
        <f>IF(Table1[[#This Row],[CurrentStock]]&lt;Table1[[#This Row],[ReorderLevel]],"Reorder","Okay")</f>
        <v>Okay</v>
      </c>
    </row>
    <row r="2607" spans="1:15" x14ac:dyDescent="0.3">
      <c r="A2607">
        <v>57631</v>
      </c>
      <c r="B2607" t="s">
        <v>25</v>
      </c>
      <c r="C2607" t="s">
        <v>31</v>
      </c>
      <c r="D2607">
        <v>66</v>
      </c>
      <c r="E2607">
        <v>20</v>
      </c>
      <c r="F2607">
        <v>279.92</v>
      </c>
      <c r="G2607" t="s">
        <v>34</v>
      </c>
      <c r="H2607" s="1">
        <v>45475</v>
      </c>
      <c r="I2607" s="1">
        <v>45495</v>
      </c>
      <c r="J2607" t="s">
        <v>39</v>
      </c>
      <c r="K2607" t="b">
        <f>Table1[[#This Row],[CurrentStock]]&lt;Table1[[#This Row],[ReorderLevel]]</f>
        <v>0</v>
      </c>
      <c r="L2607" s="9">
        <f>Table1[[#This Row],[CurrentStock]]*Table1[[#This Row],[UnitPrice]]</f>
        <v>18474.72</v>
      </c>
      <c r="M2607" t="str">
        <f>IF(Table1[[#This Row],[ReorderLevel]]-Table1[[#This Row],[CurrentStock]]&gt;0,Table1[[#This Row],[ReorderLevel]]-Table1[[#This Row],[CurrentStock]],"")</f>
        <v/>
      </c>
      <c r="N2607" t="str">
        <f>IF(Table1[[#This Row],[CurrentStock]]&gt;Table1[[#This Row],[ReorderLevel]]*3,"Over Stock","Okay")</f>
        <v>Over Stock</v>
      </c>
      <c r="O2607" t="str">
        <f>IF(Table1[[#This Row],[CurrentStock]]&lt;Table1[[#This Row],[ReorderLevel]],"Reorder","Okay")</f>
        <v>Okay</v>
      </c>
    </row>
    <row r="2608" spans="1:15" x14ac:dyDescent="0.3">
      <c r="A2608">
        <v>45059</v>
      </c>
      <c r="B2608" t="s">
        <v>20</v>
      </c>
      <c r="C2608" t="s">
        <v>29</v>
      </c>
      <c r="D2608">
        <v>454</v>
      </c>
      <c r="E2608">
        <v>150</v>
      </c>
      <c r="F2608">
        <v>361.87</v>
      </c>
      <c r="G2608" t="s">
        <v>32</v>
      </c>
      <c r="H2608" s="1">
        <v>45309</v>
      </c>
      <c r="I2608" s="1">
        <v>45332</v>
      </c>
      <c r="J2608" t="s">
        <v>39</v>
      </c>
      <c r="K2608" t="b">
        <f>Table1[[#This Row],[CurrentStock]]&lt;Table1[[#This Row],[ReorderLevel]]</f>
        <v>0</v>
      </c>
      <c r="L2608" s="9">
        <f>Table1[[#This Row],[CurrentStock]]*Table1[[#This Row],[UnitPrice]]</f>
        <v>164288.98000000001</v>
      </c>
      <c r="M2608" t="str">
        <f>IF(Table1[[#This Row],[ReorderLevel]]-Table1[[#This Row],[CurrentStock]]&gt;0,Table1[[#This Row],[ReorderLevel]]-Table1[[#This Row],[CurrentStock]],"")</f>
        <v/>
      </c>
      <c r="N2608" t="str">
        <f>IF(Table1[[#This Row],[CurrentStock]]&gt;Table1[[#This Row],[ReorderLevel]]*3,"Over Stock","Okay")</f>
        <v>Over Stock</v>
      </c>
      <c r="O2608" t="str">
        <f>IF(Table1[[#This Row],[CurrentStock]]&lt;Table1[[#This Row],[ReorderLevel]],"Reorder","Okay")</f>
        <v>Okay</v>
      </c>
    </row>
    <row r="2609" spans="1:15" x14ac:dyDescent="0.3">
      <c r="A2609">
        <v>91951</v>
      </c>
      <c r="B2609" t="s">
        <v>15</v>
      </c>
      <c r="C2609" t="s">
        <v>29</v>
      </c>
      <c r="D2609">
        <v>245</v>
      </c>
      <c r="E2609">
        <v>20</v>
      </c>
      <c r="F2609">
        <v>230.91</v>
      </c>
      <c r="G2609" t="s">
        <v>32</v>
      </c>
      <c r="H2609" s="1">
        <v>45340</v>
      </c>
      <c r="I2609" s="1">
        <v>45372</v>
      </c>
      <c r="J2609" t="s">
        <v>37</v>
      </c>
      <c r="K2609" t="b">
        <f>Table1[[#This Row],[CurrentStock]]&lt;Table1[[#This Row],[ReorderLevel]]</f>
        <v>0</v>
      </c>
      <c r="L2609" s="9">
        <f>Table1[[#This Row],[CurrentStock]]*Table1[[#This Row],[UnitPrice]]</f>
        <v>56572.95</v>
      </c>
      <c r="M2609" t="str">
        <f>IF(Table1[[#This Row],[ReorderLevel]]-Table1[[#This Row],[CurrentStock]]&gt;0,Table1[[#This Row],[ReorderLevel]]-Table1[[#This Row],[CurrentStock]],"")</f>
        <v/>
      </c>
      <c r="N2609" t="str">
        <f>IF(Table1[[#This Row],[CurrentStock]]&gt;Table1[[#This Row],[ReorderLevel]]*3,"Over Stock","Okay")</f>
        <v>Over Stock</v>
      </c>
      <c r="O2609" t="str">
        <f>IF(Table1[[#This Row],[CurrentStock]]&lt;Table1[[#This Row],[ReorderLevel]],"Reorder","Okay")</f>
        <v>Okay</v>
      </c>
    </row>
    <row r="2610" spans="1:15" x14ac:dyDescent="0.3">
      <c r="A2610">
        <v>79445</v>
      </c>
      <c r="B2610" t="s">
        <v>22</v>
      </c>
      <c r="C2610" t="s">
        <v>27</v>
      </c>
      <c r="D2610">
        <v>291</v>
      </c>
      <c r="E2610">
        <v>40</v>
      </c>
      <c r="F2610">
        <v>292.60000000000002</v>
      </c>
      <c r="G2610" t="s">
        <v>36</v>
      </c>
      <c r="H2610" s="1">
        <v>45378</v>
      </c>
      <c r="I2610" s="1">
        <v>45384</v>
      </c>
      <c r="J2610" t="s">
        <v>37</v>
      </c>
      <c r="K2610" t="b">
        <f>Table1[[#This Row],[CurrentStock]]&lt;Table1[[#This Row],[ReorderLevel]]</f>
        <v>0</v>
      </c>
      <c r="L2610" s="9">
        <f>Table1[[#This Row],[CurrentStock]]*Table1[[#This Row],[UnitPrice]]</f>
        <v>85146.6</v>
      </c>
      <c r="M2610" t="str">
        <f>IF(Table1[[#This Row],[ReorderLevel]]-Table1[[#This Row],[CurrentStock]]&gt;0,Table1[[#This Row],[ReorderLevel]]-Table1[[#This Row],[CurrentStock]],"")</f>
        <v/>
      </c>
      <c r="N2610" t="str">
        <f>IF(Table1[[#This Row],[CurrentStock]]&gt;Table1[[#This Row],[ReorderLevel]]*3,"Over Stock","Okay")</f>
        <v>Over Stock</v>
      </c>
      <c r="O2610" t="str">
        <f>IF(Table1[[#This Row],[CurrentStock]]&lt;Table1[[#This Row],[ReorderLevel]],"Reorder","Okay")</f>
        <v>Okay</v>
      </c>
    </row>
    <row r="2611" spans="1:15" x14ac:dyDescent="0.3">
      <c r="A2611">
        <v>49502</v>
      </c>
      <c r="B2611" t="s">
        <v>14</v>
      </c>
      <c r="C2611" t="s">
        <v>27</v>
      </c>
      <c r="D2611">
        <v>481</v>
      </c>
      <c r="E2611">
        <v>50</v>
      </c>
      <c r="F2611">
        <v>71.56</v>
      </c>
      <c r="G2611" t="s">
        <v>36</v>
      </c>
      <c r="H2611" s="1">
        <v>45381</v>
      </c>
      <c r="I2611" s="1">
        <v>45395</v>
      </c>
      <c r="J2611" t="s">
        <v>38</v>
      </c>
      <c r="K2611" t="b">
        <f>Table1[[#This Row],[CurrentStock]]&lt;Table1[[#This Row],[ReorderLevel]]</f>
        <v>0</v>
      </c>
      <c r="L2611" s="9">
        <f>Table1[[#This Row],[CurrentStock]]*Table1[[#This Row],[UnitPrice]]</f>
        <v>34420.36</v>
      </c>
      <c r="M2611" t="str">
        <f>IF(Table1[[#This Row],[ReorderLevel]]-Table1[[#This Row],[CurrentStock]]&gt;0,Table1[[#This Row],[ReorderLevel]]-Table1[[#This Row],[CurrentStock]],"")</f>
        <v/>
      </c>
      <c r="N2611" t="str">
        <f>IF(Table1[[#This Row],[CurrentStock]]&gt;Table1[[#This Row],[ReorderLevel]]*3,"Over Stock","Okay")</f>
        <v>Over Stock</v>
      </c>
      <c r="O2611" t="str">
        <f>IF(Table1[[#This Row],[CurrentStock]]&lt;Table1[[#This Row],[ReorderLevel]],"Reorder","Okay")</f>
        <v>Okay</v>
      </c>
    </row>
    <row r="2612" spans="1:15" x14ac:dyDescent="0.3">
      <c r="A2612">
        <v>22842</v>
      </c>
      <c r="B2612" t="s">
        <v>13</v>
      </c>
      <c r="C2612" t="s">
        <v>29</v>
      </c>
      <c r="D2612">
        <v>276</v>
      </c>
      <c r="E2612">
        <v>100</v>
      </c>
      <c r="F2612">
        <v>208.9</v>
      </c>
      <c r="G2612" t="s">
        <v>34</v>
      </c>
      <c r="H2612" s="1">
        <v>45328</v>
      </c>
      <c r="I2612" s="1">
        <v>45346</v>
      </c>
      <c r="J2612" t="s">
        <v>37</v>
      </c>
      <c r="K2612" t="b">
        <f>Table1[[#This Row],[CurrentStock]]&lt;Table1[[#This Row],[ReorderLevel]]</f>
        <v>0</v>
      </c>
      <c r="L2612" s="9">
        <f>Table1[[#This Row],[CurrentStock]]*Table1[[#This Row],[UnitPrice]]</f>
        <v>57656.4</v>
      </c>
      <c r="M2612" t="str">
        <f>IF(Table1[[#This Row],[ReorderLevel]]-Table1[[#This Row],[CurrentStock]]&gt;0,Table1[[#This Row],[ReorderLevel]]-Table1[[#This Row],[CurrentStock]],"")</f>
        <v/>
      </c>
      <c r="N2612" t="str">
        <f>IF(Table1[[#This Row],[CurrentStock]]&gt;Table1[[#This Row],[ReorderLevel]]*3,"Over Stock","Okay")</f>
        <v>Okay</v>
      </c>
      <c r="O2612" t="str">
        <f>IF(Table1[[#This Row],[CurrentStock]]&lt;Table1[[#This Row],[ReorderLevel]],"Reorder","Okay")</f>
        <v>Okay</v>
      </c>
    </row>
    <row r="2613" spans="1:15" x14ac:dyDescent="0.3">
      <c r="A2613">
        <v>32623</v>
      </c>
      <c r="B2613" t="s">
        <v>11</v>
      </c>
      <c r="C2613" t="s">
        <v>27</v>
      </c>
      <c r="D2613">
        <v>416</v>
      </c>
      <c r="E2613">
        <v>40</v>
      </c>
      <c r="F2613">
        <v>381.92</v>
      </c>
      <c r="G2613" t="s">
        <v>32</v>
      </c>
      <c r="H2613" s="1">
        <v>45634</v>
      </c>
      <c r="I2613" s="1">
        <v>45665</v>
      </c>
      <c r="J2613" t="s">
        <v>39</v>
      </c>
      <c r="K2613" t="b">
        <f>Table1[[#This Row],[CurrentStock]]&lt;Table1[[#This Row],[ReorderLevel]]</f>
        <v>0</v>
      </c>
      <c r="L2613" s="9">
        <f>Table1[[#This Row],[CurrentStock]]*Table1[[#This Row],[UnitPrice]]</f>
        <v>158878.72</v>
      </c>
      <c r="M2613" t="str">
        <f>IF(Table1[[#This Row],[ReorderLevel]]-Table1[[#This Row],[CurrentStock]]&gt;0,Table1[[#This Row],[ReorderLevel]]-Table1[[#This Row],[CurrentStock]],"")</f>
        <v/>
      </c>
      <c r="N2613" t="str">
        <f>IF(Table1[[#This Row],[CurrentStock]]&gt;Table1[[#This Row],[ReorderLevel]]*3,"Over Stock","Okay")</f>
        <v>Over Stock</v>
      </c>
      <c r="O2613" t="str">
        <f>IF(Table1[[#This Row],[CurrentStock]]&lt;Table1[[#This Row],[ReorderLevel]],"Reorder","Okay")</f>
        <v>Okay</v>
      </c>
    </row>
    <row r="2614" spans="1:15" x14ac:dyDescent="0.3">
      <c r="A2614">
        <v>58296</v>
      </c>
      <c r="B2614" t="s">
        <v>25</v>
      </c>
      <c r="C2614" t="s">
        <v>31</v>
      </c>
      <c r="D2614">
        <v>395</v>
      </c>
      <c r="E2614">
        <v>150</v>
      </c>
      <c r="F2614">
        <v>163.96</v>
      </c>
      <c r="G2614" t="s">
        <v>36</v>
      </c>
      <c r="H2614" s="1">
        <v>45415</v>
      </c>
      <c r="I2614" s="1">
        <v>45423</v>
      </c>
      <c r="J2614" t="s">
        <v>37</v>
      </c>
      <c r="K2614" t="b">
        <f>Table1[[#This Row],[CurrentStock]]&lt;Table1[[#This Row],[ReorderLevel]]</f>
        <v>0</v>
      </c>
      <c r="L2614" s="9">
        <f>Table1[[#This Row],[CurrentStock]]*Table1[[#This Row],[UnitPrice]]</f>
        <v>64764.200000000004</v>
      </c>
      <c r="M2614" t="str">
        <f>IF(Table1[[#This Row],[ReorderLevel]]-Table1[[#This Row],[CurrentStock]]&gt;0,Table1[[#This Row],[ReorderLevel]]-Table1[[#This Row],[CurrentStock]],"")</f>
        <v/>
      </c>
      <c r="N2614" t="str">
        <f>IF(Table1[[#This Row],[CurrentStock]]&gt;Table1[[#This Row],[ReorderLevel]]*3,"Over Stock","Okay")</f>
        <v>Okay</v>
      </c>
      <c r="O2614" t="str">
        <f>IF(Table1[[#This Row],[CurrentStock]]&lt;Table1[[#This Row],[ReorderLevel]],"Reorder","Okay")</f>
        <v>Okay</v>
      </c>
    </row>
    <row r="2615" spans="1:15" x14ac:dyDescent="0.3">
      <c r="A2615">
        <v>52012</v>
      </c>
      <c r="B2615" t="s">
        <v>25</v>
      </c>
      <c r="C2615" t="s">
        <v>31</v>
      </c>
      <c r="D2615">
        <v>12</v>
      </c>
      <c r="E2615">
        <v>150</v>
      </c>
      <c r="F2615">
        <v>53.13</v>
      </c>
      <c r="G2615" t="s">
        <v>36</v>
      </c>
      <c r="H2615" s="1">
        <v>45491</v>
      </c>
      <c r="I2615" s="1">
        <v>45529</v>
      </c>
      <c r="J2615" t="s">
        <v>38</v>
      </c>
      <c r="K2615" t="b">
        <f>Table1[[#This Row],[CurrentStock]]&lt;Table1[[#This Row],[ReorderLevel]]</f>
        <v>1</v>
      </c>
      <c r="L2615" s="9">
        <f>Table1[[#This Row],[CurrentStock]]*Table1[[#This Row],[UnitPrice]]</f>
        <v>637.56000000000006</v>
      </c>
      <c r="M2615">
        <f>IF(Table1[[#This Row],[ReorderLevel]]-Table1[[#This Row],[CurrentStock]]&gt;0,Table1[[#This Row],[ReorderLevel]]-Table1[[#This Row],[CurrentStock]],"")</f>
        <v>138</v>
      </c>
      <c r="N2615" t="str">
        <f>IF(Table1[[#This Row],[CurrentStock]]&gt;Table1[[#This Row],[ReorderLevel]]*3,"Over Stock","Okay")</f>
        <v>Okay</v>
      </c>
      <c r="O2615" t="str">
        <f>IF(Table1[[#This Row],[CurrentStock]]&lt;Table1[[#This Row],[ReorderLevel]],"Reorder","Okay")</f>
        <v>Reorder</v>
      </c>
    </row>
    <row r="2616" spans="1:15" x14ac:dyDescent="0.3">
      <c r="A2616">
        <v>84992</v>
      </c>
      <c r="B2616" t="s">
        <v>16</v>
      </c>
      <c r="C2616" t="s">
        <v>30</v>
      </c>
      <c r="D2616">
        <v>43</v>
      </c>
      <c r="E2616">
        <v>80</v>
      </c>
      <c r="F2616">
        <v>196.41</v>
      </c>
      <c r="G2616" t="s">
        <v>33</v>
      </c>
      <c r="H2616" s="1">
        <v>45430</v>
      </c>
      <c r="I2616" s="1">
        <v>45448</v>
      </c>
      <c r="J2616" t="s">
        <v>39</v>
      </c>
      <c r="K2616" t="b">
        <f>Table1[[#This Row],[CurrentStock]]&lt;Table1[[#This Row],[ReorderLevel]]</f>
        <v>1</v>
      </c>
      <c r="L2616" s="9">
        <f>Table1[[#This Row],[CurrentStock]]*Table1[[#This Row],[UnitPrice]]</f>
        <v>8445.6299999999992</v>
      </c>
      <c r="M2616">
        <f>IF(Table1[[#This Row],[ReorderLevel]]-Table1[[#This Row],[CurrentStock]]&gt;0,Table1[[#This Row],[ReorderLevel]]-Table1[[#This Row],[CurrentStock]],"")</f>
        <v>37</v>
      </c>
      <c r="N2616" t="str">
        <f>IF(Table1[[#This Row],[CurrentStock]]&gt;Table1[[#This Row],[ReorderLevel]]*3,"Over Stock","Okay")</f>
        <v>Okay</v>
      </c>
      <c r="O2616" t="str">
        <f>IF(Table1[[#This Row],[CurrentStock]]&lt;Table1[[#This Row],[ReorderLevel]],"Reorder","Okay")</f>
        <v>Reorder</v>
      </c>
    </row>
    <row r="2617" spans="1:15" x14ac:dyDescent="0.3">
      <c r="A2617">
        <v>34172</v>
      </c>
      <c r="B2617" t="s">
        <v>20</v>
      </c>
      <c r="C2617" t="s">
        <v>29</v>
      </c>
      <c r="D2617">
        <v>48</v>
      </c>
      <c r="E2617">
        <v>40</v>
      </c>
      <c r="F2617">
        <v>381.22</v>
      </c>
      <c r="G2617" t="s">
        <v>36</v>
      </c>
      <c r="H2617" s="1">
        <v>45619</v>
      </c>
      <c r="I2617" s="1">
        <v>45655</v>
      </c>
      <c r="J2617" t="s">
        <v>38</v>
      </c>
      <c r="K2617" t="b">
        <f>Table1[[#This Row],[CurrentStock]]&lt;Table1[[#This Row],[ReorderLevel]]</f>
        <v>0</v>
      </c>
      <c r="L2617" s="9">
        <f>Table1[[#This Row],[CurrentStock]]*Table1[[#This Row],[UnitPrice]]</f>
        <v>18298.560000000001</v>
      </c>
      <c r="M2617" t="str">
        <f>IF(Table1[[#This Row],[ReorderLevel]]-Table1[[#This Row],[CurrentStock]]&gt;0,Table1[[#This Row],[ReorderLevel]]-Table1[[#This Row],[CurrentStock]],"")</f>
        <v/>
      </c>
      <c r="N2617" t="str">
        <f>IF(Table1[[#This Row],[CurrentStock]]&gt;Table1[[#This Row],[ReorderLevel]]*3,"Over Stock","Okay")</f>
        <v>Okay</v>
      </c>
      <c r="O2617" t="str">
        <f>IF(Table1[[#This Row],[CurrentStock]]&lt;Table1[[#This Row],[ReorderLevel]],"Reorder","Okay")</f>
        <v>Okay</v>
      </c>
    </row>
    <row r="2618" spans="1:15" x14ac:dyDescent="0.3">
      <c r="A2618">
        <v>66068</v>
      </c>
      <c r="B2618" t="s">
        <v>20</v>
      </c>
      <c r="C2618" t="s">
        <v>29</v>
      </c>
      <c r="D2618">
        <v>187</v>
      </c>
      <c r="E2618">
        <v>20</v>
      </c>
      <c r="F2618">
        <v>192.13</v>
      </c>
      <c r="G2618" t="s">
        <v>33</v>
      </c>
      <c r="H2618" s="1">
        <v>45314</v>
      </c>
      <c r="I2618" s="1">
        <v>45332</v>
      </c>
      <c r="J2618" t="s">
        <v>39</v>
      </c>
      <c r="K2618" t="b">
        <f>Table1[[#This Row],[CurrentStock]]&lt;Table1[[#This Row],[ReorderLevel]]</f>
        <v>0</v>
      </c>
      <c r="L2618" s="9">
        <f>Table1[[#This Row],[CurrentStock]]*Table1[[#This Row],[UnitPrice]]</f>
        <v>35928.31</v>
      </c>
      <c r="M2618" t="str">
        <f>IF(Table1[[#This Row],[ReorderLevel]]-Table1[[#This Row],[CurrentStock]]&gt;0,Table1[[#This Row],[ReorderLevel]]-Table1[[#This Row],[CurrentStock]],"")</f>
        <v/>
      </c>
      <c r="N2618" t="str">
        <f>IF(Table1[[#This Row],[CurrentStock]]&gt;Table1[[#This Row],[ReorderLevel]]*3,"Over Stock","Okay")</f>
        <v>Over Stock</v>
      </c>
      <c r="O2618" t="str">
        <f>IF(Table1[[#This Row],[CurrentStock]]&lt;Table1[[#This Row],[ReorderLevel]],"Reorder","Okay")</f>
        <v>Okay</v>
      </c>
    </row>
    <row r="2619" spans="1:15" x14ac:dyDescent="0.3">
      <c r="A2619">
        <v>99376</v>
      </c>
      <c r="B2619" t="s">
        <v>25</v>
      </c>
      <c r="C2619" t="s">
        <v>31</v>
      </c>
      <c r="D2619">
        <v>23</v>
      </c>
      <c r="E2619">
        <v>80</v>
      </c>
      <c r="F2619">
        <v>212.65</v>
      </c>
      <c r="G2619" t="s">
        <v>34</v>
      </c>
      <c r="H2619" s="1">
        <v>45437</v>
      </c>
      <c r="I2619" s="1">
        <v>45445</v>
      </c>
      <c r="J2619" t="s">
        <v>39</v>
      </c>
      <c r="K2619" t="b">
        <f>Table1[[#This Row],[CurrentStock]]&lt;Table1[[#This Row],[ReorderLevel]]</f>
        <v>1</v>
      </c>
      <c r="L2619" s="9">
        <f>Table1[[#This Row],[CurrentStock]]*Table1[[#This Row],[UnitPrice]]</f>
        <v>4890.95</v>
      </c>
      <c r="M2619">
        <f>IF(Table1[[#This Row],[ReorderLevel]]-Table1[[#This Row],[CurrentStock]]&gt;0,Table1[[#This Row],[ReorderLevel]]-Table1[[#This Row],[CurrentStock]],"")</f>
        <v>57</v>
      </c>
      <c r="N2619" t="str">
        <f>IF(Table1[[#This Row],[CurrentStock]]&gt;Table1[[#This Row],[ReorderLevel]]*3,"Over Stock","Okay")</f>
        <v>Okay</v>
      </c>
      <c r="O2619" t="str">
        <f>IF(Table1[[#This Row],[CurrentStock]]&lt;Table1[[#This Row],[ReorderLevel]],"Reorder","Okay")</f>
        <v>Reorder</v>
      </c>
    </row>
    <row r="2620" spans="1:15" x14ac:dyDescent="0.3">
      <c r="A2620">
        <v>89951</v>
      </c>
      <c r="B2620" t="s">
        <v>22</v>
      </c>
      <c r="C2620" t="s">
        <v>27</v>
      </c>
      <c r="D2620">
        <v>124</v>
      </c>
      <c r="E2620">
        <v>50</v>
      </c>
      <c r="F2620">
        <v>311.08</v>
      </c>
      <c r="G2620" t="s">
        <v>32</v>
      </c>
      <c r="H2620" s="1">
        <v>45615</v>
      </c>
      <c r="I2620" s="1">
        <v>45630</v>
      </c>
      <c r="J2620" t="s">
        <v>39</v>
      </c>
      <c r="K2620" t="b">
        <f>Table1[[#This Row],[CurrentStock]]&lt;Table1[[#This Row],[ReorderLevel]]</f>
        <v>0</v>
      </c>
      <c r="L2620" s="9">
        <f>Table1[[#This Row],[CurrentStock]]*Table1[[#This Row],[UnitPrice]]</f>
        <v>38573.919999999998</v>
      </c>
      <c r="M2620" t="str">
        <f>IF(Table1[[#This Row],[ReorderLevel]]-Table1[[#This Row],[CurrentStock]]&gt;0,Table1[[#This Row],[ReorderLevel]]-Table1[[#This Row],[CurrentStock]],"")</f>
        <v/>
      </c>
      <c r="N2620" t="str">
        <f>IF(Table1[[#This Row],[CurrentStock]]&gt;Table1[[#This Row],[ReorderLevel]]*3,"Over Stock","Okay")</f>
        <v>Okay</v>
      </c>
      <c r="O2620" t="str">
        <f>IF(Table1[[#This Row],[CurrentStock]]&lt;Table1[[#This Row],[ReorderLevel]],"Reorder","Okay")</f>
        <v>Okay</v>
      </c>
    </row>
    <row r="2621" spans="1:15" x14ac:dyDescent="0.3">
      <c r="A2621">
        <v>94860</v>
      </c>
      <c r="B2621" t="s">
        <v>16</v>
      </c>
      <c r="C2621" t="s">
        <v>30</v>
      </c>
      <c r="D2621">
        <v>435</v>
      </c>
      <c r="E2621">
        <v>50</v>
      </c>
      <c r="F2621">
        <v>372.17</v>
      </c>
      <c r="G2621" t="s">
        <v>33</v>
      </c>
      <c r="H2621" s="1">
        <v>45591</v>
      </c>
      <c r="I2621" s="1">
        <v>45628</v>
      </c>
      <c r="J2621" t="s">
        <v>37</v>
      </c>
      <c r="K2621" t="b">
        <f>Table1[[#This Row],[CurrentStock]]&lt;Table1[[#This Row],[ReorderLevel]]</f>
        <v>0</v>
      </c>
      <c r="L2621" s="9">
        <f>Table1[[#This Row],[CurrentStock]]*Table1[[#This Row],[UnitPrice]]</f>
        <v>161893.95000000001</v>
      </c>
      <c r="M2621" t="str">
        <f>IF(Table1[[#This Row],[ReorderLevel]]-Table1[[#This Row],[CurrentStock]]&gt;0,Table1[[#This Row],[ReorderLevel]]-Table1[[#This Row],[CurrentStock]],"")</f>
        <v/>
      </c>
      <c r="N2621" t="str">
        <f>IF(Table1[[#This Row],[CurrentStock]]&gt;Table1[[#This Row],[ReorderLevel]]*3,"Over Stock","Okay")</f>
        <v>Over Stock</v>
      </c>
      <c r="O2621" t="str">
        <f>IF(Table1[[#This Row],[CurrentStock]]&lt;Table1[[#This Row],[ReorderLevel]],"Reorder","Okay")</f>
        <v>Okay</v>
      </c>
    </row>
    <row r="2622" spans="1:15" x14ac:dyDescent="0.3">
      <c r="A2622">
        <v>85652</v>
      </c>
      <c r="B2622" t="s">
        <v>16</v>
      </c>
      <c r="C2622" t="s">
        <v>30</v>
      </c>
      <c r="D2622">
        <v>242</v>
      </c>
      <c r="E2622">
        <v>50</v>
      </c>
      <c r="F2622">
        <v>257.64999999999998</v>
      </c>
      <c r="G2622" t="s">
        <v>35</v>
      </c>
      <c r="H2622" s="1">
        <v>45346</v>
      </c>
      <c r="I2622" s="1">
        <v>45366</v>
      </c>
      <c r="J2622" t="s">
        <v>39</v>
      </c>
      <c r="K2622" t="b">
        <f>Table1[[#This Row],[CurrentStock]]&lt;Table1[[#This Row],[ReorderLevel]]</f>
        <v>0</v>
      </c>
      <c r="L2622" s="9">
        <f>Table1[[#This Row],[CurrentStock]]*Table1[[#This Row],[UnitPrice]]</f>
        <v>62351.299999999996</v>
      </c>
      <c r="M2622" t="str">
        <f>IF(Table1[[#This Row],[ReorderLevel]]-Table1[[#This Row],[CurrentStock]]&gt;0,Table1[[#This Row],[ReorderLevel]]-Table1[[#This Row],[CurrentStock]],"")</f>
        <v/>
      </c>
      <c r="N2622" t="str">
        <f>IF(Table1[[#This Row],[CurrentStock]]&gt;Table1[[#This Row],[ReorderLevel]]*3,"Over Stock","Okay")</f>
        <v>Over Stock</v>
      </c>
      <c r="O2622" t="str">
        <f>IF(Table1[[#This Row],[CurrentStock]]&lt;Table1[[#This Row],[ReorderLevel]],"Reorder","Okay")</f>
        <v>Okay</v>
      </c>
    </row>
    <row r="2623" spans="1:15" x14ac:dyDescent="0.3">
      <c r="A2623">
        <v>51534</v>
      </c>
      <c r="B2623" t="s">
        <v>10</v>
      </c>
      <c r="C2623" t="s">
        <v>27</v>
      </c>
      <c r="D2623">
        <v>276</v>
      </c>
      <c r="E2623">
        <v>100</v>
      </c>
      <c r="F2623">
        <v>476.12</v>
      </c>
      <c r="G2623" t="s">
        <v>36</v>
      </c>
      <c r="H2623" s="1">
        <v>45321</v>
      </c>
      <c r="I2623" s="1">
        <v>45348</v>
      </c>
      <c r="J2623" t="s">
        <v>38</v>
      </c>
      <c r="K2623" t="b">
        <f>Table1[[#This Row],[CurrentStock]]&lt;Table1[[#This Row],[ReorderLevel]]</f>
        <v>0</v>
      </c>
      <c r="L2623" s="9">
        <f>Table1[[#This Row],[CurrentStock]]*Table1[[#This Row],[UnitPrice]]</f>
        <v>131409.12</v>
      </c>
      <c r="M2623" t="str">
        <f>IF(Table1[[#This Row],[ReorderLevel]]-Table1[[#This Row],[CurrentStock]]&gt;0,Table1[[#This Row],[ReorderLevel]]-Table1[[#This Row],[CurrentStock]],"")</f>
        <v/>
      </c>
      <c r="N2623" t="str">
        <f>IF(Table1[[#This Row],[CurrentStock]]&gt;Table1[[#This Row],[ReorderLevel]]*3,"Over Stock","Okay")</f>
        <v>Okay</v>
      </c>
      <c r="O2623" t="str">
        <f>IF(Table1[[#This Row],[CurrentStock]]&lt;Table1[[#This Row],[ReorderLevel]],"Reorder","Okay")</f>
        <v>Okay</v>
      </c>
    </row>
    <row r="2624" spans="1:15" x14ac:dyDescent="0.3">
      <c r="A2624">
        <v>17938</v>
      </c>
      <c r="B2624" t="s">
        <v>21</v>
      </c>
      <c r="C2624" t="s">
        <v>31</v>
      </c>
      <c r="D2624">
        <v>241</v>
      </c>
      <c r="E2624">
        <v>80</v>
      </c>
      <c r="F2624">
        <v>497.55</v>
      </c>
      <c r="G2624" t="s">
        <v>33</v>
      </c>
      <c r="H2624" s="1">
        <v>45330</v>
      </c>
      <c r="I2624" s="1">
        <v>45351</v>
      </c>
      <c r="J2624" t="s">
        <v>38</v>
      </c>
      <c r="K2624" t="b">
        <f>Table1[[#This Row],[CurrentStock]]&lt;Table1[[#This Row],[ReorderLevel]]</f>
        <v>0</v>
      </c>
      <c r="L2624" s="9">
        <f>Table1[[#This Row],[CurrentStock]]*Table1[[#This Row],[UnitPrice]]</f>
        <v>119909.55</v>
      </c>
      <c r="M2624" t="str">
        <f>IF(Table1[[#This Row],[ReorderLevel]]-Table1[[#This Row],[CurrentStock]]&gt;0,Table1[[#This Row],[ReorderLevel]]-Table1[[#This Row],[CurrentStock]],"")</f>
        <v/>
      </c>
      <c r="N2624" t="str">
        <f>IF(Table1[[#This Row],[CurrentStock]]&gt;Table1[[#This Row],[ReorderLevel]]*3,"Over Stock","Okay")</f>
        <v>Over Stock</v>
      </c>
      <c r="O2624" t="str">
        <f>IF(Table1[[#This Row],[CurrentStock]]&lt;Table1[[#This Row],[ReorderLevel]],"Reorder","Okay")</f>
        <v>Okay</v>
      </c>
    </row>
    <row r="2625" spans="1:15" x14ac:dyDescent="0.3">
      <c r="A2625">
        <v>84755</v>
      </c>
      <c r="B2625" t="s">
        <v>15</v>
      </c>
      <c r="C2625" t="s">
        <v>29</v>
      </c>
      <c r="D2625">
        <v>478</v>
      </c>
      <c r="E2625">
        <v>150</v>
      </c>
      <c r="F2625">
        <v>449.64</v>
      </c>
      <c r="G2625" t="s">
        <v>32</v>
      </c>
      <c r="H2625" s="1">
        <v>45363</v>
      </c>
      <c r="I2625" s="1">
        <v>45373</v>
      </c>
      <c r="J2625" t="s">
        <v>37</v>
      </c>
      <c r="K2625" t="b">
        <f>Table1[[#This Row],[CurrentStock]]&lt;Table1[[#This Row],[ReorderLevel]]</f>
        <v>0</v>
      </c>
      <c r="L2625" s="9">
        <f>Table1[[#This Row],[CurrentStock]]*Table1[[#This Row],[UnitPrice]]</f>
        <v>214927.91999999998</v>
      </c>
      <c r="M2625" t="str">
        <f>IF(Table1[[#This Row],[ReorderLevel]]-Table1[[#This Row],[CurrentStock]]&gt;0,Table1[[#This Row],[ReorderLevel]]-Table1[[#This Row],[CurrentStock]],"")</f>
        <v/>
      </c>
      <c r="N2625" t="str">
        <f>IF(Table1[[#This Row],[CurrentStock]]&gt;Table1[[#This Row],[ReorderLevel]]*3,"Over Stock","Okay")</f>
        <v>Over Stock</v>
      </c>
      <c r="O2625" t="str">
        <f>IF(Table1[[#This Row],[CurrentStock]]&lt;Table1[[#This Row],[ReorderLevel]],"Reorder","Okay")</f>
        <v>Okay</v>
      </c>
    </row>
    <row r="2626" spans="1:15" x14ac:dyDescent="0.3">
      <c r="A2626">
        <v>77719</v>
      </c>
      <c r="B2626" t="s">
        <v>21</v>
      </c>
      <c r="C2626" t="s">
        <v>31</v>
      </c>
      <c r="D2626">
        <v>291</v>
      </c>
      <c r="E2626">
        <v>40</v>
      </c>
      <c r="F2626">
        <v>185.26</v>
      </c>
      <c r="G2626" t="s">
        <v>32</v>
      </c>
      <c r="H2626" s="1">
        <v>45371</v>
      </c>
      <c r="I2626" s="1">
        <v>45377</v>
      </c>
      <c r="J2626" t="s">
        <v>37</v>
      </c>
      <c r="K2626" t="b">
        <f>Table1[[#This Row],[CurrentStock]]&lt;Table1[[#This Row],[ReorderLevel]]</f>
        <v>0</v>
      </c>
      <c r="L2626" s="9">
        <f>Table1[[#This Row],[CurrentStock]]*Table1[[#This Row],[UnitPrice]]</f>
        <v>53910.659999999996</v>
      </c>
      <c r="M2626" t="str">
        <f>IF(Table1[[#This Row],[ReorderLevel]]-Table1[[#This Row],[CurrentStock]]&gt;0,Table1[[#This Row],[ReorderLevel]]-Table1[[#This Row],[CurrentStock]],"")</f>
        <v/>
      </c>
      <c r="N2626" t="str">
        <f>IF(Table1[[#This Row],[CurrentStock]]&gt;Table1[[#This Row],[ReorderLevel]]*3,"Over Stock","Okay")</f>
        <v>Over Stock</v>
      </c>
      <c r="O2626" t="str">
        <f>IF(Table1[[#This Row],[CurrentStock]]&lt;Table1[[#This Row],[ReorderLevel]],"Reorder","Okay")</f>
        <v>Okay</v>
      </c>
    </row>
    <row r="2627" spans="1:15" x14ac:dyDescent="0.3">
      <c r="A2627">
        <v>77117</v>
      </c>
      <c r="B2627" t="s">
        <v>15</v>
      </c>
      <c r="C2627" t="s">
        <v>29</v>
      </c>
      <c r="D2627">
        <v>6</v>
      </c>
      <c r="E2627">
        <v>30</v>
      </c>
      <c r="F2627">
        <v>58.39</v>
      </c>
      <c r="G2627" t="s">
        <v>32</v>
      </c>
      <c r="H2627" s="1">
        <v>45528</v>
      </c>
      <c r="I2627" s="1">
        <v>45544</v>
      </c>
      <c r="J2627" t="s">
        <v>38</v>
      </c>
      <c r="K2627" t="b">
        <f>Table1[[#This Row],[CurrentStock]]&lt;Table1[[#This Row],[ReorderLevel]]</f>
        <v>1</v>
      </c>
      <c r="L2627" s="9">
        <f>Table1[[#This Row],[CurrentStock]]*Table1[[#This Row],[UnitPrice]]</f>
        <v>350.34000000000003</v>
      </c>
      <c r="M2627">
        <f>IF(Table1[[#This Row],[ReorderLevel]]-Table1[[#This Row],[CurrentStock]]&gt;0,Table1[[#This Row],[ReorderLevel]]-Table1[[#This Row],[CurrentStock]],"")</f>
        <v>24</v>
      </c>
      <c r="N2627" t="str">
        <f>IF(Table1[[#This Row],[CurrentStock]]&gt;Table1[[#This Row],[ReorderLevel]]*3,"Over Stock","Okay")</f>
        <v>Okay</v>
      </c>
      <c r="O2627" t="str">
        <f>IF(Table1[[#This Row],[CurrentStock]]&lt;Table1[[#This Row],[ReorderLevel]],"Reorder","Okay")</f>
        <v>Reorder</v>
      </c>
    </row>
    <row r="2628" spans="1:15" x14ac:dyDescent="0.3">
      <c r="A2628">
        <v>99179</v>
      </c>
      <c r="B2628" t="s">
        <v>21</v>
      </c>
      <c r="C2628" t="s">
        <v>31</v>
      </c>
      <c r="D2628">
        <v>113</v>
      </c>
      <c r="E2628">
        <v>100</v>
      </c>
      <c r="F2628">
        <v>462.3</v>
      </c>
      <c r="G2628" t="s">
        <v>35</v>
      </c>
      <c r="H2628" s="1">
        <v>45608</v>
      </c>
      <c r="I2628" s="1">
        <v>45616</v>
      </c>
      <c r="J2628" t="s">
        <v>37</v>
      </c>
      <c r="K2628" t="b">
        <f>Table1[[#This Row],[CurrentStock]]&lt;Table1[[#This Row],[ReorderLevel]]</f>
        <v>0</v>
      </c>
      <c r="L2628" s="9">
        <f>Table1[[#This Row],[CurrentStock]]*Table1[[#This Row],[UnitPrice]]</f>
        <v>52239.9</v>
      </c>
      <c r="M2628" t="str">
        <f>IF(Table1[[#This Row],[ReorderLevel]]-Table1[[#This Row],[CurrentStock]]&gt;0,Table1[[#This Row],[ReorderLevel]]-Table1[[#This Row],[CurrentStock]],"")</f>
        <v/>
      </c>
      <c r="N2628" t="str">
        <f>IF(Table1[[#This Row],[CurrentStock]]&gt;Table1[[#This Row],[ReorderLevel]]*3,"Over Stock","Okay")</f>
        <v>Okay</v>
      </c>
      <c r="O2628" t="str">
        <f>IF(Table1[[#This Row],[CurrentStock]]&lt;Table1[[#This Row],[ReorderLevel]],"Reorder","Okay")</f>
        <v>Okay</v>
      </c>
    </row>
    <row r="2629" spans="1:15" x14ac:dyDescent="0.3">
      <c r="A2629">
        <v>52124</v>
      </c>
      <c r="B2629" t="s">
        <v>13</v>
      </c>
      <c r="C2629" t="s">
        <v>29</v>
      </c>
      <c r="D2629">
        <v>304</v>
      </c>
      <c r="E2629">
        <v>30</v>
      </c>
      <c r="F2629">
        <v>104.18</v>
      </c>
      <c r="G2629" t="s">
        <v>34</v>
      </c>
      <c r="H2629" s="1">
        <v>45307</v>
      </c>
      <c r="I2629" s="1">
        <v>45332</v>
      </c>
      <c r="J2629" t="s">
        <v>38</v>
      </c>
      <c r="K2629" t="b">
        <f>Table1[[#This Row],[CurrentStock]]&lt;Table1[[#This Row],[ReorderLevel]]</f>
        <v>0</v>
      </c>
      <c r="L2629" s="9">
        <f>Table1[[#This Row],[CurrentStock]]*Table1[[#This Row],[UnitPrice]]</f>
        <v>31670.720000000001</v>
      </c>
      <c r="M2629" t="str">
        <f>IF(Table1[[#This Row],[ReorderLevel]]-Table1[[#This Row],[CurrentStock]]&gt;0,Table1[[#This Row],[ReorderLevel]]-Table1[[#This Row],[CurrentStock]],"")</f>
        <v/>
      </c>
      <c r="N2629" t="str">
        <f>IF(Table1[[#This Row],[CurrentStock]]&gt;Table1[[#This Row],[ReorderLevel]]*3,"Over Stock","Okay")</f>
        <v>Over Stock</v>
      </c>
      <c r="O2629" t="str">
        <f>IF(Table1[[#This Row],[CurrentStock]]&lt;Table1[[#This Row],[ReorderLevel]],"Reorder","Okay")</f>
        <v>Okay</v>
      </c>
    </row>
    <row r="2630" spans="1:15" x14ac:dyDescent="0.3">
      <c r="A2630">
        <v>42059</v>
      </c>
      <c r="B2630" t="s">
        <v>11</v>
      </c>
      <c r="C2630" t="s">
        <v>27</v>
      </c>
      <c r="D2630">
        <v>75</v>
      </c>
      <c r="E2630">
        <v>50</v>
      </c>
      <c r="F2630">
        <v>386.72</v>
      </c>
      <c r="G2630" t="s">
        <v>34</v>
      </c>
      <c r="H2630" s="1">
        <v>45559</v>
      </c>
      <c r="I2630" s="1">
        <v>45588</v>
      </c>
      <c r="J2630" t="s">
        <v>38</v>
      </c>
      <c r="K2630" t="b">
        <f>Table1[[#This Row],[CurrentStock]]&lt;Table1[[#This Row],[ReorderLevel]]</f>
        <v>0</v>
      </c>
      <c r="L2630" s="9">
        <f>Table1[[#This Row],[CurrentStock]]*Table1[[#This Row],[UnitPrice]]</f>
        <v>29004.000000000004</v>
      </c>
      <c r="M2630" t="str">
        <f>IF(Table1[[#This Row],[ReorderLevel]]-Table1[[#This Row],[CurrentStock]]&gt;0,Table1[[#This Row],[ReorderLevel]]-Table1[[#This Row],[CurrentStock]],"")</f>
        <v/>
      </c>
      <c r="N2630" t="str">
        <f>IF(Table1[[#This Row],[CurrentStock]]&gt;Table1[[#This Row],[ReorderLevel]]*3,"Over Stock","Okay")</f>
        <v>Okay</v>
      </c>
      <c r="O2630" t="str">
        <f>IF(Table1[[#This Row],[CurrentStock]]&lt;Table1[[#This Row],[ReorderLevel]],"Reorder","Okay")</f>
        <v>Okay</v>
      </c>
    </row>
    <row r="2631" spans="1:15" x14ac:dyDescent="0.3">
      <c r="A2631">
        <v>25834</v>
      </c>
      <c r="B2631" t="s">
        <v>14</v>
      </c>
      <c r="C2631" t="s">
        <v>27</v>
      </c>
      <c r="D2631">
        <v>33</v>
      </c>
      <c r="E2631">
        <v>80</v>
      </c>
      <c r="F2631">
        <v>19.309999999999999</v>
      </c>
      <c r="G2631" t="s">
        <v>36</v>
      </c>
      <c r="H2631" s="1">
        <v>45522</v>
      </c>
      <c r="I2631" s="1">
        <v>45554</v>
      </c>
      <c r="J2631" t="s">
        <v>38</v>
      </c>
      <c r="K2631" t="b">
        <f>Table1[[#This Row],[CurrentStock]]&lt;Table1[[#This Row],[ReorderLevel]]</f>
        <v>1</v>
      </c>
      <c r="L2631" s="9">
        <f>Table1[[#This Row],[CurrentStock]]*Table1[[#This Row],[UnitPrice]]</f>
        <v>637.2299999999999</v>
      </c>
      <c r="M2631">
        <f>IF(Table1[[#This Row],[ReorderLevel]]-Table1[[#This Row],[CurrentStock]]&gt;0,Table1[[#This Row],[ReorderLevel]]-Table1[[#This Row],[CurrentStock]],"")</f>
        <v>47</v>
      </c>
      <c r="N2631" t="str">
        <f>IF(Table1[[#This Row],[CurrentStock]]&gt;Table1[[#This Row],[ReorderLevel]]*3,"Over Stock","Okay")</f>
        <v>Okay</v>
      </c>
      <c r="O2631" t="str">
        <f>IF(Table1[[#This Row],[CurrentStock]]&lt;Table1[[#This Row],[ReorderLevel]],"Reorder","Okay")</f>
        <v>Reorder</v>
      </c>
    </row>
    <row r="2632" spans="1:15" x14ac:dyDescent="0.3">
      <c r="A2632">
        <v>81484</v>
      </c>
      <c r="B2632" t="s">
        <v>13</v>
      </c>
      <c r="C2632" t="s">
        <v>29</v>
      </c>
      <c r="D2632">
        <v>158</v>
      </c>
      <c r="E2632">
        <v>30</v>
      </c>
      <c r="F2632">
        <v>162.11000000000001</v>
      </c>
      <c r="G2632" t="s">
        <v>34</v>
      </c>
      <c r="H2632" s="1">
        <v>45381</v>
      </c>
      <c r="I2632" s="1">
        <v>45416</v>
      </c>
      <c r="J2632" t="s">
        <v>38</v>
      </c>
      <c r="K2632" t="b">
        <f>Table1[[#This Row],[CurrentStock]]&lt;Table1[[#This Row],[ReorderLevel]]</f>
        <v>0</v>
      </c>
      <c r="L2632" s="9">
        <f>Table1[[#This Row],[CurrentStock]]*Table1[[#This Row],[UnitPrice]]</f>
        <v>25613.38</v>
      </c>
      <c r="M2632" t="str">
        <f>IF(Table1[[#This Row],[ReorderLevel]]-Table1[[#This Row],[CurrentStock]]&gt;0,Table1[[#This Row],[ReorderLevel]]-Table1[[#This Row],[CurrentStock]],"")</f>
        <v/>
      </c>
      <c r="N2632" t="str">
        <f>IF(Table1[[#This Row],[CurrentStock]]&gt;Table1[[#This Row],[ReorderLevel]]*3,"Over Stock","Okay")</f>
        <v>Over Stock</v>
      </c>
      <c r="O2632" t="str">
        <f>IF(Table1[[#This Row],[CurrentStock]]&lt;Table1[[#This Row],[ReorderLevel]],"Reorder","Okay")</f>
        <v>Okay</v>
      </c>
    </row>
    <row r="2633" spans="1:15" x14ac:dyDescent="0.3">
      <c r="A2633">
        <v>92368</v>
      </c>
      <c r="B2633" t="s">
        <v>24</v>
      </c>
      <c r="C2633" t="s">
        <v>31</v>
      </c>
      <c r="D2633">
        <v>208</v>
      </c>
      <c r="E2633">
        <v>30</v>
      </c>
      <c r="F2633">
        <v>415.24</v>
      </c>
      <c r="G2633" t="s">
        <v>34</v>
      </c>
      <c r="H2633" s="1">
        <v>45648</v>
      </c>
      <c r="I2633" s="1">
        <v>45661</v>
      </c>
      <c r="J2633" t="s">
        <v>39</v>
      </c>
      <c r="K2633" t="b">
        <f>Table1[[#This Row],[CurrentStock]]&lt;Table1[[#This Row],[ReorderLevel]]</f>
        <v>0</v>
      </c>
      <c r="L2633" s="9">
        <f>Table1[[#This Row],[CurrentStock]]*Table1[[#This Row],[UnitPrice]]</f>
        <v>86369.919999999998</v>
      </c>
      <c r="M2633" t="str">
        <f>IF(Table1[[#This Row],[ReorderLevel]]-Table1[[#This Row],[CurrentStock]]&gt;0,Table1[[#This Row],[ReorderLevel]]-Table1[[#This Row],[CurrentStock]],"")</f>
        <v/>
      </c>
      <c r="N2633" t="str">
        <f>IF(Table1[[#This Row],[CurrentStock]]&gt;Table1[[#This Row],[ReorderLevel]]*3,"Over Stock","Okay")</f>
        <v>Over Stock</v>
      </c>
      <c r="O2633" t="str">
        <f>IF(Table1[[#This Row],[CurrentStock]]&lt;Table1[[#This Row],[ReorderLevel]],"Reorder","Okay")</f>
        <v>Okay</v>
      </c>
    </row>
    <row r="2634" spans="1:15" x14ac:dyDescent="0.3">
      <c r="A2634">
        <v>55788</v>
      </c>
      <c r="B2634" t="s">
        <v>15</v>
      </c>
      <c r="C2634" t="s">
        <v>29</v>
      </c>
      <c r="D2634">
        <v>361</v>
      </c>
      <c r="E2634">
        <v>40</v>
      </c>
      <c r="F2634">
        <v>123.95</v>
      </c>
      <c r="G2634" t="s">
        <v>33</v>
      </c>
      <c r="H2634" s="1">
        <v>45419</v>
      </c>
      <c r="I2634" s="1">
        <v>45431</v>
      </c>
      <c r="J2634" t="s">
        <v>37</v>
      </c>
      <c r="K2634" t="b">
        <f>Table1[[#This Row],[CurrentStock]]&lt;Table1[[#This Row],[ReorderLevel]]</f>
        <v>0</v>
      </c>
      <c r="L2634" s="9">
        <f>Table1[[#This Row],[CurrentStock]]*Table1[[#This Row],[UnitPrice]]</f>
        <v>44745.950000000004</v>
      </c>
      <c r="M2634" t="str">
        <f>IF(Table1[[#This Row],[ReorderLevel]]-Table1[[#This Row],[CurrentStock]]&gt;0,Table1[[#This Row],[ReorderLevel]]-Table1[[#This Row],[CurrentStock]],"")</f>
        <v/>
      </c>
      <c r="N2634" t="str">
        <f>IF(Table1[[#This Row],[CurrentStock]]&gt;Table1[[#This Row],[ReorderLevel]]*3,"Over Stock","Okay")</f>
        <v>Over Stock</v>
      </c>
      <c r="O2634" t="str">
        <f>IF(Table1[[#This Row],[CurrentStock]]&lt;Table1[[#This Row],[ReorderLevel]],"Reorder","Okay")</f>
        <v>Okay</v>
      </c>
    </row>
    <row r="2635" spans="1:15" x14ac:dyDescent="0.3">
      <c r="A2635">
        <v>73535</v>
      </c>
      <c r="B2635" t="s">
        <v>22</v>
      </c>
      <c r="C2635" t="s">
        <v>27</v>
      </c>
      <c r="D2635">
        <v>392</v>
      </c>
      <c r="E2635">
        <v>40</v>
      </c>
      <c r="F2635">
        <v>263.64999999999998</v>
      </c>
      <c r="G2635" t="s">
        <v>33</v>
      </c>
      <c r="H2635" s="1">
        <v>45520</v>
      </c>
      <c r="I2635" s="1">
        <v>45549</v>
      </c>
      <c r="J2635" t="s">
        <v>37</v>
      </c>
      <c r="K2635" t="b">
        <f>Table1[[#This Row],[CurrentStock]]&lt;Table1[[#This Row],[ReorderLevel]]</f>
        <v>0</v>
      </c>
      <c r="L2635" s="9">
        <f>Table1[[#This Row],[CurrentStock]]*Table1[[#This Row],[UnitPrice]]</f>
        <v>103350.79999999999</v>
      </c>
      <c r="M2635" t="str">
        <f>IF(Table1[[#This Row],[ReorderLevel]]-Table1[[#This Row],[CurrentStock]]&gt;0,Table1[[#This Row],[ReorderLevel]]-Table1[[#This Row],[CurrentStock]],"")</f>
        <v/>
      </c>
      <c r="N2635" t="str">
        <f>IF(Table1[[#This Row],[CurrentStock]]&gt;Table1[[#This Row],[ReorderLevel]]*3,"Over Stock","Okay")</f>
        <v>Over Stock</v>
      </c>
      <c r="O2635" t="str">
        <f>IF(Table1[[#This Row],[CurrentStock]]&lt;Table1[[#This Row],[ReorderLevel]],"Reorder","Okay")</f>
        <v>Okay</v>
      </c>
    </row>
    <row r="2636" spans="1:15" x14ac:dyDescent="0.3">
      <c r="A2636">
        <v>25475</v>
      </c>
      <c r="B2636" t="s">
        <v>22</v>
      </c>
      <c r="C2636" t="s">
        <v>27</v>
      </c>
      <c r="D2636">
        <v>160</v>
      </c>
      <c r="E2636">
        <v>150</v>
      </c>
      <c r="F2636">
        <v>281.70999999999998</v>
      </c>
      <c r="G2636" t="s">
        <v>33</v>
      </c>
      <c r="H2636" s="1">
        <v>45565</v>
      </c>
      <c r="I2636" s="1">
        <v>45602</v>
      </c>
      <c r="J2636" t="s">
        <v>38</v>
      </c>
      <c r="K2636" t="b">
        <f>Table1[[#This Row],[CurrentStock]]&lt;Table1[[#This Row],[ReorderLevel]]</f>
        <v>0</v>
      </c>
      <c r="L2636" s="9">
        <f>Table1[[#This Row],[CurrentStock]]*Table1[[#This Row],[UnitPrice]]</f>
        <v>45073.599999999999</v>
      </c>
      <c r="M2636" t="str">
        <f>IF(Table1[[#This Row],[ReorderLevel]]-Table1[[#This Row],[CurrentStock]]&gt;0,Table1[[#This Row],[ReorderLevel]]-Table1[[#This Row],[CurrentStock]],"")</f>
        <v/>
      </c>
      <c r="N2636" t="str">
        <f>IF(Table1[[#This Row],[CurrentStock]]&gt;Table1[[#This Row],[ReorderLevel]]*3,"Over Stock","Okay")</f>
        <v>Okay</v>
      </c>
      <c r="O2636" t="str">
        <f>IF(Table1[[#This Row],[CurrentStock]]&lt;Table1[[#This Row],[ReorderLevel]],"Reorder","Okay")</f>
        <v>Okay</v>
      </c>
    </row>
    <row r="2637" spans="1:15" x14ac:dyDescent="0.3">
      <c r="A2637">
        <v>50185</v>
      </c>
      <c r="B2637" t="s">
        <v>16</v>
      </c>
      <c r="C2637" t="s">
        <v>30</v>
      </c>
      <c r="D2637">
        <v>163</v>
      </c>
      <c r="E2637">
        <v>150</v>
      </c>
      <c r="F2637">
        <v>357.4</v>
      </c>
      <c r="G2637" t="s">
        <v>35</v>
      </c>
      <c r="H2637" s="1">
        <v>45595</v>
      </c>
      <c r="I2637" s="1">
        <v>45629</v>
      </c>
      <c r="J2637" t="s">
        <v>38</v>
      </c>
      <c r="K2637" t="b">
        <f>Table1[[#This Row],[CurrentStock]]&lt;Table1[[#This Row],[ReorderLevel]]</f>
        <v>0</v>
      </c>
      <c r="L2637" s="9">
        <f>Table1[[#This Row],[CurrentStock]]*Table1[[#This Row],[UnitPrice]]</f>
        <v>58256.2</v>
      </c>
      <c r="M2637" t="str">
        <f>IF(Table1[[#This Row],[ReorderLevel]]-Table1[[#This Row],[CurrentStock]]&gt;0,Table1[[#This Row],[ReorderLevel]]-Table1[[#This Row],[CurrentStock]],"")</f>
        <v/>
      </c>
      <c r="N2637" t="str">
        <f>IF(Table1[[#This Row],[CurrentStock]]&gt;Table1[[#This Row],[ReorderLevel]]*3,"Over Stock","Okay")</f>
        <v>Okay</v>
      </c>
      <c r="O2637" t="str">
        <f>IF(Table1[[#This Row],[CurrentStock]]&lt;Table1[[#This Row],[ReorderLevel]],"Reorder","Okay")</f>
        <v>Okay</v>
      </c>
    </row>
    <row r="2638" spans="1:15" x14ac:dyDescent="0.3">
      <c r="A2638">
        <v>73690</v>
      </c>
      <c r="B2638" t="s">
        <v>15</v>
      </c>
      <c r="C2638" t="s">
        <v>29</v>
      </c>
      <c r="D2638">
        <v>315</v>
      </c>
      <c r="E2638">
        <v>150</v>
      </c>
      <c r="F2638">
        <v>151.78</v>
      </c>
      <c r="G2638" t="s">
        <v>36</v>
      </c>
      <c r="H2638" s="1">
        <v>45306</v>
      </c>
      <c r="I2638" s="1">
        <v>45339</v>
      </c>
      <c r="J2638" t="s">
        <v>39</v>
      </c>
      <c r="K2638" t="b">
        <f>Table1[[#This Row],[CurrentStock]]&lt;Table1[[#This Row],[ReorderLevel]]</f>
        <v>0</v>
      </c>
      <c r="L2638" s="9">
        <f>Table1[[#This Row],[CurrentStock]]*Table1[[#This Row],[UnitPrice]]</f>
        <v>47810.7</v>
      </c>
      <c r="M2638" t="str">
        <f>IF(Table1[[#This Row],[ReorderLevel]]-Table1[[#This Row],[CurrentStock]]&gt;0,Table1[[#This Row],[ReorderLevel]]-Table1[[#This Row],[CurrentStock]],"")</f>
        <v/>
      </c>
      <c r="N2638" t="str">
        <f>IF(Table1[[#This Row],[CurrentStock]]&gt;Table1[[#This Row],[ReorderLevel]]*3,"Over Stock","Okay")</f>
        <v>Okay</v>
      </c>
      <c r="O2638" t="str">
        <f>IF(Table1[[#This Row],[CurrentStock]]&lt;Table1[[#This Row],[ReorderLevel]],"Reorder","Okay")</f>
        <v>Okay</v>
      </c>
    </row>
    <row r="2639" spans="1:15" x14ac:dyDescent="0.3">
      <c r="A2639">
        <v>38210</v>
      </c>
      <c r="B2639" t="s">
        <v>12</v>
      </c>
      <c r="C2639" t="s">
        <v>28</v>
      </c>
      <c r="D2639">
        <v>10</v>
      </c>
      <c r="E2639">
        <v>20</v>
      </c>
      <c r="F2639">
        <v>113.91</v>
      </c>
      <c r="G2639" t="s">
        <v>35</v>
      </c>
      <c r="H2639" s="1">
        <v>45494</v>
      </c>
      <c r="I2639" s="1">
        <v>45506</v>
      </c>
      <c r="J2639" t="s">
        <v>38</v>
      </c>
      <c r="K2639" t="b">
        <f>Table1[[#This Row],[CurrentStock]]&lt;Table1[[#This Row],[ReorderLevel]]</f>
        <v>1</v>
      </c>
      <c r="L2639" s="9">
        <f>Table1[[#This Row],[CurrentStock]]*Table1[[#This Row],[UnitPrice]]</f>
        <v>1139.0999999999999</v>
      </c>
      <c r="M2639">
        <f>IF(Table1[[#This Row],[ReorderLevel]]-Table1[[#This Row],[CurrentStock]]&gt;0,Table1[[#This Row],[ReorderLevel]]-Table1[[#This Row],[CurrentStock]],"")</f>
        <v>10</v>
      </c>
      <c r="N2639" t="str">
        <f>IF(Table1[[#This Row],[CurrentStock]]&gt;Table1[[#This Row],[ReorderLevel]]*3,"Over Stock","Okay")</f>
        <v>Okay</v>
      </c>
      <c r="O2639" t="str">
        <f>IF(Table1[[#This Row],[CurrentStock]]&lt;Table1[[#This Row],[ReorderLevel]],"Reorder","Okay")</f>
        <v>Reorder</v>
      </c>
    </row>
    <row r="2640" spans="1:15" x14ac:dyDescent="0.3">
      <c r="A2640">
        <v>53861</v>
      </c>
      <c r="B2640" t="s">
        <v>18</v>
      </c>
      <c r="C2640" t="s">
        <v>28</v>
      </c>
      <c r="D2640">
        <v>465</v>
      </c>
      <c r="E2640">
        <v>20</v>
      </c>
      <c r="F2640">
        <v>369.95</v>
      </c>
      <c r="G2640" t="s">
        <v>36</v>
      </c>
      <c r="H2640" s="1">
        <v>45557</v>
      </c>
      <c r="I2640" s="1">
        <v>45575</v>
      </c>
      <c r="J2640" t="s">
        <v>38</v>
      </c>
      <c r="K2640" t="b">
        <f>Table1[[#This Row],[CurrentStock]]&lt;Table1[[#This Row],[ReorderLevel]]</f>
        <v>0</v>
      </c>
      <c r="L2640" s="9">
        <f>Table1[[#This Row],[CurrentStock]]*Table1[[#This Row],[UnitPrice]]</f>
        <v>172026.75</v>
      </c>
      <c r="M2640" t="str">
        <f>IF(Table1[[#This Row],[ReorderLevel]]-Table1[[#This Row],[CurrentStock]]&gt;0,Table1[[#This Row],[ReorderLevel]]-Table1[[#This Row],[CurrentStock]],"")</f>
        <v/>
      </c>
      <c r="N2640" t="str">
        <f>IF(Table1[[#This Row],[CurrentStock]]&gt;Table1[[#This Row],[ReorderLevel]]*3,"Over Stock","Okay")</f>
        <v>Over Stock</v>
      </c>
      <c r="O2640" t="str">
        <f>IF(Table1[[#This Row],[CurrentStock]]&lt;Table1[[#This Row],[ReorderLevel]],"Reorder","Okay")</f>
        <v>Okay</v>
      </c>
    </row>
    <row r="2641" spans="1:15" x14ac:dyDescent="0.3">
      <c r="A2641">
        <v>53114</v>
      </c>
      <c r="B2641" t="s">
        <v>16</v>
      </c>
      <c r="C2641" t="s">
        <v>30</v>
      </c>
      <c r="D2641">
        <v>419</v>
      </c>
      <c r="E2641">
        <v>50</v>
      </c>
      <c r="F2641">
        <v>225.07</v>
      </c>
      <c r="G2641" t="s">
        <v>32</v>
      </c>
      <c r="H2641" s="1">
        <v>45545</v>
      </c>
      <c r="I2641" s="1">
        <v>45557</v>
      </c>
      <c r="J2641" t="s">
        <v>39</v>
      </c>
      <c r="K2641" t="b">
        <f>Table1[[#This Row],[CurrentStock]]&lt;Table1[[#This Row],[ReorderLevel]]</f>
        <v>0</v>
      </c>
      <c r="L2641" s="9">
        <f>Table1[[#This Row],[CurrentStock]]*Table1[[#This Row],[UnitPrice]]</f>
        <v>94304.33</v>
      </c>
      <c r="M2641" t="str">
        <f>IF(Table1[[#This Row],[ReorderLevel]]-Table1[[#This Row],[CurrentStock]]&gt;0,Table1[[#This Row],[ReorderLevel]]-Table1[[#This Row],[CurrentStock]],"")</f>
        <v/>
      </c>
      <c r="N2641" t="str">
        <f>IF(Table1[[#This Row],[CurrentStock]]&gt;Table1[[#This Row],[ReorderLevel]]*3,"Over Stock","Okay")</f>
        <v>Over Stock</v>
      </c>
      <c r="O2641" t="str">
        <f>IF(Table1[[#This Row],[CurrentStock]]&lt;Table1[[#This Row],[ReorderLevel]],"Reorder","Okay")</f>
        <v>Okay</v>
      </c>
    </row>
    <row r="2642" spans="1:15" x14ac:dyDescent="0.3">
      <c r="A2642">
        <v>17386</v>
      </c>
      <c r="B2642" t="s">
        <v>12</v>
      </c>
      <c r="C2642" t="s">
        <v>28</v>
      </c>
      <c r="D2642">
        <v>429</v>
      </c>
      <c r="E2642">
        <v>30</v>
      </c>
      <c r="F2642">
        <v>306.16000000000003</v>
      </c>
      <c r="G2642" t="s">
        <v>33</v>
      </c>
      <c r="H2642" s="1">
        <v>45491</v>
      </c>
      <c r="I2642" s="1">
        <v>45517</v>
      </c>
      <c r="J2642" t="s">
        <v>37</v>
      </c>
      <c r="K2642" t="b">
        <f>Table1[[#This Row],[CurrentStock]]&lt;Table1[[#This Row],[ReorderLevel]]</f>
        <v>0</v>
      </c>
      <c r="L2642" s="9">
        <f>Table1[[#This Row],[CurrentStock]]*Table1[[#This Row],[UnitPrice]]</f>
        <v>131342.64000000001</v>
      </c>
      <c r="M2642" t="str">
        <f>IF(Table1[[#This Row],[ReorderLevel]]-Table1[[#This Row],[CurrentStock]]&gt;0,Table1[[#This Row],[ReorderLevel]]-Table1[[#This Row],[CurrentStock]],"")</f>
        <v/>
      </c>
      <c r="N2642" t="str">
        <f>IF(Table1[[#This Row],[CurrentStock]]&gt;Table1[[#This Row],[ReorderLevel]]*3,"Over Stock","Okay")</f>
        <v>Over Stock</v>
      </c>
      <c r="O2642" t="str">
        <f>IF(Table1[[#This Row],[CurrentStock]]&lt;Table1[[#This Row],[ReorderLevel]],"Reorder","Okay")</f>
        <v>Okay</v>
      </c>
    </row>
    <row r="2643" spans="1:15" x14ac:dyDescent="0.3">
      <c r="A2643">
        <v>57369</v>
      </c>
      <c r="B2643" t="s">
        <v>23</v>
      </c>
      <c r="C2643" t="s">
        <v>30</v>
      </c>
      <c r="D2643">
        <v>144</v>
      </c>
      <c r="E2643">
        <v>40</v>
      </c>
      <c r="F2643">
        <v>357.81</v>
      </c>
      <c r="G2643" t="s">
        <v>36</v>
      </c>
      <c r="H2643" s="1">
        <v>45630</v>
      </c>
      <c r="I2643" s="1">
        <v>45648</v>
      </c>
      <c r="J2643" t="s">
        <v>38</v>
      </c>
      <c r="K2643" t="b">
        <f>Table1[[#This Row],[CurrentStock]]&lt;Table1[[#This Row],[ReorderLevel]]</f>
        <v>0</v>
      </c>
      <c r="L2643" s="9">
        <f>Table1[[#This Row],[CurrentStock]]*Table1[[#This Row],[UnitPrice]]</f>
        <v>51524.639999999999</v>
      </c>
      <c r="M2643" t="str">
        <f>IF(Table1[[#This Row],[ReorderLevel]]-Table1[[#This Row],[CurrentStock]]&gt;0,Table1[[#This Row],[ReorderLevel]]-Table1[[#This Row],[CurrentStock]],"")</f>
        <v/>
      </c>
      <c r="N2643" t="str">
        <f>IF(Table1[[#This Row],[CurrentStock]]&gt;Table1[[#This Row],[ReorderLevel]]*3,"Over Stock","Okay")</f>
        <v>Over Stock</v>
      </c>
      <c r="O2643" t="str">
        <f>IF(Table1[[#This Row],[CurrentStock]]&lt;Table1[[#This Row],[ReorderLevel]],"Reorder","Okay")</f>
        <v>Okay</v>
      </c>
    </row>
    <row r="2644" spans="1:15" x14ac:dyDescent="0.3">
      <c r="A2644">
        <v>94961</v>
      </c>
      <c r="B2644" t="s">
        <v>16</v>
      </c>
      <c r="C2644" t="s">
        <v>30</v>
      </c>
      <c r="D2644">
        <v>393</v>
      </c>
      <c r="E2644">
        <v>150</v>
      </c>
      <c r="F2644">
        <v>73.25</v>
      </c>
      <c r="G2644" t="s">
        <v>34</v>
      </c>
      <c r="H2644" s="1">
        <v>45496</v>
      </c>
      <c r="I2644" s="1">
        <v>45530</v>
      </c>
      <c r="J2644" t="s">
        <v>38</v>
      </c>
      <c r="K2644" t="b">
        <f>Table1[[#This Row],[CurrentStock]]&lt;Table1[[#This Row],[ReorderLevel]]</f>
        <v>0</v>
      </c>
      <c r="L2644" s="9">
        <f>Table1[[#This Row],[CurrentStock]]*Table1[[#This Row],[UnitPrice]]</f>
        <v>28787.25</v>
      </c>
      <c r="M2644" t="str">
        <f>IF(Table1[[#This Row],[ReorderLevel]]-Table1[[#This Row],[CurrentStock]]&gt;0,Table1[[#This Row],[ReorderLevel]]-Table1[[#This Row],[CurrentStock]],"")</f>
        <v/>
      </c>
      <c r="N2644" t="str">
        <f>IF(Table1[[#This Row],[CurrentStock]]&gt;Table1[[#This Row],[ReorderLevel]]*3,"Over Stock","Okay")</f>
        <v>Okay</v>
      </c>
      <c r="O2644" t="str">
        <f>IF(Table1[[#This Row],[CurrentStock]]&lt;Table1[[#This Row],[ReorderLevel]],"Reorder","Okay")</f>
        <v>Okay</v>
      </c>
    </row>
    <row r="2645" spans="1:15" x14ac:dyDescent="0.3">
      <c r="A2645">
        <v>53162</v>
      </c>
      <c r="B2645" t="s">
        <v>22</v>
      </c>
      <c r="C2645" t="s">
        <v>27</v>
      </c>
      <c r="D2645">
        <v>372</v>
      </c>
      <c r="E2645">
        <v>50</v>
      </c>
      <c r="F2645">
        <v>428.23</v>
      </c>
      <c r="G2645" t="s">
        <v>36</v>
      </c>
      <c r="H2645" s="1">
        <v>45553</v>
      </c>
      <c r="I2645" s="1">
        <v>45585</v>
      </c>
      <c r="J2645" t="s">
        <v>38</v>
      </c>
      <c r="K2645" t="b">
        <f>Table1[[#This Row],[CurrentStock]]&lt;Table1[[#This Row],[ReorderLevel]]</f>
        <v>0</v>
      </c>
      <c r="L2645" s="9">
        <f>Table1[[#This Row],[CurrentStock]]*Table1[[#This Row],[UnitPrice]]</f>
        <v>159301.56</v>
      </c>
      <c r="M2645" t="str">
        <f>IF(Table1[[#This Row],[ReorderLevel]]-Table1[[#This Row],[CurrentStock]]&gt;0,Table1[[#This Row],[ReorderLevel]]-Table1[[#This Row],[CurrentStock]],"")</f>
        <v/>
      </c>
      <c r="N2645" t="str">
        <f>IF(Table1[[#This Row],[CurrentStock]]&gt;Table1[[#This Row],[ReorderLevel]]*3,"Over Stock","Okay")</f>
        <v>Over Stock</v>
      </c>
      <c r="O2645" t="str">
        <f>IF(Table1[[#This Row],[CurrentStock]]&lt;Table1[[#This Row],[ReorderLevel]],"Reorder","Okay")</f>
        <v>Okay</v>
      </c>
    </row>
    <row r="2646" spans="1:15" x14ac:dyDescent="0.3">
      <c r="A2646">
        <v>94194</v>
      </c>
      <c r="B2646" t="s">
        <v>13</v>
      </c>
      <c r="C2646" t="s">
        <v>29</v>
      </c>
      <c r="D2646">
        <v>43</v>
      </c>
      <c r="E2646">
        <v>150</v>
      </c>
      <c r="F2646">
        <v>360.63</v>
      </c>
      <c r="G2646" t="s">
        <v>34</v>
      </c>
      <c r="H2646" s="1">
        <v>45576</v>
      </c>
      <c r="I2646" s="1">
        <v>45586</v>
      </c>
      <c r="J2646" t="s">
        <v>37</v>
      </c>
      <c r="K2646" t="b">
        <f>Table1[[#This Row],[CurrentStock]]&lt;Table1[[#This Row],[ReorderLevel]]</f>
        <v>1</v>
      </c>
      <c r="L2646" s="9">
        <f>Table1[[#This Row],[CurrentStock]]*Table1[[#This Row],[UnitPrice]]</f>
        <v>15507.09</v>
      </c>
      <c r="M2646">
        <f>IF(Table1[[#This Row],[ReorderLevel]]-Table1[[#This Row],[CurrentStock]]&gt;0,Table1[[#This Row],[ReorderLevel]]-Table1[[#This Row],[CurrentStock]],"")</f>
        <v>107</v>
      </c>
      <c r="N2646" t="str">
        <f>IF(Table1[[#This Row],[CurrentStock]]&gt;Table1[[#This Row],[ReorderLevel]]*3,"Over Stock","Okay")</f>
        <v>Okay</v>
      </c>
      <c r="O2646" t="str">
        <f>IF(Table1[[#This Row],[CurrentStock]]&lt;Table1[[#This Row],[ReorderLevel]],"Reorder","Okay")</f>
        <v>Reorder</v>
      </c>
    </row>
    <row r="2647" spans="1:15" x14ac:dyDescent="0.3">
      <c r="A2647">
        <v>65881</v>
      </c>
      <c r="B2647" t="s">
        <v>12</v>
      </c>
      <c r="C2647" t="s">
        <v>28</v>
      </c>
      <c r="D2647">
        <v>335</v>
      </c>
      <c r="E2647">
        <v>20</v>
      </c>
      <c r="F2647">
        <v>83.59</v>
      </c>
      <c r="G2647" t="s">
        <v>36</v>
      </c>
      <c r="H2647" s="1">
        <v>45334</v>
      </c>
      <c r="I2647" s="1">
        <v>45363</v>
      </c>
      <c r="J2647" t="s">
        <v>39</v>
      </c>
      <c r="K2647" t="b">
        <f>Table1[[#This Row],[CurrentStock]]&lt;Table1[[#This Row],[ReorderLevel]]</f>
        <v>0</v>
      </c>
      <c r="L2647" s="9">
        <f>Table1[[#This Row],[CurrentStock]]*Table1[[#This Row],[UnitPrice]]</f>
        <v>28002.65</v>
      </c>
      <c r="M2647" t="str">
        <f>IF(Table1[[#This Row],[ReorderLevel]]-Table1[[#This Row],[CurrentStock]]&gt;0,Table1[[#This Row],[ReorderLevel]]-Table1[[#This Row],[CurrentStock]],"")</f>
        <v/>
      </c>
      <c r="N2647" t="str">
        <f>IF(Table1[[#This Row],[CurrentStock]]&gt;Table1[[#This Row],[ReorderLevel]]*3,"Over Stock","Okay")</f>
        <v>Over Stock</v>
      </c>
      <c r="O2647" t="str">
        <f>IF(Table1[[#This Row],[CurrentStock]]&lt;Table1[[#This Row],[ReorderLevel]],"Reorder","Okay")</f>
        <v>Okay</v>
      </c>
    </row>
    <row r="2648" spans="1:15" x14ac:dyDescent="0.3">
      <c r="A2648">
        <v>28206</v>
      </c>
      <c r="B2648" t="s">
        <v>18</v>
      </c>
      <c r="C2648" t="s">
        <v>28</v>
      </c>
      <c r="D2648">
        <v>33</v>
      </c>
      <c r="E2648">
        <v>40</v>
      </c>
      <c r="F2648">
        <v>102.31</v>
      </c>
      <c r="G2648" t="s">
        <v>33</v>
      </c>
      <c r="H2648" s="1">
        <v>45645</v>
      </c>
      <c r="I2648" s="1">
        <v>45661</v>
      </c>
      <c r="J2648" t="s">
        <v>37</v>
      </c>
      <c r="K2648" t="b">
        <f>Table1[[#This Row],[CurrentStock]]&lt;Table1[[#This Row],[ReorderLevel]]</f>
        <v>1</v>
      </c>
      <c r="L2648" s="9">
        <f>Table1[[#This Row],[CurrentStock]]*Table1[[#This Row],[UnitPrice]]</f>
        <v>3376.23</v>
      </c>
      <c r="M2648">
        <f>IF(Table1[[#This Row],[ReorderLevel]]-Table1[[#This Row],[CurrentStock]]&gt;0,Table1[[#This Row],[ReorderLevel]]-Table1[[#This Row],[CurrentStock]],"")</f>
        <v>7</v>
      </c>
      <c r="N2648" t="str">
        <f>IF(Table1[[#This Row],[CurrentStock]]&gt;Table1[[#This Row],[ReorderLevel]]*3,"Over Stock","Okay")</f>
        <v>Okay</v>
      </c>
      <c r="O2648" t="str">
        <f>IF(Table1[[#This Row],[CurrentStock]]&lt;Table1[[#This Row],[ReorderLevel]],"Reorder","Okay")</f>
        <v>Reorder</v>
      </c>
    </row>
    <row r="2649" spans="1:15" x14ac:dyDescent="0.3">
      <c r="A2649">
        <v>66938</v>
      </c>
      <c r="B2649" t="s">
        <v>21</v>
      </c>
      <c r="C2649" t="s">
        <v>31</v>
      </c>
      <c r="D2649">
        <v>291</v>
      </c>
      <c r="E2649">
        <v>100</v>
      </c>
      <c r="F2649">
        <v>21.06</v>
      </c>
      <c r="G2649" t="s">
        <v>34</v>
      </c>
      <c r="H2649" s="1">
        <v>45442</v>
      </c>
      <c r="I2649" s="1">
        <v>45462</v>
      </c>
      <c r="J2649" t="s">
        <v>38</v>
      </c>
      <c r="K2649" t="b">
        <f>Table1[[#This Row],[CurrentStock]]&lt;Table1[[#This Row],[ReorderLevel]]</f>
        <v>0</v>
      </c>
      <c r="L2649" s="9">
        <f>Table1[[#This Row],[CurrentStock]]*Table1[[#This Row],[UnitPrice]]</f>
        <v>6128.46</v>
      </c>
      <c r="M2649" t="str">
        <f>IF(Table1[[#This Row],[ReorderLevel]]-Table1[[#This Row],[CurrentStock]]&gt;0,Table1[[#This Row],[ReorderLevel]]-Table1[[#This Row],[CurrentStock]],"")</f>
        <v/>
      </c>
      <c r="N2649" t="str">
        <f>IF(Table1[[#This Row],[CurrentStock]]&gt;Table1[[#This Row],[ReorderLevel]]*3,"Over Stock","Okay")</f>
        <v>Okay</v>
      </c>
      <c r="O2649" t="str">
        <f>IF(Table1[[#This Row],[CurrentStock]]&lt;Table1[[#This Row],[ReorderLevel]],"Reorder","Okay")</f>
        <v>Okay</v>
      </c>
    </row>
    <row r="2650" spans="1:15" x14ac:dyDescent="0.3">
      <c r="A2650">
        <v>25993</v>
      </c>
      <c r="B2650" t="s">
        <v>12</v>
      </c>
      <c r="C2650" t="s">
        <v>28</v>
      </c>
      <c r="D2650">
        <v>343</v>
      </c>
      <c r="E2650">
        <v>30</v>
      </c>
      <c r="F2650">
        <v>17.829999999999998</v>
      </c>
      <c r="G2650" t="s">
        <v>34</v>
      </c>
      <c r="H2650" s="1">
        <v>45641</v>
      </c>
      <c r="I2650" s="1">
        <v>45659</v>
      </c>
      <c r="J2650" t="s">
        <v>38</v>
      </c>
      <c r="K2650" t="b">
        <f>Table1[[#This Row],[CurrentStock]]&lt;Table1[[#This Row],[ReorderLevel]]</f>
        <v>0</v>
      </c>
      <c r="L2650" s="9">
        <f>Table1[[#This Row],[CurrentStock]]*Table1[[#This Row],[UnitPrice]]</f>
        <v>6115.69</v>
      </c>
      <c r="M2650" t="str">
        <f>IF(Table1[[#This Row],[ReorderLevel]]-Table1[[#This Row],[CurrentStock]]&gt;0,Table1[[#This Row],[ReorderLevel]]-Table1[[#This Row],[CurrentStock]],"")</f>
        <v/>
      </c>
      <c r="N2650" t="str">
        <f>IF(Table1[[#This Row],[CurrentStock]]&gt;Table1[[#This Row],[ReorderLevel]]*3,"Over Stock","Okay")</f>
        <v>Over Stock</v>
      </c>
      <c r="O2650" t="str">
        <f>IF(Table1[[#This Row],[CurrentStock]]&lt;Table1[[#This Row],[ReorderLevel]],"Reorder","Okay")</f>
        <v>Okay</v>
      </c>
    </row>
    <row r="2651" spans="1:15" x14ac:dyDescent="0.3">
      <c r="A2651">
        <v>86553</v>
      </c>
      <c r="B2651" t="s">
        <v>10</v>
      </c>
      <c r="C2651" t="s">
        <v>27</v>
      </c>
      <c r="D2651">
        <v>476</v>
      </c>
      <c r="E2651">
        <v>150</v>
      </c>
      <c r="F2651">
        <v>315.06</v>
      </c>
      <c r="G2651" t="s">
        <v>36</v>
      </c>
      <c r="H2651" s="1">
        <v>45379</v>
      </c>
      <c r="I2651" s="1">
        <v>45413</v>
      </c>
      <c r="J2651" t="s">
        <v>39</v>
      </c>
      <c r="K2651" t="b">
        <f>Table1[[#This Row],[CurrentStock]]&lt;Table1[[#This Row],[ReorderLevel]]</f>
        <v>0</v>
      </c>
      <c r="L2651" s="9">
        <f>Table1[[#This Row],[CurrentStock]]*Table1[[#This Row],[UnitPrice]]</f>
        <v>149968.56</v>
      </c>
      <c r="M2651" t="str">
        <f>IF(Table1[[#This Row],[ReorderLevel]]-Table1[[#This Row],[CurrentStock]]&gt;0,Table1[[#This Row],[ReorderLevel]]-Table1[[#This Row],[CurrentStock]],"")</f>
        <v/>
      </c>
      <c r="N2651" t="str">
        <f>IF(Table1[[#This Row],[CurrentStock]]&gt;Table1[[#This Row],[ReorderLevel]]*3,"Over Stock","Okay")</f>
        <v>Over Stock</v>
      </c>
      <c r="O2651" t="str">
        <f>IF(Table1[[#This Row],[CurrentStock]]&lt;Table1[[#This Row],[ReorderLevel]],"Reorder","Okay")</f>
        <v>Okay</v>
      </c>
    </row>
    <row r="2652" spans="1:15" x14ac:dyDescent="0.3">
      <c r="A2652">
        <v>29784</v>
      </c>
      <c r="B2652" t="s">
        <v>25</v>
      </c>
      <c r="C2652" t="s">
        <v>31</v>
      </c>
      <c r="D2652">
        <v>398</v>
      </c>
      <c r="E2652">
        <v>20</v>
      </c>
      <c r="F2652">
        <v>159.41</v>
      </c>
      <c r="G2652" t="s">
        <v>34</v>
      </c>
      <c r="H2652" s="1">
        <v>45422</v>
      </c>
      <c r="I2652" s="1">
        <v>45456</v>
      </c>
      <c r="J2652" t="s">
        <v>38</v>
      </c>
      <c r="K2652" t="b">
        <f>Table1[[#This Row],[CurrentStock]]&lt;Table1[[#This Row],[ReorderLevel]]</f>
        <v>0</v>
      </c>
      <c r="L2652" s="9">
        <f>Table1[[#This Row],[CurrentStock]]*Table1[[#This Row],[UnitPrice]]</f>
        <v>63445.18</v>
      </c>
      <c r="M2652" t="str">
        <f>IF(Table1[[#This Row],[ReorderLevel]]-Table1[[#This Row],[CurrentStock]]&gt;0,Table1[[#This Row],[ReorderLevel]]-Table1[[#This Row],[CurrentStock]],"")</f>
        <v/>
      </c>
      <c r="N2652" t="str">
        <f>IF(Table1[[#This Row],[CurrentStock]]&gt;Table1[[#This Row],[ReorderLevel]]*3,"Over Stock","Okay")</f>
        <v>Over Stock</v>
      </c>
      <c r="O2652" t="str">
        <f>IF(Table1[[#This Row],[CurrentStock]]&lt;Table1[[#This Row],[ReorderLevel]],"Reorder","Okay")</f>
        <v>Okay</v>
      </c>
    </row>
    <row r="2653" spans="1:15" x14ac:dyDescent="0.3">
      <c r="A2653">
        <v>69317</v>
      </c>
      <c r="B2653" t="s">
        <v>18</v>
      </c>
      <c r="C2653" t="s">
        <v>28</v>
      </c>
      <c r="D2653">
        <v>366</v>
      </c>
      <c r="E2653">
        <v>150</v>
      </c>
      <c r="F2653">
        <v>457.95</v>
      </c>
      <c r="G2653" t="s">
        <v>34</v>
      </c>
      <c r="H2653" s="1">
        <v>45311</v>
      </c>
      <c r="I2653" s="1">
        <v>45332</v>
      </c>
      <c r="J2653" t="s">
        <v>39</v>
      </c>
      <c r="K2653" t="b">
        <f>Table1[[#This Row],[CurrentStock]]&lt;Table1[[#This Row],[ReorderLevel]]</f>
        <v>0</v>
      </c>
      <c r="L2653" s="9">
        <f>Table1[[#This Row],[CurrentStock]]*Table1[[#This Row],[UnitPrice]]</f>
        <v>167609.69999999998</v>
      </c>
      <c r="M2653" t="str">
        <f>IF(Table1[[#This Row],[ReorderLevel]]-Table1[[#This Row],[CurrentStock]]&gt;0,Table1[[#This Row],[ReorderLevel]]-Table1[[#This Row],[CurrentStock]],"")</f>
        <v/>
      </c>
      <c r="N2653" t="str">
        <f>IF(Table1[[#This Row],[CurrentStock]]&gt;Table1[[#This Row],[ReorderLevel]]*3,"Over Stock","Okay")</f>
        <v>Okay</v>
      </c>
      <c r="O2653" t="str">
        <f>IF(Table1[[#This Row],[CurrentStock]]&lt;Table1[[#This Row],[ReorderLevel]],"Reorder","Okay")</f>
        <v>Okay</v>
      </c>
    </row>
    <row r="2654" spans="1:15" x14ac:dyDescent="0.3">
      <c r="A2654">
        <v>18338</v>
      </c>
      <c r="B2654" t="s">
        <v>20</v>
      </c>
      <c r="C2654" t="s">
        <v>29</v>
      </c>
      <c r="D2654">
        <v>367</v>
      </c>
      <c r="E2654">
        <v>40</v>
      </c>
      <c r="F2654">
        <v>249.78</v>
      </c>
      <c r="G2654" t="s">
        <v>36</v>
      </c>
      <c r="H2654" s="1">
        <v>45639</v>
      </c>
      <c r="I2654" s="1">
        <v>45665</v>
      </c>
      <c r="J2654" t="s">
        <v>39</v>
      </c>
      <c r="K2654" t="b">
        <f>Table1[[#This Row],[CurrentStock]]&lt;Table1[[#This Row],[ReorderLevel]]</f>
        <v>0</v>
      </c>
      <c r="L2654" s="9">
        <f>Table1[[#This Row],[CurrentStock]]*Table1[[#This Row],[UnitPrice]]</f>
        <v>91669.26</v>
      </c>
      <c r="M2654" t="str">
        <f>IF(Table1[[#This Row],[ReorderLevel]]-Table1[[#This Row],[CurrentStock]]&gt;0,Table1[[#This Row],[ReorderLevel]]-Table1[[#This Row],[CurrentStock]],"")</f>
        <v/>
      </c>
      <c r="N2654" t="str">
        <f>IF(Table1[[#This Row],[CurrentStock]]&gt;Table1[[#This Row],[ReorderLevel]]*3,"Over Stock","Okay")</f>
        <v>Over Stock</v>
      </c>
      <c r="O2654" t="str">
        <f>IF(Table1[[#This Row],[CurrentStock]]&lt;Table1[[#This Row],[ReorderLevel]],"Reorder","Okay")</f>
        <v>Okay</v>
      </c>
    </row>
    <row r="2655" spans="1:15" x14ac:dyDescent="0.3">
      <c r="A2655">
        <v>17139</v>
      </c>
      <c r="B2655" t="s">
        <v>16</v>
      </c>
      <c r="C2655" t="s">
        <v>30</v>
      </c>
      <c r="D2655">
        <v>52</v>
      </c>
      <c r="E2655">
        <v>20</v>
      </c>
      <c r="F2655">
        <v>27.33</v>
      </c>
      <c r="G2655" t="s">
        <v>32</v>
      </c>
      <c r="H2655" s="1">
        <v>45578</v>
      </c>
      <c r="I2655" s="1">
        <v>45593</v>
      </c>
      <c r="J2655" t="s">
        <v>38</v>
      </c>
      <c r="K2655" t="b">
        <f>Table1[[#This Row],[CurrentStock]]&lt;Table1[[#This Row],[ReorderLevel]]</f>
        <v>0</v>
      </c>
      <c r="L2655" s="9">
        <f>Table1[[#This Row],[CurrentStock]]*Table1[[#This Row],[UnitPrice]]</f>
        <v>1421.1599999999999</v>
      </c>
      <c r="M2655" t="str">
        <f>IF(Table1[[#This Row],[ReorderLevel]]-Table1[[#This Row],[CurrentStock]]&gt;0,Table1[[#This Row],[ReorderLevel]]-Table1[[#This Row],[CurrentStock]],"")</f>
        <v/>
      </c>
      <c r="N2655" t="str">
        <f>IF(Table1[[#This Row],[CurrentStock]]&gt;Table1[[#This Row],[ReorderLevel]]*3,"Over Stock","Okay")</f>
        <v>Okay</v>
      </c>
      <c r="O2655" t="str">
        <f>IF(Table1[[#This Row],[CurrentStock]]&lt;Table1[[#This Row],[ReorderLevel]],"Reorder","Okay")</f>
        <v>Okay</v>
      </c>
    </row>
    <row r="2656" spans="1:15" x14ac:dyDescent="0.3">
      <c r="A2656">
        <v>23333</v>
      </c>
      <c r="B2656" t="s">
        <v>18</v>
      </c>
      <c r="C2656" t="s">
        <v>28</v>
      </c>
      <c r="D2656">
        <v>302</v>
      </c>
      <c r="E2656">
        <v>50</v>
      </c>
      <c r="F2656">
        <v>404.24</v>
      </c>
      <c r="G2656" t="s">
        <v>36</v>
      </c>
      <c r="H2656" s="1">
        <v>45574</v>
      </c>
      <c r="I2656" s="1">
        <v>45608</v>
      </c>
      <c r="J2656" t="s">
        <v>37</v>
      </c>
      <c r="K2656" t="b">
        <f>Table1[[#This Row],[CurrentStock]]&lt;Table1[[#This Row],[ReorderLevel]]</f>
        <v>0</v>
      </c>
      <c r="L2656" s="9">
        <f>Table1[[#This Row],[CurrentStock]]*Table1[[#This Row],[UnitPrice]]</f>
        <v>122080.48</v>
      </c>
      <c r="M2656" t="str">
        <f>IF(Table1[[#This Row],[ReorderLevel]]-Table1[[#This Row],[CurrentStock]]&gt;0,Table1[[#This Row],[ReorderLevel]]-Table1[[#This Row],[CurrentStock]],"")</f>
        <v/>
      </c>
      <c r="N2656" t="str">
        <f>IF(Table1[[#This Row],[CurrentStock]]&gt;Table1[[#This Row],[ReorderLevel]]*3,"Over Stock","Okay")</f>
        <v>Over Stock</v>
      </c>
      <c r="O2656" t="str">
        <f>IF(Table1[[#This Row],[CurrentStock]]&lt;Table1[[#This Row],[ReorderLevel]],"Reorder","Okay")</f>
        <v>Okay</v>
      </c>
    </row>
    <row r="2657" spans="1:15" x14ac:dyDescent="0.3">
      <c r="A2657">
        <v>75210</v>
      </c>
      <c r="B2657" t="s">
        <v>25</v>
      </c>
      <c r="C2657" t="s">
        <v>31</v>
      </c>
      <c r="D2657">
        <v>46</v>
      </c>
      <c r="E2657">
        <v>40</v>
      </c>
      <c r="F2657">
        <v>475.95</v>
      </c>
      <c r="G2657" t="s">
        <v>33</v>
      </c>
      <c r="H2657" s="1">
        <v>45436</v>
      </c>
      <c r="I2657" s="1">
        <v>45451</v>
      </c>
      <c r="J2657" t="s">
        <v>37</v>
      </c>
      <c r="K2657" t="b">
        <f>Table1[[#This Row],[CurrentStock]]&lt;Table1[[#This Row],[ReorderLevel]]</f>
        <v>0</v>
      </c>
      <c r="L2657" s="9">
        <f>Table1[[#This Row],[CurrentStock]]*Table1[[#This Row],[UnitPrice]]</f>
        <v>21893.7</v>
      </c>
      <c r="M2657" t="str">
        <f>IF(Table1[[#This Row],[ReorderLevel]]-Table1[[#This Row],[CurrentStock]]&gt;0,Table1[[#This Row],[ReorderLevel]]-Table1[[#This Row],[CurrentStock]],"")</f>
        <v/>
      </c>
      <c r="N2657" t="str">
        <f>IF(Table1[[#This Row],[CurrentStock]]&gt;Table1[[#This Row],[ReorderLevel]]*3,"Over Stock","Okay")</f>
        <v>Okay</v>
      </c>
      <c r="O2657" t="str">
        <f>IF(Table1[[#This Row],[CurrentStock]]&lt;Table1[[#This Row],[ReorderLevel]],"Reorder","Okay")</f>
        <v>Okay</v>
      </c>
    </row>
    <row r="2658" spans="1:15" x14ac:dyDescent="0.3">
      <c r="A2658">
        <v>70712</v>
      </c>
      <c r="B2658" t="s">
        <v>12</v>
      </c>
      <c r="C2658" t="s">
        <v>28</v>
      </c>
      <c r="D2658">
        <v>164</v>
      </c>
      <c r="E2658">
        <v>100</v>
      </c>
      <c r="F2658">
        <v>361.84</v>
      </c>
      <c r="G2658" t="s">
        <v>34</v>
      </c>
      <c r="H2658" s="1">
        <v>45618</v>
      </c>
      <c r="I2658" s="1">
        <v>45629</v>
      </c>
      <c r="J2658" t="s">
        <v>38</v>
      </c>
      <c r="K2658" t="b">
        <f>Table1[[#This Row],[CurrentStock]]&lt;Table1[[#This Row],[ReorderLevel]]</f>
        <v>0</v>
      </c>
      <c r="L2658" s="9">
        <f>Table1[[#This Row],[CurrentStock]]*Table1[[#This Row],[UnitPrice]]</f>
        <v>59341.759999999995</v>
      </c>
      <c r="M2658" t="str">
        <f>IF(Table1[[#This Row],[ReorderLevel]]-Table1[[#This Row],[CurrentStock]]&gt;0,Table1[[#This Row],[ReorderLevel]]-Table1[[#This Row],[CurrentStock]],"")</f>
        <v/>
      </c>
      <c r="N2658" t="str">
        <f>IF(Table1[[#This Row],[CurrentStock]]&gt;Table1[[#This Row],[ReorderLevel]]*3,"Over Stock","Okay")</f>
        <v>Okay</v>
      </c>
      <c r="O2658" t="str">
        <f>IF(Table1[[#This Row],[CurrentStock]]&lt;Table1[[#This Row],[ReorderLevel]],"Reorder","Okay")</f>
        <v>Okay</v>
      </c>
    </row>
    <row r="2659" spans="1:15" x14ac:dyDescent="0.3">
      <c r="A2659">
        <v>18048</v>
      </c>
      <c r="B2659" t="s">
        <v>14</v>
      </c>
      <c r="C2659" t="s">
        <v>27</v>
      </c>
      <c r="D2659">
        <v>492</v>
      </c>
      <c r="E2659">
        <v>40</v>
      </c>
      <c r="F2659">
        <v>85.75</v>
      </c>
      <c r="G2659" t="s">
        <v>32</v>
      </c>
      <c r="H2659" s="1">
        <v>45600</v>
      </c>
      <c r="I2659" s="1">
        <v>45618</v>
      </c>
      <c r="J2659" t="s">
        <v>37</v>
      </c>
      <c r="K2659" t="b">
        <f>Table1[[#This Row],[CurrentStock]]&lt;Table1[[#This Row],[ReorderLevel]]</f>
        <v>0</v>
      </c>
      <c r="L2659" s="9">
        <f>Table1[[#This Row],[CurrentStock]]*Table1[[#This Row],[UnitPrice]]</f>
        <v>42189</v>
      </c>
      <c r="M2659" t="str">
        <f>IF(Table1[[#This Row],[ReorderLevel]]-Table1[[#This Row],[CurrentStock]]&gt;0,Table1[[#This Row],[ReorderLevel]]-Table1[[#This Row],[CurrentStock]],"")</f>
        <v/>
      </c>
      <c r="N2659" t="str">
        <f>IF(Table1[[#This Row],[CurrentStock]]&gt;Table1[[#This Row],[ReorderLevel]]*3,"Over Stock","Okay")</f>
        <v>Over Stock</v>
      </c>
      <c r="O2659" t="str">
        <f>IF(Table1[[#This Row],[CurrentStock]]&lt;Table1[[#This Row],[ReorderLevel]],"Reorder","Okay")</f>
        <v>Okay</v>
      </c>
    </row>
    <row r="2660" spans="1:15" x14ac:dyDescent="0.3">
      <c r="A2660">
        <v>24975</v>
      </c>
      <c r="B2660" t="s">
        <v>15</v>
      </c>
      <c r="C2660" t="s">
        <v>29</v>
      </c>
      <c r="D2660">
        <v>409</v>
      </c>
      <c r="E2660">
        <v>40</v>
      </c>
      <c r="F2660">
        <v>486.6</v>
      </c>
      <c r="G2660" t="s">
        <v>33</v>
      </c>
      <c r="H2660" s="1">
        <v>45461</v>
      </c>
      <c r="I2660" s="1">
        <v>45493</v>
      </c>
      <c r="J2660" t="s">
        <v>39</v>
      </c>
      <c r="K2660" t="b">
        <f>Table1[[#This Row],[CurrentStock]]&lt;Table1[[#This Row],[ReorderLevel]]</f>
        <v>0</v>
      </c>
      <c r="L2660" s="9">
        <f>Table1[[#This Row],[CurrentStock]]*Table1[[#This Row],[UnitPrice]]</f>
        <v>199019.40000000002</v>
      </c>
      <c r="M2660" t="str">
        <f>IF(Table1[[#This Row],[ReorderLevel]]-Table1[[#This Row],[CurrentStock]]&gt;0,Table1[[#This Row],[ReorderLevel]]-Table1[[#This Row],[CurrentStock]],"")</f>
        <v/>
      </c>
      <c r="N2660" t="str">
        <f>IF(Table1[[#This Row],[CurrentStock]]&gt;Table1[[#This Row],[ReorderLevel]]*3,"Over Stock","Okay")</f>
        <v>Over Stock</v>
      </c>
      <c r="O2660" t="str">
        <f>IF(Table1[[#This Row],[CurrentStock]]&lt;Table1[[#This Row],[ReorderLevel]],"Reorder","Okay")</f>
        <v>Okay</v>
      </c>
    </row>
    <row r="2661" spans="1:15" x14ac:dyDescent="0.3">
      <c r="A2661">
        <v>71264</v>
      </c>
      <c r="B2661" t="s">
        <v>21</v>
      </c>
      <c r="C2661" t="s">
        <v>31</v>
      </c>
      <c r="D2661">
        <v>243</v>
      </c>
      <c r="E2661">
        <v>40</v>
      </c>
      <c r="F2661">
        <v>18.02</v>
      </c>
      <c r="G2661" t="s">
        <v>36</v>
      </c>
      <c r="H2661" s="1">
        <v>45581</v>
      </c>
      <c r="I2661" s="1">
        <v>45592</v>
      </c>
      <c r="J2661" t="s">
        <v>39</v>
      </c>
      <c r="K2661" t="b">
        <f>Table1[[#This Row],[CurrentStock]]&lt;Table1[[#This Row],[ReorderLevel]]</f>
        <v>0</v>
      </c>
      <c r="L2661" s="9">
        <f>Table1[[#This Row],[CurrentStock]]*Table1[[#This Row],[UnitPrice]]</f>
        <v>4378.8599999999997</v>
      </c>
      <c r="M2661" t="str">
        <f>IF(Table1[[#This Row],[ReorderLevel]]-Table1[[#This Row],[CurrentStock]]&gt;0,Table1[[#This Row],[ReorderLevel]]-Table1[[#This Row],[CurrentStock]],"")</f>
        <v/>
      </c>
      <c r="N2661" t="str">
        <f>IF(Table1[[#This Row],[CurrentStock]]&gt;Table1[[#This Row],[ReorderLevel]]*3,"Over Stock","Okay")</f>
        <v>Over Stock</v>
      </c>
      <c r="O2661" t="str">
        <f>IF(Table1[[#This Row],[CurrentStock]]&lt;Table1[[#This Row],[ReorderLevel]],"Reorder","Okay")</f>
        <v>Okay</v>
      </c>
    </row>
    <row r="2662" spans="1:15" x14ac:dyDescent="0.3">
      <c r="A2662">
        <v>14424</v>
      </c>
      <c r="B2662" t="s">
        <v>16</v>
      </c>
      <c r="C2662" t="s">
        <v>30</v>
      </c>
      <c r="D2662">
        <v>328</v>
      </c>
      <c r="E2662">
        <v>80</v>
      </c>
      <c r="F2662">
        <v>249.84</v>
      </c>
      <c r="G2662" t="s">
        <v>34</v>
      </c>
      <c r="H2662" s="1">
        <v>45491</v>
      </c>
      <c r="I2662" s="1">
        <v>45504</v>
      </c>
      <c r="J2662" t="s">
        <v>39</v>
      </c>
      <c r="K2662" t="b">
        <f>Table1[[#This Row],[CurrentStock]]&lt;Table1[[#This Row],[ReorderLevel]]</f>
        <v>0</v>
      </c>
      <c r="L2662" s="9">
        <f>Table1[[#This Row],[CurrentStock]]*Table1[[#This Row],[UnitPrice]]</f>
        <v>81947.520000000004</v>
      </c>
      <c r="M2662" t="str">
        <f>IF(Table1[[#This Row],[ReorderLevel]]-Table1[[#This Row],[CurrentStock]]&gt;0,Table1[[#This Row],[ReorderLevel]]-Table1[[#This Row],[CurrentStock]],"")</f>
        <v/>
      </c>
      <c r="N2662" t="str">
        <f>IF(Table1[[#This Row],[CurrentStock]]&gt;Table1[[#This Row],[ReorderLevel]]*3,"Over Stock","Okay")</f>
        <v>Over Stock</v>
      </c>
      <c r="O2662" t="str">
        <f>IF(Table1[[#This Row],[CurrentStock]]&lt;Table1[[#This Row],[ReorderLevel]],"Reorder","Okay")</f>
        <v>Okay</v>
      </c>
    </row>
    <row r="2663" spans="1:15" x14ac:dyDescent="0.3">
      <c r="A2663">
        <v>62445</v>
      </c>
      <c r="B2663" t="s">
        <v>19</v>
      </c>
      <c r="C2663" t="s">
        <v>28</v>
      </c>
      <c r="D2663">
        <v>485</v>
      </c>
      <c r="E2663">
        <v>80</v>
      </c>
      <c r="F2663">
        <v>193.06</v>
      </c>
      <c r="G2663" t="s">
        <v>32</v>
      </c>
      <c r="H2663" s="1">
        <v>45499</v>
      </c>
      <c r="I2663" s="1">
        <v>45520</v>
      </c>
      <c r="J2663" t="s">
        <v>37</v>
      </c>
      <c r="K2663" t="b">
        <f>Table1[[#This Row],[CurrentStock]]&lt;Table1[[#This Row],[ReorderLevel]]</f>
        <v>0</v>
      </c>
      <c r="L2663" s="9">
        <f>Table1[[#This Row],[CurrentStock]]*Table1[[#This Row],[UnitPrice]]</f>
        <v>93634.1</v>
      </c>
      <c r="M2663" t="str">
        <f>IF(Table1[[#This Row],[ReorderLevel]]-Table1[[#This Row],[CurrentStock]]&gt;0,Table1[[#This Row],[ReorderLevel]]-Table1[[#This Row],[CurrentStock]],"")</f>
        <v/>
      </c>
      <c r="N2663" t="str">
        <f>IF(Table1[[#This Row],[CurrentStock]]&gt;Table1[[#This Row],[ReorderLevel]]*3,"Over Stock","Okay")</f>
        <v>Over Stock</v>
      </c>
      <c r="O2663" t="str">
        <f>IF(Table1[[#This Row],[CurrentStock]]&lt;Table1[[#This Row],[ReorderLevel]],"Reorder","Okay")</f>
        <v>Okay</v>
      </c>
    </row>
    <row r="2664" spans="1:15" x14ac:dyDescent="0.3">
      <c r="A2664">
        <v>62287</v>
      </c>
      <c r="B2664" t="s">
        <v>16</v>
      </c>
      <c r="C2664" t="s">
        <v>30</v>
      </c>
      <c r="D2664">
        <v>247</v>
      </c>
      <c r="E2664">
        <v>30</v>
      </c>
      <c r="F2664">
        <v>269.44</v>
      </c>
      <c r="G2664" t="s">
        <v>36</v>
      </c>
      <c r="H2664" s="1">
        <v>45574</v>
      </c>
      <c r="I2664" s="1">
        <v>45580</v>
      </c>
      <c r="J2664" t="s">
        <v>38</v>
      </c>
      <c r="K2664" t="b">
        <f>Table1[[#This Row],[CurrentStock]]&lt;Table1[[#This Row],[ReorderLevel]]</f>
        <v>0</v>
      </c>
      <c r="L2664" s="9">
        <f>Table1[[#This Row],[CurrentStock]]*Table1[[#This Row],[UnitPrice]]</f>
        <v>66551.679999999993</v>
      </c>
      <c r="M2664" t="str">
        <f>IF(Table1[[#This Row],[ReorderLevel]]-Table1[[#This Row],[CurrentStock]]&gt;0,Table1[[#This Row],[ReorderLevel]]-Table1[[#This Row],[CurrentStock]],"")</f>
        <v/>
      </c>
      <c r="N2664" t="str">
        <f>IF(Table1[[#This Row],[CurrentStock]]&gt;Table1[[#This Row],[ReorderLevel]]*3,"Over Stock","Okay")</f>
        <v>Over Stock</v>
      </c>
      <c r="O2664" t="str">
        <f>IF(Table1[[#This Row],[CurrentStock]]&lt;Table1[[#This Row],[ReorderLevel]],"Reorder","Okay")</f>
        <v>Okay</v>
      </c>
    </row>
    <row r="2665" spans="1:15" x14ac:dyDescent="0.3">
      <c r="A2665">
        <v>53953</v>
      </c>
      <c r="B2665" t="s">
        <v>17</v>
      </c>
      <c r="C2665" t="s">
        <v>30</v>
      </c>
      <c r="D2665">
        <v>238</v>
      </c>
      <c r="E2665">
        <v>80</v>
      </c>
      <c r="F2665">
        <v>95.23</v>
      </c>
      <c r="G2665" t="s">
        <v>34</v>
      </c>
      <c r="H2665" s="1">
        <v>45570</v>
      </c>
      <c r="I2665" s="1">
        <v>45607</v>
      </c>
      <c r="J2665" t="s">
        <v>38</v>
      </c>
      <c r="K2665" t="b">
        <f>Table1[[#This Row],[CurrentStock]]&lt;Table1[[#This Row],[ReorderLevel]]</f>
        <v>0</v>
      </c>
      <c r="L2665" s="9">
        <f>Table1[[#This Row],[CurrentStock]]*Table1[[#This Row],[UnitPrice]]</f>
        <v>22664.74</v>
      </c>
      <c r="M2665" t="str">
        <f>IF(Table1[[#This Row],[ReorderLevel]]-Table1[[#This Row],[CurrentStock]]&gt;0,Table1[[#This Row],[ReorderLevel]]-Table1[[#This Row],[CurrentStock]],"")</f>
        <v/>
      </c>
      <c r="N2665" t="str">
        <f>IF(Table1[[#This Row],[CurrentStock]]&gt;Table1[[#This Row],[ReorderLevel]]*3,"Over Stock","Okay")</f>
        <v>Okay</v>
      </c>
      <c r="O2665" t="str">
        <f>IF(Table1[[#This Row],[CurrentStock]]&lt;Table1[[#This Row],[ReorderLevel]],"Reorder","Okay")</f>
        <v>Okay</v>
      </c>
    </row>
    <row r="2666" spans="1:15" x14ac:dyDescent="0.3">
      <c r="A2666">
        <v>39681</v>
      </c>
      <c r="B2666" t="s">
        <v>18</v>
      </c>
      <c r="C2666" t="s">
        <v>28</v>
      </c>
      <c r="D2666">
        <v>285</v>
      </c>
      <c r="E2666">
        <v>80</v>
      </c>
      <c r="F2666">
        <v>48.64</v>
      </c>
      <c r="G2666" t="s">
        <v>34</v>
      </c>
      <c r="H2666" s="1">
        <v>45474</v>
      </c>
      <c r="I2666" s="1">
        <v>45485</v>
      </c>
      <c r="J2666" t="s">
        <v>39</v>
      </c>
      <c r="K2666" t="b">
        <f>Table1[[#This Row],[CurrentStock]]&lt;Table1[[#This Row],[ReorderLevel]]</f>
        <v>0</v>
      </c>
      <c r="L2666" s="9">
        <f>Table1[[#This Row],[CurrentStock]]*Table1[[#This Row],[UnitPrice]]</f>
        <v>13862.4</v>
      </c>
      <c r="M2666" t="str">
        <f>IF(Table1[[#This Row],[ReorderLevel]]-Table1[[#This Row],[CurrentStock]]&gt;0,Table1[[#This Row],[ReorderLevel]]-Table1[[#This Row],[CurrentStock]],"")</f>
        <v/>
      </c>
      <c r="N2666" t="str">
        <f>IF(Table1[[#This Row],[CurrentStock]]&gt;Table1[[#This Row],[ReorderLevel]]*3,"Over Stock","Okay")</f>
        <v>Over Stock</v>
      </c>
      <c r="O2666" t="str">
        <f>IF(Table1[[#This Row],[CurrentStock]]&lt;Table1[[#This Row],[ReorderLevel]],"Reorder","Okay")</f>
        <v>Okay</v>
      </c>
    </row>
    <row r="2667" spans="1:15" x14ac:dyDescent="0.3">
      <c r="A2667">
        <v>80459</v>
      </c>
      <c r="B2667" t="s">
        <v>22</v>
      </c>
      <c r="C2667" t="s">
        <v>27</v>
      </c>
      <c r="D2667">
        <v>416</v>
      </c>
      <c r="E2667">
        <v>20</v>
      </c>
      <c r="F2667">
        <v>395.28</v>
      </c>
      <c r="G2667" t="s">
        <v>32</v>
      </c>
      <c r="H2667" s="1">
        <v>45529</v>
      </c>
      <c r="I2667" s="1">
        <v>45560</v>
      </c>
      <c r="J2667" t="s">
        <v>37</v>
      </c>
      <c r="K2667" t="b">
        <f>Table1[[#This Row],[CurrentStock]]&lt;Table1[[#This Row],[ReorderLevel]]</f>
        <v>0</v>
      </c>
      <c r="L2667" s="9">
        <f>Table1[[#This Row],[CurrentStock]]*Table1[[#This Row],[UnitPrice]]</f>
        <v>164436.47999999998</v>
      </c>
      <c r="M2667" t="str">
        <f>IF(Table1[[#This Row],[ReorderLevel]]-Table1[[#This Row],[CurrentStock]]&gt;0,Table1[[#This Row],[ReorderLevel]]-Table1[[#This Row],[CurrentStock]],"")</f>
        <v/>
      </c>
      <c r="N2667" t="str">
        <f>IF(Table1[[#This Row],[CurrentStock]]&gt;Table1[[#This Row],[ReorderLevel]]*3,"Over Stock","Okay")</f>
        <v>Over Stock</v>
      </c>
      <c r="O2667" t="str">
        <f>IF(Table1[[#This Row],[CurrentStock]]&lt;Table1[[#This Row],[ReorderLevel]],"Reorder","Okay")</f>
        <v>Okay</v>
      </c>
    </row>
    <row r="2668" spans="1:15" x14ac:dyDescent="0.3">
      <c r="A2668">
        <v>16221</v>
      </c>
      <c r="B2668" t="s">
        <v>13</v>
      </c>
      <c r="C2668" t="s">
        <v>29</v>
      </c>
      <c r="D2668">
        <v>7</v>
      </c>
      <c r="E2668">
        <v>50</v>
      </c>
      <c r="F2668">
        <v>195.5</v>
      </c>
      <c r="G2668" t="s">
        <v>34</v>
      </c>
      <c r="H2668" s="1">
        <v>45332</v>
      </c>
      <c r="I2668" s="1">
        <v>45358</v>
      </c>
      <c r="J2668" t="s">
        <v>39</v>
      </c>
      <c r="K2668" t="b">
        <f>Table1[[#This Row],[CurrentStock]]&lt;Table1[[#This Row],[ReorderLevel]]</f>
        <v>1</v>
      </c>
      <c r="L2668" s="9">
        <f>Table1[[#This Row],[CurrentStock]]*Table1[[#This Row],[UnitPrice]]</f>
        <v>1368.5</v>
      </c>
      <c r="M2668">
        <f>IF(Table1[[#This Row],[ReorderLevel]]-Table1[[#This Row],[CurrentStock]]&gt;0,Table1[[#This Row],[ReorderLevel]]-Table1[[#This Row],[CurrentStock]],"")</f>
        <v>43</v>
      </c>
      <c r="N2668" t="str">
        <f>IF(Table1[[#This Row],[CurrentStock]]&gt;Table1[[#This Row],[ReorderLevel]]*3,"Over Stock","Okay")</f>
        <v>Okay</v>
      </c>
      <c r="O2668" t="str">
        <f>IF(Table1[[#This Row],[CurrentStock]]&lt;Table1[[#This Row],[ReorderLevel]],"Reorder","Okay")</f>
        <v>Reorder</v>
      </c>
    </row>
    <row r="2669" spans="1:15" x14ac:dyDescent="0.3">
      <c r="A2669">
        <v>28898</v>
      </c>
      <c r="B2669" t="s">
        <v>12</v>
      </c>
      <c r="C2669" t="s">
        <v>28</v>
      </c>
      <c r="D2669">
        <v>424</v>
      </c>
      <c r="E2669">
        <v>30</v>
      </c>
      <c r="F2669">
        <v>256.29000000000002</v>
      </c>
      <c r="G2669" t="s">
        <v>34</v>
      </c>
      <c r="H2669" s="1">
        <v>45597</v>
      </c>
      <c r="I2669" s="1">
        <v>45618</v>
      </c>
      <c r="J2669" t="s">
        <v>38</v>
      </c>
      <c r="K2669" t="b">
        <f>Table1[[#This Row],[CurrentStock]]&lt;Table1[[#This Row],[ReorderLevel]]</f>
        <v>0</v>
      </c>
      <c r="L2669" s="9">
        <f>Table1[[#This Row],[CurrentStock]]*Table1[[#This Row],[UnitPrice]]</f>
        <v>108666.96</v>
      </c>
      <c r="M2669" t="str">
        <f>IF(Table1[[#This Row],[ReorderLevel]]-Table1[[#This Row],[CurrentStock]]&gt;0,Table1[[#This Row],[ReorderLevel]]-Table1[[#This Row],[CurrentStock]],"")</f>
        <v/>
      </c>
      <c r="N2669" t="str">
        <f>IF(Table1[[#This Row],[CurrentStock]]&gt;Table1[[#This Row],[ReorderLevel]]*3,"Over Stock","Okay")</f>
        <v>Over Stock</v>
      </c>
      <c r="O2669" t="str">
        <f>IF(Table1[[#This Row],[CurrentStock]]&lt;Table1[[#This Row],[ReorderLevel]],"Reorder","Okay")</f>
        <v>Okay</v>
      </c>
    </row>
    <row r="2670" spans="1:15" x14ac:dyDescent="0.3">
      <c r="A2670">
        <v>19837</v>
      </c>
      <c r="B2670" t="s">
        <v>18</v>
      </c>
      <c r="C2670" t="s">
        <v>28</v>
      </c>
      <c r="D2670">
        <v>134</v>
      </c>
      <c r="E2670">
        <v>30</v>
      </c>
      <c r="F2670">
        <v>410.42</v>
      </c>
      <c r="G2670" t="s">
        <v>34</v>
      </c>
      <c r="H2670" s="1">
        <v>45500</v>
      </c>
      <c r="I2670" s="1">
        <v>45516</v>
      </c>
      <c r="J2670" t="s">
        <v>38</v>
      </c>
      <c r="K2670" t="b">
        <f>Table1[[#This Row],[CurrentStock]]&lt;Table1[[#This Row],[ReorderLevel]]</f>
        <v>0</v>
      </c>
      <c r="L2670" s="9">
        <f>Table1[[#This Row],[CurrentStock]]*Table1[[#This Row],[UnitPrice]]</f>
        <v>54996.28</v>
      </c>
      <c r="M2670" t="str">
        <f>IF(Table1[[#This Row],[ReorderLevel]]-Table1[[#This Row],[CurrentStock]]&gt;0,Table1[[#This Row],[ReorderLevel]]-Table1[[#This Row],[CurrentStock]],"")</f>
        <v/>
      </c>
      <c r="N2670" t="str">
        <f>IF(Table1[[#This Row],[CurrentStock]]&gt;Table1[[#This Row],[ReorderLevel]]*3,"Over Stock","Okay")</f>
        <v>Over Stock</v>
      </c>
      <c r="O2670" t="str">
        <f>IF(Table1[[#This Row],[CurrentStock]]&lt;Table1[[#This Row],[ReorderLevel]],"Reorder","Okay")</f>
        <v>Okay</v>
      </c>
    </row>
    <row r="2671" spans="1:15" x14ac:dyDescent="0.3">
      <c r="A2671">
        <v>15044</v>
      </c>
      <c r="B2671" t="s">
        <v>12</v>
      </c>
      <c r="C2671" t="s">
        <v>28</v>
      </c>
      <c r="D2671">
        <v>139</v>
      </c>
      <c r="E2671">
        <v>40</v>
      </c>
      <c r="F2671">
        <v>285.82</v>
      </c>
      <c r="G2671" t="s">
        <v>34</v>
      </c>
      <c r="H2671" s="1">
        <v>45608</v>
      </c>
      <c r="I2671" s="1">
        <v>45625</v>
      </c>
      <c r="J2671" t="s">
        <v>37</v>
      </c>
      <c r="K2671" t="b">
        <f>Table1[[#This Row],[CurrentStock]]&lt;Table1[[#This Row],[ReorderLevel]]</f>
        <v>0</v>
      </c>
      <c r="L2671" s="9">
        <f>Table1[[#This Row],[CurrentStock]]*Table1[[#This Row],[UnitPrice]]</f>
        <v>39728.979999999996</v>
      </c>
      <c r="M2671" t="str">
        <f>IF(Table1[[#This Row],[ReorderLevel]]-Table1[[#This Row],[CurrentStock]]&gt;0,Table1[[#This Row],[ReorderLevel]]-Table1[[#This Row],[CurrentStock]],"")</f>
        <v/>
      </c>
      <c r="N2671" t="str">
        <f>IF(Table1[[#This Row],[CurrentStock]]&gt;Table1[[#This Row],[ReorderLevel]]*3,"Over Stock","Okay")</f>
        <v>Over Stock</v>
      </c>
      <c r="O2671" t="str">
        <f>IF(Table1[[#This Row],[CurrentStock]]&lt;Table1[[#This Row],[ReorderLevel]],"Reorder","Okay")</f>
        <v>Okay</v>
      </c>
    </row>
    <row r="2672" spans="1:15" x14ac:dyDescent="0.3">
      <c r="A2672">
        <v>47589</v>
      </c>
      <c r="B2672" t="s">
        <v>19</v>
      </c>
      <c r="C2672" t="s">
        <v>28</v>
      </c>
      <c r="D2672">
        <v>93</v>
      </c>
      <c r="E2672">
        <v>150</v>
      </c>
      <c r="F2672">
        <v>77.66</v>
      </c>
      <c r="G2672" t="s">
        <v>34</v>
      </c>
      <c r="H2672" s="1">
        <v>45301</v>
      </c>
      <c r="I2672" s="1">
        <v>45339</v>
      </c>
      <c r="J2672" t="s">
        <v>37</v>
      </c>
      <c r="K2672" t="b">
        <f>Table1[[#This Row],[CurrentStock]]&lt;Table1[[#This Row],[ReorderLevel]]</f>
        <v>1</v>
      </c>
      <c r="L2672" s="9">
        <f>Table1[[#This Row],[CurrentStock]]*Table1[[#This Row],[UnitPrice]]</f>
        <v>7222.38</v>
      </c>
      <c r="M2672">
        <f>IF(Table1[[#This Row],[ReorderLevel]]-Table1[[#This Row],[CurrentStock]]&gt;0,Table1[[#This Row],[ReorderLevel]]-Table1[[#This Row],[CurrentStock]],"")</f>
        <v>57</v>
      </c>
      <c r="N2672" t="str">
        <f>IF(Table1[[#This Row],[CurrentStock]]&gt;Table1[[#This Row],[ReorderLevel]]*3,"Over Stock","Okay")</f>
        <v>Okay</v>
      </c>
      <c r="O2672" t="str">
        <f>IF(Table1[[#This Row],[CurrentStock]]&lt;Table1[[#This Row],[ReorderLevel]],"Reorder","Okay")</f>
        <v>Reorder</v>
      </c>
    </row>
    <row r="2673" spans="1:15" x14ac:dyDescent="0.3">
      <c r="A2673">
        <v>77178</v>
      </c>
      <c r="B2673" t="s">
        <v>23</v>
      </c>
      <c r="C2673" t="s">
        <v>30</v>
      </c>
      <c r="D2673">
        <v>202</v>
      </c>
      <c r="E2673">
        <v>100</v>
      </c>
      <c r="F2673">
        <v>187.15</v>
      </c>
      <c r="G2673" t="s">
        <v>36</v>
      </c>
      <c r="H2673" s="1">
        <v>45487</v>
      </c>
      <c r="I2673" s="1">
        <v>45493</v>
      </c>
      <c r="J2673" t="s">
        <v>37</v>
      </c>
      <c r="K2673" t="b">
        <f>Table1[[#This Row],[CurrentStock]]&lt;Table1[[#This Row],[ReorderLevel]]</f>
        <v>0</v>
      </c>
      <c r="L2673" s="9">
        <f>Table1[[#This Row],[CurrentStock]]*Table1[[#This Row],[UnitPrice]]</f>
        <v>37804.300000000003</v>
      </c>
      <c r="M2673" t="str">
        <f>IF(Table1[[#This Row],[ReorderLevel]]-Table1[[#This Row],[CurrentStock]]&gt;0,Table1[[#This Row],[ReorderLevel]]-Table1[[#This Row],[CurrentStock]],"")</f>
        <v/>
      </c>
      <c r="N2673" t="str">
        <f>IF(Table1[[#This Row],[CurrentStock]]&gt;Table1[[#This Row],[ReorderLevel]]*3,"Over Stock","Okay")</f>
        <v>Okay</v>
      </c>
      <c r="O2673" t="str">
        <f>IF(Table1[[#This Row],[CurrentStock]]&lt;Table1[[#This Row],[ReorderLevel]],"Reorder","Okay")</f>
        <v>Okay</v>
      </c>
    </row>
    <row r="2674" spans="1:15" x14ac:dyDescent="0.3">
      <c r="A2674">
        <v>30100</v>
      </c>
      <c r="B2674" t="s">
        <v>10</v>
      </c>
      <c r="C2674" t="s">
        <v>27</v>
      </c>
      <c r="D2674">
        <v>382</v>
      </c>
      <c r="E2674">
        <v>20</v>
      </c>
      <c r="F2674">
        <v>462.7</v>
      </c>
      <c r="G2674" t="s">
        <v>34</v>
      </c>
      <c r="H2674" s="1">
        <v>45373</v>
      </c>
      <c r="I2674" s="1">
        <v>45380</v>
      </c>
      <c r="J2674" t="s">
        <v>37</v>
      </c>
      <c r="K2674" t="b">
        <f>Table1[[#This Row],[CurrentStock]]&lt;Table1[[#This Row],[ReorderLevel]]</f>
        <v>0</v>
      </c>
      <c r="L2674" s="9">
        <f>Table1[[#This Row],[CurrentStock]]*Table1[[#This Row],[UnitPrice]]</f>
        <v>176751.4</v>
      </c>
      <c r="M2674" t="str">
        <f>IF(Table1[[#This Row],[ReorderLevel]]-Table1[[#This Row],[CurrentStock]]&gt;0,Table1[[#This Row],[ReorderLevel]]-Table1[[#This Row],[CurrentStock]],"")</f>
        <v/>
      </c>
      <c r="N2674" t="str">
        <f>IF(Table1[[#This Row],[CurrentStock]]&gt;Table1[[#This Row],[ReorderLevel]]*3,"Over Stock","Okay")</f>
        <v>Over Stock</v>
      </c>
      <c r="O2674" t="str">
        <f>IF(Table1[[#This Row],[CurrentStock]]&lt;Table1[[#This Row],[ReorderLevel]],"Reorder","Okay")</f>
        <v>Okay</v>
      </c>
    </row>
    <row r="2675" spans="1:15" x14ac:dyDescent="0.3">
      <c r="A2675">
        <v>15922</v>
      </c>
      <c r="B2675" t="s">
        <v>14</v>
      </c>
      <c r="C2675" t="s">
        <v>27</v>
      </c>
      <c r="D2675">
        <v>431</v>
      </c>
      <c r="E2675">
        <v>30</v>
      </c>
      <c r="F2675">
        <v>393.43</v>
      </c>
      <c r="G2675" t="s">
        <v>35</v>
      </c>
      <c r="H2675" s="1">
        <v>45345</v>
      </c>
      <c r="I2675" s="1">
        <v>45353</v>
      </c>
      <c r="J2675" t="s">
        <v>37</v>
      </c>
      <c r="K2675" t="b">
        <f>Table1[[#This Row],[CurrentStock]]&lt;Table1[[#This Row],[ReorderLevel]]</f>
        <v>0</v>
      </c>
      <c r="L2675" s="9">
        <f>Table1[[#This Row],[CurrentStock]]*Table1[[#This Row],[UnitPrice]]</f>
        <v>169568.33000000002</v>
      </c>
      <c r="M2675" t="str">
        <f>IF(Table1[[#This Row],[ReorderLevel]]-Table1[[#This Row],[CurrentStock]]&gt;0,Table1[[#This Row],[ReorderLevel]]-Table1[[#This Row],[CurrentStock]],"")</f>
        <v/>
      </c>
      <c r="N2675" t="str">
        <f>IF(Table1[[#This Row],[CurrentStock]]&gt;Table1[[#This Row],[ReorderLevel]]*3,"Over Stock","Okay")</f>
        <v>Over Stock</v>
      </c>
      <c r="O2675" t="str">
        <f>IF(Table1[[#This Row],[CurrentStock]]&lt;Table1[[#This Row],[ReorderLevel]],"Reorder","Okay")</f>
        <v>Okay</v>
      </c>
    </row>
    <row r="2676" spans="1:15" x14ac:dyDescent="0.3">
      <c r="A2676">
        <v>62384</v>
      </c>
      <c r="B2676" t="s">
        <v>19</v>
      </c>
      <c r="C2676" t="s">
        <v>28</v>
      </c>
      <c r="D2676">
        <v>190</v>
      </c>
      <c r="E2676">
        <v>150</v>
      </c>
      <c r="F2676">
        <v>73.3</v>
      </c>
      <c r="G2676" t="s">
        <v>36</v>
      </c>
      <c r="H2676" s="1">
        <v>45301</v>
      </c>
      <c r="I2676" s="1">
        <v>45312</v>
      </c>
      <c r="J2676" t="s">
        <v>39</v>
      </c>
      <c r="K2676" t="b">
        <f>Table1[[#This Row],[CurrentStock]]&lt;Table1[[#This Row],[ReorderLevel]]</f>
        <v>0</v>
      </c>
      <c r="L2676" s="9">
        <f>Table1[[#This Row],[CurrentStock]]*Table1[[#This Row],[UnitPrice]]</f>
        <v>13927</v>
      </c>
      <c r="M2676" t="str">
        <f>IF(Table1[[#This Row],[ReorderLevel]]-Table1[[#This Row],[CurrentStock]]&gt;0,Table1[[#This Row],[ReorderLevel]]-Table1[[#This Row],[CurrentStock]],"")</f>
        <v/>
      </c>
      <c r="N2676" t="str">
        <f>IF(Table1[[#This Row],[CurrentStock]]&gt;Table1[[#This Row],[ReorderLevel]]*3,"Over Stock","Okay")</f>
        <v>Okay</v>
      </c>
      <c r="O2676" t="str">
        <f>IF(Table1[[#This Row],[CurrentStock]]&lt;Table1[[#This Row],[ReorderLevel]],"Reorder","Okay")</f>
        <v>Okay</v>
      </c>
    </row>
    <row r="2677" spans="1:15" x14ac:dyDescent="0.3">
      <c r="A2677">
        <v>17661</v>
      </c>
      <c r="B2677" t="s">
        <v>26</v>
      </c>
      <c r="C2677" t="s">
        <v>30</v>
      </c>
      <c r="D2677">
        <v>118</v>
      </c>
      <c r="E2677">
        <v>50</v>
      </c>
      <c r="F2677">
        <v>292.64999999999998</v>
      </c>
      <c r="G2677" t="s">
        <v>34</v>
      </c>
      <c r="H2677" s="1">
        <v>45459</v>
      </c>
      <c r="I2677" s="1">
        <v>45491</v>
      </c>
      <c r="J2677" t="s">
        <v>38</v>
      </c>
      <c r="K2677" t="b">
        <f>Table1[[#This Row],[CurrentStock]]&lt;Table1[[#This Row],[ReorderLevel]]</f>
        <v>0</v>
      </c>
      <c r="L2677" s="9">
        <f>Table1[[#This Row],[CurrentStock]]*Table1[[#This Row],[UnitPrice]]</f>
        <v>34532.699999999997</v>
      </c>
      <c r="M2677" t="str">
        <f>IF(Table1[[#This Row],[ReorderLevel]]-Table1[[#This Row],[CurrentStock]]&gt;0,Table1[[#This Row],[ReorderLevel]]-Table1[[#This Row],[CurrentStock]],"")</f>
        <v/>
      </c>
      <c r="N2677" t="str">
        <f>IF(Table1[[#This Row],[CurrentStock]]&gt;Table1[[#This Row],[ReorderLevel]]*3,"Over Stock","Okay")</f>
        <v>Okay</v>
      </c>
      <c r="O2677" t="str">
        <f>IF(Table1[[#This Row],[CurrentStock]]&lt;Table1[[#This Row],[ReorderLevel]],"Reorder","Okay")</f>
        <v>Okay</v>
      </c>
    </row>
    <row r="2678" spans="1:15" x14ac:dyDescent="0.3">
      <c r="A2678">
        <v>28565</v>
      </c>
      <c r="B2678" t="s">
        <v>11</v>
      </c>
      <c r="C2678" t="s">
        <v>27</v>
      </c>
      <c r="D2678">
        <v>314</v>
      </c>
      <c r="E2678">
        <v>40</v>
      </c>
      <c r="F2678">
        <v>249.07</v>
      </c>
      <c r="G2678" t="s">
        <v>33</v>
      </c>
      <c r="H2678" s="1">
        <v>45357</v>
      </c>
      <c r="I2678" s="1">
        <v>45370</v>
      </c>
      <c r="J2678" t="s">
        <v>37</v>
      </c>
      <c r="K2678" t="b">
        <f>Table1[[#This Row],[CurrentStock]]&lt;Table1[[#This Row],[ReorderLevel]]</f>
        <v>0</v>
      </c>
      <c r="L2678" s="9">
        <f>Table1[[#This Row],[CurrentStock]]*Table1[[#This Row],[UnitPrice]]</f>
        <v>78207.98</v>
      </c>
      <c r="M2678" t="str">
        <f>IF(Table1[[#This Row],[ReorderLevel]]-Table1[[#This Row],[CurrentStock]]&gt;0,Table1[[#This Row],[ReorderLevel]]-Table1[[#This Row],[CurrentStock]],"")</f>
        <v/>
      </c>
      <c r="N2678" t="str">
        <f>IF(Table1[[#This Row],[CurrentStock]]&gt;Table1[[#This Row],[ReorderLevel]]*3,"Over Stock","Okay")</f>
        <v>Over Stock</v>
      </c>
      <c r="O2678" t="str">
        <f>IF(Table1[[#This Row],[CurrentStock]]&lt;Table1[[#This Row],[ReorderLevel]],"Reorder","Okay")</f>
        <v>Okay</v>
      </c>
    </row>
    <row r="2679" spans="1:15" x14ac:dyDescent="0.3">
      <c r="A2679">
        <v>50584</v>
      </c>
      <c r="B2679" t="s">
        <v>15</v>
      </c>
      <c r="C2679" t="s">
        <v>29</v>
      </c>
      <c r="D2679">
        <v>457</v>
      </c>
      <c r="E2679">
        <v>80</v>
      </c>
      <c r="F2679">
        <v>342.68</v>
      </c>
      <c r="G2679" t="s">
        <v>36</v>
      </c>
      <c r="H2679" s="1">
        <v>45378</v>
      </c>
      <c r="I2679" s="1">
        <v>45415</v>
      </c>
      <c r="J2679" t="s">
        <v>37</v>
      </c>
      <c r="K2679" t="b">
        <f>Table1[[#This Row],[CurrentStock]]&lt;Table1[[#This Row],[ReorderLevel]]</f>
        <v>0</v>
      </c>
      <c r="L2679" s="9">
        <f>Table1[[#This Row],[CurrentStock]]*Table1[[#This Row],[UnitPrice]]</f>
        <v>156604.76</v>
      </c>
      <c r="M2679" t="str">
        <f>IF(Table1[[#This Row],[ReorderLevel]]-Table1[[#This Row],[CurrentStock]]&gt;0,Table1[[#This Row],[ReorderLevel]]-Table1[[#This Row],[CurrentStock]],"")</f>
        <v/>
      </c>
      <c r="N2679" t="str">
        <f>IF(Table1[[#This Row],[CurrentStock]]&gt;Table1[[#This Row],[ReorderLevel]]*3,"Over Stock","Okay")</f>
        <v>Over Stock</v>
      </c>
      <c r="O2679" t="str">
        <f>IF(Table1[[#This Row],[CurrentStock]]&lt;Table1[[#This Row],[ReorderLevel]],"Reorder","Okay")</f>
        <v>Okay</v>
      </c>
    </row>
    <row r="2680" spans="1:15" x14ac:dyDescent="0.3">
      <c r="A2680">
        <v>79810</v>
      </c>
      <c r="B2680" t="s">
        <v>22</v>
      </c>
      <c r="C2680" t="s">
        <v>27</v>
      </c>
      <c r="D2680">
        <v>326</v>
      </c>
      <c r="E2680">
        <v>30</v>
      </c>
      <c r="F2680">
        <v>171.49</v>
      </c>
      <c r="G2680" t="s">
        <v>34</v>
      </c>
      <c r="H2680" s="1">
        <v>45541</v>
      </c>
      <c r="I2680" s="1">
        <v>45571</v>
      </c>
      <c r="J2680" t="s">
        <v>39</v>
      </c>
      <c r="K2680" t="b">
        <f>Table1[[#This Row],[CurrentStock]]&lt;Table1[[#This Row],[ReorderLevel]]</f>
        <v>0</v>
      </c>
      <c r="L2680" s="9">
        <f>Table1[[#This Row],[CurrentStock]]*Table1[[#This Row],[UnitPrice]]</f>
        <v>55905.740000000005</v>
      </c>
      <c r="M2680" t="str">
        <f>IF(Table1[[#This Row],[ReorderLevel]]-Table1[[#This Row],[CurrentStock]]&gt;0,Table1[[#This Row],[ReorderLevel]]-Table1[[#This Row],[CurrentStock]],"")</f>
        <v/>
      </c>
      <c r="N2680" t="str">
        <f>IF(Table1[[#This Row],[CurrentStock]]&gt;Table1[[#This Row],[ReorderLevel]]*3,"Over Stock","Okay")</f>
        <v>Over Stock</v>
      </c>
      <c r="O2680" t="str">
        <f>IF(Table1[[#This Row],[CurrentStock]]&lt;Table1[[#This Row],[ReorderLevel]],"Reorder","Okay")</f>
        <v>Okay</v>
      </c>
    </row>
    <row r="2681" spans="1:15" x14ac:dyDescent="0.3">
      <c r="A2681">
        <v>23348</v>
      </c>
      <c r="B2681" t="s">
        <v>18</v>
      </c>
      <c r="C2681" t="s">
        <v>28</v>
      </c>
      <c r="D2681">
        <v>496</v>
      </c>
      <c r="E2681">
        <v>80</v>
      </c>
      <c r="F2681">
        <v>202.62</v>
      </c>
      <c r="G2681" t="s">
        <v>35</v>
      </c>
      <c r="H2681" s="1">
        <v>45464</v>
      </c>
      <c r="I2681" s="1">
        <v>45477</v>
      </c>
      <c r="J2681" t="s">
        <v>39</v>
      </c>
      <c r="K2681" t="b">
        <f>Table1[[#This Row],[CurrentStock]]&lt;Table1[[#This Row],[ReorderLevel]]</f>
        <v>0</v>
      </c>
      <c r="L2681" s="9">
        <f>Table1[[#This Row],[CurrentStock]]*Table1[[#This Row],[UnitPrice]]</f>
        <v>100499.52</v>
      </c>
      <c r="M2681" t="str">
        <f>IF(Table1[[#This Row],[ReorderLevel]]-Table1[[#This Row],[CurrentStock]]&gt;0,Table1[[#This Row],[ReorderLevel]]-Table1[[#This Row],[CurrentStock]],"")</f>
        <v/>
      </c>
      <c r="N2681" t="str">
        <f>IF(Table1[[#This Row],[CurrentStock]]&gt;Table1[[#This Row],[ReorderLevel]]*3,"Over Stock","Okay")</f>
        <v>Over Stock</v>
      </c>
      <c r="O2681" t="str">
        <f>IF(Table1[[#This Row],[CurrentStock]]&lt;Table1[[#This Row],[ReorderLevel]],"Reorder","Okay")</f>
        <v>Okay</v>
      </c>
    </row>
    <row r="2682" spans="1:15" x14ac:dyDescent="0.3">
      <c r="A2682">
        <v>18752</v>
      </c>
      <c r="B2682" t="s">
        <v>13</v>
      </c>
      <c r="C2682" t="s">
        <v>29</v>
      </c>
      <c r="D2682">
        <v>104</v>
      </c>
      <c r="E2682">
        <v>80</v>
      </c>
      <c r="F2682">
        <v>41.97</v>
      </c>
      <c r="G2682" t="s">
        <v>33</v>
      </c>
      <c r="H2682" s="1">
        <v>45555</v>
      </c>
      <c r="I2682" s="1">
        <v>45593</v>
      </c>
      <c r="J2682" t="s">
        <v>38</v>
      </c>
      <c r="K2682" t="b">
        <f>Table1[[#This Row],[CurrentStock]]&lt;Table1[[#This Row],[ReorderLevel]]</f>
        <v>0</v>
      </c>
      <c r="L2682" s="9">
        <f>Table1[[#This Row],[CurrentStock]]*Table1[[#This Row],[UnitPrice]]</f>
        <v>4364.88</v>
      </c>
      <c r="M2682" t="str">
        <f>IF(Table1[[#This Row],[ReorderLevel]]-Table1[[#This Row],[CurrentStock]]&gt;0,Table1[[#This Row],[ReorderLevel]]-Table1[[#This Row],[CurrentStock]],"")</f>
        <v/>
      </c>
      <c r="N2682" t="str">
        <f>IF(Table1[[#This Row],[CurrentStock]]&gt;Table1[[#This Row],[ReorderLevel]]*3,"Over Stock","Okay")</f>
        <v>Okay</v>
      </c>
      <c r="O2682" t="str">
        <f>IF(Table1[[#This Row],[CurrentStock]]&lt;Table1[[#This Row],[ReorderLevel]],"Reorder","Okay")</f>
        <v>Okay</v>
      </c>
    </row>
    <row r="2683" spans="1:15" x14ac:dyDescent="0.3">
      <c r="A2683">
        <v>56431</v>
      </c>
      <c r="B2683" t="s">
        <v>13</v>
      </c>
      <c r="C2683" t="s">
        <v>29</v>
      </c>
      <c r="D2683">
        <v>24</v>
      </c>
      <c r="E2683">
        <v>40</v>
      </c>
      <c r="F2683">
        <v>337.76</v>
      </c>
      <c r="G2683" t="s">
        <v>33</v>
      </c>
      <c r="H2683" s="1">
        <v>45515</v>
      </c>
      <c r="I2683" s="1">
        <v>45554</v>
      </c>
      <c r="J2683" t="s">
        <v>37</v>
      </c>
      <c r="K2683" t="b">
        <f>Table1[[#This Row],[CurrentStock]]&lt;Table1[[#This Row],[ReorderLevel]]</f>
        <v>1</v>
      </c>
      <c r="L2683" s="9">
        <f>Table1[[#This Row],[CurrentStock]]*Table1[[#This Row],[UnitPrice]]</f>
        <v>8106.24</v>
      </c>
      <c r="M2683">
        <f>IF(Table1[[#This Row],[ReorderLevel]]-Table1[[#This Row],[CurrentStock]]&gt;0,Table1[[#This Row],[ReorderLevel]]-Table1[[#This Row],[CurrentStock]],"")</f>
        <v>16</v>
      </c>
      <c r="N2683" t="str">
        <f>IF(Table1[[#This Row],[CurrentStock]]&gt;Table1[[#This Row],[ReorderLevel]]*3,"Over Stock","Okay")</f>
        <v>Okay</v>
      </c>
      <c r="O2683" t="str">
        <f>IF(Table1[[#This Row],[CurrentStock]]&lt;Table1[[#This Row],[ReorderLevel]],"Reorder","Okay")</f>
        <v>Reorder</v>
      </c>
    </row>
    <row r="2684" spans="1:15" x14ac:dyDescent="0.3">
      <c r="A2684">
        <v>73000</v>
      </c>
      <c r="B2684" t="s">
        <v>10</v>
      </c>
      <c r="C2684" t="s">
        <v>27</v>
      </c>
      <c r="D2684">
        <v>108</v>
      </c>
      <c r="E2684">
        <v>50</v>
      </c>
      <c r="F2684">
        <v>258.05</v>
      </c>
      <c r="G2684" t="s">
        <v>33</v>
      </c>
      <c r="H2684" s="1">
        <v>45499</v>
      </c>
      <c r="I2684" s="1">
        <v>45521</v>
      </c>
      <c r="J2684" t="s">
        <v>37</v>
      </c>
      <c r="K2684" t="b">
        <f>Table1[[#This Row],[CurrentStock]]&lt;Table1[[#This Row],[ReorderLevel]]</f>
        <v>0</v>
      </c>
      <c r="L2684" s="9">
        <f>Table1[[#This Row],[CurrentStock]]*Table1[[#This Row],[UnitPrice]]</f>
        <v>27869.4</v>
      </c>
      <c r="M2684" t="str">
        <f>IF(Table1[[#This Row],[ReorderLevel]]-Table1[[#This Row],[CurrentStock]]&gt;0,Table1[[#This Row],[ReorderLevel]]-Table1[[#This Row],[CurrentStock]],"")</f>
        <v/>
      </c>
      <c r="N2684" t="str">
        <f>IF(Table1[[#This Row],[CurrentStock]]&gt;Table1[[#This Row],[ReorderLevel]]*3,"Over Stock","Okay")</f>
        <v>Okay</v>
      </c>
      <c r="O2684" t="str">
        <f>IF(Table1[[#This Row],[CurrentStock]]&lt;Table1[[#This Row],[ReorderLevel]],"Reorder","Okay")</f>
        <v>Okay</v>
      </c>
    </row>
    <row r="2685" spans="1:15" x14ac:dyDescent="0.3">
      <c r="A2685">
        <v>44826</v>
      </c>
      <c r="B2685" t="s">
        <v>10</v>
      </c>
      <c r="C2685" t="s">
        <v>27</v>
      </c>
      <c r="D2685">
        <v>97</v>
      </c>
      <c r="E2685">
        <v>80</v>
      </c>
      <c r="F2685">
        <v>445.93</v>
      </c>
      <c r="G2685" t="s">
        <v>32</v>
      </c>
      <c r="H2685" s="1">
        <v>45550</v>
      </c>
      <c r="I2685" s="1">
        <v>45561</v>
      </c>
      <c r="J2685" t="s">
        <v>39</v>
      </c>
      <c r="K2685" t="b">
        <f>Table1[[#This Row],[CurrentStock]]&lt;Table1[[#This Row],[ReorderLevel]]</f>
        <v>0</v>
      </c>
      <c r="L2685" s="9">
        <f>Table1[[#This Row],[CurrentStock]]*Table1[[#This Row],[UnitPrice]]</f>
        <v>43255.21</v>
      </c>
      <c r="M2685" t="str">
        <f>IF(Table1[[#This Row],[ReorderLevel]]-Table1[[#This Row],[CurrentStock]]&gt;0,Table1[[#This Row],[ReorderLevel]]-Table1[[#This Row],[CurrentStock]],"")</f>
        <v/>
      </c>
      <c r="N2685" t="str">
        <f>IF(Table1[[#This Row],[CurrentStock]]&gt;Table1[[#This Row],[ReorderLevel]]*3,"Over Stock","Okay")</f>
        <v>Okay</v>
      </c>
      <c r="O2685" t="str">
        <f>IF(Table1[[#This Row],[CurrentStock]]&lt;Table1[[#This Row],[ReorderLevel]],"Reorder","Okay")</f>
        <v>Okay</v>
      </c>
    </row>
    <row r="2686" spans="1:15" x14ac:dyDescent="0.3">
      <c r="A2686">
        <v>90873</v>
      </c>
      <c r="B2686" t="s">
        <v>22</v>
      </c>
      <c r="C2686" t="s">
        <v>27</v>
      </c>
      <c r="D2686">
        <v>37</v>
      </c>
      <c r="E2686">
        <v>30</v>
      </c>
      <c r="F2686">
        <v>436.4</v>
      </c>
      <c r="G2686" t="s">
        <v>35</v>
      </c>
      <c r="H2686" s="1">
        <v>45437</v>
      </c>
      <c r="I2686" s="1">
        <v>45448</v>
      </c>
      <c r="J2686" t="s">
        <v>39</v>
      </c>
      <c r="K2686" t="b">
        <f>Table1[[#This Row],[CurrentStock]]&lt;Table1[[#This Row],[ReorderLevel]]</f>
        <v>0</v>
      </c>
      <c r="L2686" s="9">
        <f>Table1[[#This Row],[CurrentStock]]*Table1[[#This Row],[UnitPrice]]</f>
        <v>16146.8</v>
      </c>
      <c r="M2686" t="str">
        <f>IF(Table1[[#This Row],[ReorderLevel]]-Table1[[#This Row],[CurrentStock]]&gt;0,Table1[[#This Row],[ReorderLevel]]-Table1[[#This Row],[CurrentStock]],"")</f>
        <v/>
      </c>
      <c r="N2686" t="str">
        <f>IF(Table1[[#This Row],[CurrentStock]]&gt;Table1[[#This Row],[ReorderLevel]]*3,"Over Stock","Okay")</f>
        <v>Okay</v>
      </c>
      <c r="O2686" t="str">
        <f>IF(Table1[[#This Row],[CurrentStock]]&lt;Table1[[#This Row],[ReorderLevel]],"Reorder","Okay")</f>
        <v>Okay</v>
      </c>
    </row>
    <row r="2687" spans="1:15" x14ac:dyDescent="0.3">
      <c r="A2687">
        <v>37664</v>
      </c>
      <c r="B2687" t="s">
        <v>12</v>
      </c>
      <c r="C2687" t="s">
        <v>28</v>
      </c>
      <c r="D2687">
        <v>286</v>
      </c>
      <c r="E2687">
        <v>30</v>
      </c>
      <c r="F2687">
        <v>342.17</v>
      </c>
      <c r="G2687" t="s">
        <v>36</v>
      </c>
      <c r="H2687" s="1">
        <v>45472</v>
      </c>
      <c r="I2687" s="1">
        <v>45503</v>
      </c>
      <c r="J2687" t="s">
        <v>37</v>
      </c>
      <c r="K2687" t="b">
        <f>Table1[[#This Row],[CurrentStock]]&lt;Table1[[#This Row],[ReorderLevel]]</f>
        <v>0</v>
      </c>
      <c r="L2687" s="9">
        <f>Table1[[#This Row],[CurrentStock]]*Table1[[#This Row],[UnitPrice]]</f>
        <v>97860.62000000001</v>
      </c>
      <c r="M2687" t="str">
        <f>IF(Table1[[#This Row],[ReorderLevel]]-Table1[[#This Row],[CurrentStock]]&gt;0,Table1[[#This Row],[ReorderLevel]]-Table1[[#This Row],[CurrentStock]],"")</f>
        <v/>
      </c>
      <c r="N2687" t="str">
        <f>IF(Table1[[#This Row],[CurrentStock]]&gt;Table1[[#This Row],[ReorderLevel]]*3,"Over Stock","Okay")</f>
        <v>Over Stock</v>
      </c>
      <c r="O2687" t="str">
        <f>IF(Table1[[#This Row],[CurrentStock]]&lt;Table1[[#This Row],[ReorderLevel]],"Reorder","Okay")</f>
        <v>Okay</v>
      </c>
    </row>
    <row r="2688" spans="1:15" x14ac:dyDescent="0.3">
      <c r="A2688">
        <v>20556</v>
      </c>
      <c r="B2688" t="s">
        <v>25</v>
      </c>
      <c r="C2688" t="s">
        <v>31</v>
      </c>
      <c r="D2688">
        <v>488</v>
      </c>
      <c r="E2688">
        <v>100</v>
      </c>
      <c r="F2688">
        <v>113.79</v>
      </c>
      <c r="G2688" t="s">
        <v>34</v>
      </c>
      <c r="H2688" s="1">
        <v>45463</v>
      </c>
      <c r="I2688" s="1">
        <v>45482</v>
      </c>
      <c r="J2688" t="s">
        <v>37</v>
      </c>
      <c r="K2688" t="b">
        <f>Table1[[#This Row],[CurrentStock]]&lt;Table1[[#This Row],[ReorderLevel]]</f>
        <v>0</v>
      </c>
      <c r="L2688" s="9">
        <f>Table1[[#This Row],[CurrentStock]]*Table1[[#This Row],[UnitPrice]]</f>
        <v>55529.520000000004</v>
      </c>
      <c r="M2688" t="str">
        <f>IF(Table1[[#This Row],[ReorderLevel]]-Table1[[#This Row],[CurrentStock]]&gt;0,Table1[[#This Row],[ReorderLevel]]-Table1[[#This Row],[CurrentStock]],"")</f>
        <v/>
      </c>
      <c r="N2688" t="str">
        <f>IF(Table1[[#This Row],[CurrentStock]]&gt;Table1[[#This Row],[ReorderLevel]]*3,"Over Stock","Okay")</f>
        <v>Over Stock</v>
      </c>
      <c r="O2688" t="str">
        <f>IF(Table1[[#This Row],[CurrentStock]]&lt;Table1[[#This Row],[ReorderLevel]],"Reorder","Okay")</f>
        <v>Okay</v>
      </c>
    </row>
    <row r="2689" spans="1:15" x14ac:dyDescent="0.3">
      <c r="A2689">
        <v>55995</v>
      </c>
      <c r="B2689" t="s">
        <v>16</v>
      </c>
      <c r="C2689" t="s">
        <v>30</v>
      </c>
      <c r="D2689">
        <v>330</v>
      </c>
      <c r="E2689">
        <v>20</v>
      </c>
      <c r="F2689">
        <v>387.45</v>
      </c>
      <c r="G2689" t="s">
        <v>34</v>
      </c>
      <c r="H2689" s="1">
        <v>45574</v>
      </c>
      <c r="I2689" s="1">
        <v>45609</v>
      </c>
      <c r="J2689" t="s">
        <v>39</v>
      </c>
      <c r="K2689" t="b">
        <f>Table1[[#This Row],[CurrentStock]]&lt;Table1[[#This Row],[ReorderLevel]]</f>
        <v>0</v>
      </c>
      <c r="L2689" s="9">
        <f>Table1[[#This Row],[CurrentStock]]*Table1[[#This Row],[UnitPrice]]</f>
        <v>127858.5</v>
      </c>
      <c r="M2689" t="str">
        <f>IF(Table1[[#This Row],[ReorderLevel]]-Table1[[#This Row],[CurrentStock]]&gt;0,Table1[[#This Row],[ReorderLevel]]-Table1[[#This Row],[CurrentStock]],"")</f>
        <v/>
      </c>
      <c r="N2689" t="str">
        <f>IF(Table1[[#This Row],[CurrentStock]]&gt;Table1[[#This Row],[ReorderLevel]]*3,"Over Stock","Okay")</f>
        <v>Over Stock</v>
      </c>
      <c r="O2689" t="str">
        <f>IF(Table1[[#This Row],[CurrentStock]]&lt;Table1[[#This Row],[ReorderLevel]],"Reorder","Okay")</f>
        <v>Okay</v>
      </c>
    </row>
    <row r="2690" spans="1:15" x14ac:dyDescent="0.3">
      <c r="A2690">
        <v>78275</v>
      </c>
      <c r="B2690" t="s">
        <v>24</v>
      </c>
      <c r="C2690" t="s">
        <v>31</v>
      </c>
      <c r="D2690">
        <v>62</v>
      </c>
      <c r="E2690">
        <v>40</v>
      </c>
      <c r="F2690">
        <v>52.76</v>
      </c>
      <c r="G2690" t="s">
        <v>34</v>
      </c>
      <c r="H2690" s="1">
        <v>45428</v>
      </c>
      <c r="I2690" s="1">
        <v>45442</v>
      </c>
      <c r="J2690" t="s">
        <v>39</v>
      </c>
      <c r="K2690" t="b">
        <f>Table1[[#This Row],[CurrentStock]]&lt;Table1[[#This Row],[ReorderLevel]]</f>
        <v>0</v>
      </c>
      <c r="L2690" s="9">
        <f>Table1[[#This Row],[CurrentStock]]*Table1[[#This Row],[UnitPrice]]</f>
        <v>3271.12</v>
      </c>
      <c r="M2690" t="str">
        <f>IF(Table1[[#This Row],[ReorderLevel]]-Table1[[#This Row],[CurrentStock]]&gt;0,Table1[[#This Row],[ReorderLevel]]-Table1[[#This Row],[CurrentStock]],"")</f>
        <v/>
      </c>
      <c r="N2690" t="str">
        <f>IF(Table1[[#This Row],[CurrentStock]]&gt;Table1[[#This Row],[ReorderLevel]]*3,"Over Stock","Okay")</f>
        <v>Okay</v>
      </c>
      <c r="O2690" t="str">
        <f>IF(Table1[[#This Row],[CurrentStock]]&lt;Table1[[#This Row],[ReorderLevel]],"Reorder","Okay")</f>
        <v>Okay</v>
      </c>
    </row>
    <row r="2691" spans="1:15" x14ac:dyDescent="0.3">
      <c r="A2691">
        <v>72582</v>
      </c>
      <c r="B2691" t="s">
        <v>13</v>
      </c>
      <c r="C2691" t="s">
        <v>29</v>
      </c>
      <c r="D2691">
        <v>378</v>
      </c>
      <c r="E2691">
        <v>40</v>
      </c>
      <c r="F2691">
        <v>499.42</v>
      </c>
      <c r="G2691" t="s">
        <v>33</v>
      </c>
      <c r="H2691" s="1">
        <v>45400</v>
      </c>
      <c r="I2691" s="1">
        <v>45427</v>
      </c>
      <c r="J2691" t="s">
        <v>39</v>
      </c>
      <c r="K2691" t="b">
        <f>Table1[[#This Row],[CurrentStock]]&lt;Table1[[#This Row],[ReorderLevel]]</f>
        <v>0</v>
      </c>
      <c r="L2691" s="9">
        <f>Table1[[#This Row],[CurrentStock]]*Table1[[#This Row],[UnitPrice]]</f>
        <v>188780.76</v>
      </c>
      <c r="M2691" t="str">
        <f>IF(Table1[[#This Row],[ReorderLevel]]-Table1[[#This Row],[CurrentStock]]&gt;0,Table1[[#This Row],[ReorderLevel]]-Table1[[#This Row],[CurrentStock]],"")</f>
        <v/>
      </c>
      <c r="N2691" t="str">
        <f>IF(Table1[[#This Row],[CurrentStock]]&gt;Table1[[#This Row],[ReorderLevel]]*3,"Over Stock","Okay")</f>
        <v>Over Stock</v>
      </c>
      <c r="O2691" t="str">
        <f>IF(Table1[[#This Row],[CurrentStock]]&lt;Table1[[#This Row],[ReorderLevel]],"Reorder","Okay")</f>
        <v>Okay</v>
      </c>
    </row>
    <row r="2692" spans="1:15" x14ac:dyDescent="0.3">
      <c r="A2692">
        <v>26956</v>
      </c>
      <c r="B2692" t="s">
        <v>22</v>
      </c>
      <c r="C2692" t="s">
        <v>27</v>
      </c>
      <c r="D2692">
        <v>153</v>
      </c>
      <c r="E2692">
        <v>40</v>
      </c>
      <c r="F2692">
        <v>300.49</v>
      </c>
      <c r="G2692" t="s">
        <v>34</v>
      </c>
      <c r="H2692" s="1">
        <v>45353</v>
      </c>
      <c r="I2692" s="1">
        <v>45364</v>
      </c>
      <c r="J2692" t="s">
        <v>37</v>
      </c>
      <c r="K2692" t="b">
        <f>Table1[[#This Row],[CurrentStock]]&lt;Table1[[#This Row],[ReorderLevel]]</f>
        <v>0</v>
      </c>
      <c r="L2692" s="9">
        <f>Table1[[#This Row],[CurrentStock]]*Table1[[#This Row],[UnitPrice]]</f>
        <v>45974.97</v>
      </c>
      <c r="M2692" t="str">
        <f>IF(Table1[[#This Row],[ReorderLevel]]-Table1[[#This Row],[CurrentStock]]&gt;0,Table1[[#This Row],[ReorderLevel]]-Table1[[#This Row],[CurrentStock]],"")</f>
        <v/>
      </c>
      <c r="N2692" t="str">
        <f>IF(Table1[[#This Row],[CurrentStock]]&gt;Table1[[#This Row],[ReorderLevel]]*3,"Over Stock","Okay")</f>
        <v>Over Stock</v>
      </c>
      <c r="O2692" t="str">
        <f>IF(Table1[[#This Row],[CurrentStock]]&lt;Table1[[#This Row],[ReorderLevel]],"Reorder","Okay")</f>
        <v>Okay</v>
      </c>
    </row>
    <row r="2693" spans="1:15" x14ac:dyDescent="0.3">
      <c r="A2693">
        <v>53534</v>
      </c>
      <c r="B2693" t="s">
        <v>17</v>
      </c>
      <c r="C2693" t="s">
        <v>30</v>
      </c>
      <c r="D2693">
        <v>34</v>
      </c>
      <c r="E2693">
        <v>100</v>
      </c>
      <c r="F2693">
        <v>39.299999999999997</v>
      </c>
      <c r="G2693" t="s">
        <v>35</v>
      </c>
      <c r="H2693" s="1">
        <v>45334</v>
      </c>
      <c r="I2693" s="1">
        <v>45340</v>
      </c>
      <c r="J2693" t="s">
        <v>39</v>
      </c>
      <c r="K2693" t="b">
        <f>Table1[[#This Row],[CurrentStock]]&lt;Table1[[#This Row],[ReorderLevel]]</f>
        <v>1</v>
      </c>
      <c r="L2693" s="9">
        <f>Table1[[#This Row],[CurrentStock]]*Table1[[#This Row],[UnitPrice]]</f>
        <v>1336.1999999999998</v>
      </c>
      <c r="M2693">
        <f>IF(Table1[[#This Row],[ReorderLevel]]-Table1[[#This Row],[CurrentStock]]&gt;0,Table1[[#This Row],[ReorderLevel]]-Table1[[#This Row],[CurrentStock]],"")</f>
        <v>66</v>
      </c>
      <c r="N2693" t="str">
        <f>IF(Table1[[#This Row],[CurrentStock]]&gt;Table1[[#This Row],[ReorderLevel]]*3,"Over Stock","Okay")</f>
        <v>Okay</v>
      </c>
      <c r="O2693" t="str">
        <f>IF(Table1[[#This Row],[CurrentStock]]&lt;Table1[[#This Row],[ReorderLevel]],"Reorder","Okay")</f>
        <v>Reorder</v>
      </c>
    </row>
    <row r="2694" spans="1:15" x14ac:dyDescent="0.3">
      <c r="A2694">
        <v>38022</v>
      </c>
      <c r="B2694" t="s">
        <v>24</v>
      </c>
      <c r="C2694" t="s">
        <v>31</v>
      </c>
      <c r="D2694">
        <v>431</v>
      </c>
      <c r="E2694">
        <v>20</v>
      </c>
      <c r="F2694">
        <v>134.31</v>
      </c>
      <c r="G2694" t="s">
        <v>33</v>
      </c>
      <c r="H2694" s="1">
        <v>45389</v>
      </c>
      <c r="I2694" s="1">
        <v>45420</v>
      </c>
      <c r="J2694" t="s">
        <v>39</v>
      </c>
      <c r="K2694" t="b">
        <f>Table1[[#This Row],[CurrentStock]]&lt;Table1[[#This Row],[ReorderLevel]]</f>
        <v>0</v>
      </c>
      <c r="L2694" s="9">
        <f>Table1[[#This Row],[CurrentStock]]*Table1[[#This Row],[UnitPrice]]</f>
        <v>57887.61</v>
      </c>
      <c r="M2694" t="str">
        <f>IF(Table1[[#This Row],[ReorderLevel]]-Table1[[#This Row],[CurrentStock]]&gt;0,Table1[[#This Row],[ReorderLevel]]-Table1[[#This Row],[CurrentStock]],"")</f>
        <v/>
      </c>
      <c r="N2694" t="str">
        <f>IF(Table1[[#This Row],[CurrentStock]]&gt;Table1[[#This Row],[ReorderLevel]]*3,"Over Stock","Okay")</f>
        <v>Over Stock</v>
      </c>
      <c r="O2694" t="str">
        <f>IF(Table1[[#This Row],[CurrentStock]]&lt;Table1[[#This Row],[ReorderLevel]],"Reorder","Okay")</f>
        <v>Okay</v>
      </c>
    </row>
    <row r="2695" spans="1:15" x14ac:dyDescent="0.3">
      <c r="A2695">
        <v>13909</v>
      </c>
      <c r="B2695" t="s">
        <v>26</v>
      </c>
      <c r="C2695" t="s">
        <v>30</v>
      </c>
      <c r="D2695">
        <v>145</v>
      </c>
      <c r="E2695">
        <v>80</v>
      </c>
      <c r="F2695">
        <v>361.29</v>
      </c>
      <c r="G2695" t="s">
        <v>34</v>
      </c>
      <c r="H2695" s="1">
        <v>45341</v>
      </c>
      <c r="I2695" s="1">
        <v>45365</v>
      </c>
      <c r="J2695" t="s">
        <v>39</v>
      </c>
      <c r="K2695" t="b">
        <f>Table1[[#This Row],[CurrentStock]]&lt;Table1[[#This Row],[ReorderLevel]]</f>
        <v>0</v>
      </c>
      <c r="L2695" s="9">
        <f>Table1[[#This Row],[CurrentStock]]*Table1[[#This Row],[UnitPrice]]</f>
        <v>52387.05</v>
      </c>
      <c r="M2695" t="str">
        <f>IF(Table1[[#This Row],[ReorderLevel]]-Table1[[#This Row],[CurrentStock]]&gt;0,Table1[[#This Row],[ReorderLevel]]-Table1[[#This Row],[CurrentStock]],"")</f>
        <v/>
      </c>
      <c r="N2695" t="str">
        <f>IF(Table1[[#This Row],[CurrentStock]]&gt;Table1[[#This Row],[ReorderLevel]]*3,"Over Stock","Okay")</f>
        <v>Okay</v>
      </c>
      <c r="O2695" t="str">
        <f>IF(Table1[[#This Row],[CurrentStock]]&lt;Table1[[#This Row],[ReorderLevel]],"Reorder","Okay")</f>
        <v>Okay</v>
      </c>
    </row>
    <row r="2696" spans="1:15" x14ac:dyDescent="0.3">
      <c r="A2696">
        <v>41063</v>
      </c>
      <c r="B2696" t="s">
        <v>15</v>
      </c>
      <c r="C2696" t="s">
        <v>29</v>
      </c>
      <c r="D2696">
        <v>159</v>
      </c>
      <c r="E2696">
        <v>30</v>
      </c>
      <c r="F2696">
        <v>56.45</v>
      </c>
      <c r="G2696" t="s">
        <v>36</v>
      </c>
      <c r="H2696" s="1">
        <v>45396</v>
      </c>
      <c r="I2696" s="1">
        <v>45412</v>
      </c>
      <c r="J2696" t="s">
        <v>38</v>
      </c>
      <c r="K2696" t="b">
        <f>Table1[[#This Row],[CurrentStock]]&lt;Table1[[#This Row],[ReorderLevel]]</f>
        <v>0</v>
      </c>
      <c r="L2696" s="9">
        <f>Table1[[#This Row],[CurrentStock]]*Table1[[#This Row],[UnitPrice]]</f>
        <v>8975.5500000000011</v>
      </c>
      <c r="M2696" t="str">
        <f>IF(Table1[[#This Row],[ReorderLevel]]-Table1[[#This Row],[CurrentStock]]&gt;0,Table1[[#This Row],[ReorderLevel]]-Table1[[#This Row],[CurrentStock]],"")</f>
        <v/>
      </c>
      <c r="N2696" t="str">
        <f>IF(Table1[[#This Row],[CurrentStock]]&gt;Table1[[#This Row],[ReorderLevel]]*3,"Over Stock","Okay")</f>
        <v>Over Stock</v>
      </c>
      <c r="O2696" t="str">
        <f>IF(Table1[[#This Row],[CurrentStock]]&lt;Table1[[#This Row],[ReorderLevel]],"Reorder","Okay")</f>
        <v>Okay</v>
      </c>
    </row>
    <row r="2697" spans="1:15" x14ac:dyDescent="0.3">
      <c r="A2697">
        <v>46389</v>
      </c>
      <c r="B2697" t="s">
        <v>19</v>
      </c>
      <c r="C2697" t="s">
        <v>28</v>
      </c>
      <c r="D2697">
        <v>77</v>
      </c>
      <c r="E2697">
        <v>40</v>
      </c>
      <c r="F2697">
        <v>99.94</v>
      </c>
      <c r="G2697" t="s">
        <v>36</v>
      </c>
      <c r="H2697" s="1">
        <v>45563</v>
      </c>
      <c r="I2697" s="1">
        <v>45587</v>
      </c>
      <c r="J2697" t="s">
        <v>39</v>
      </c>
      <c r="K2697" t="b">
        <f>Table1[[#This Row],[CurrentStock]]&lt;Table1[[#This Row],[ReorderLevel]]</f>
        <v>0</v>
      </c>
      <c r="L2697" s="9">
        <f>Table1[[#This Row],[CurrentStock]]*Table1[[#This Row],[UnitPrice]]</f>
        <v>7695.38</v>
      </c>
      <c r="M2697" t="str">
        <f>IF(Table1[[#This Row],[ReorderLevel]]-Table1[[#This Row],[CurrentStock]]&gt;0,Table1[[#This Row],[ReorderLevel]]-Table1[[#This Row],[CurrentStock]],"")</f>
        <v/>
      </c>
      <c r="N2697" t="str">
        <f>IF(Table1[[#This Row],[CurrentStock]]&gt;Table1[[#This Row],[ReorderLevel]]*3,"Over Stock","Okay")</f>
        <v>Okay</v>
      </c>
      <c r="O2697" t="str">
        <f>IF(Table1[[#This Row],[CurrentStock]]&lt;Table1[[#This Row],[ReorderLevel]],"Reorder","Okay")</f>
        <v>Okay</v>
      </c>
    </row>
    <row r="2698" spans="1:15" x14ac:dyDescent="0.3">
      <c r="A2698">
        <v>77777</v>
      </c>
      <c r="B2698" t="s">
        <v>15</v>
      </c>
      <c r="C2698" t="s">
        <v>29</v>
      </c>
      <c r="D2698">
        <v>196</v>
      </c>
      <c r="E2698">
        <v>40</v>
      </c>
      <c r="F2698">
        <v>163.36000000000001</v>
      </c>
      <c r="G2698" t="s">
        <v>32</v>
      </c>
      <c r="H2698" s="1">
        <v>45323</v>
      </c>
      <c r="I2698" s="1">
        <v>45358</v>
      </c>
      <c r="J2698" t="s">
        <v>38</v>
      </c>
      <c r="K2698" t="b">
        <f>Table1[[#This Row],[CurrentStock]]&lt;Table1[[#This Row],[ReorderLevel]]</f>
        <v>0</v>
      </c>
      <c r="L2698" s="9">
        <f>Table1[[#This Row],[CurrentStock]]*Table1[[#This Row],[UnitPrice]]</f>
        <v>32018.560000000001</v>
      </c>
      <c r="M2698" t="str">
        <f>IF(Table1[[#This Row],[ReorderLevel]]-Table1[[#This Row],[CurrentStock]]&gt;0,Table1[[#This Row],[ReorderLevel]]-Table1[[#This Row],[CurrentStock]],"")</f>
        <v/>
      </c>
      <c r="N2698" t="str">
        <f>IF(Table1[[#This Row],[CurrentStock]]&gt;Table1[[#This Row],[ReorderLevel]]*3,"Over Stock","Okay")</f>
        <v>Over Stock</v>
      </c>
      <c r="O2698" t="str">
        <f>IF(Table1[[#This Row],[CurrentStock]]&lt;Table1[[#This Row],[ReorderLevel]],"Reorder","Okay")</f>
        <v>Okay</v>
      </c>
    </row>
    <row r="2699" spans="1:15" x14ac:dyDescent="0.3">
      <c r="A2699">
        <v>94259</v>
      </c>
      <c r="B2699" t="s">
        <v>10</v>
      </c>
      <c r="C2699" t="s">
        <v>27</v>
      </c>
      <c r="D2699">
        <v>455</v>
      </c>
      <c r="E2699">
        <v>80</v>
      </c>
      <c r="F2699">
        <v>182.51</v>
      </c>
      <c r="G2699" t="s">
        <v>32</v>
      </c>
      <c r="H2699" s="1">
        <v>45430</v>
      </c>
      <c r="I2699" s="1">
        <v>45463</v>
      </c>
      <c r="J2699" t="s">
        <v>38</v>
      </c>
      <c r="K2699" t="b">
        <f>Table1[[#This Row],[CurrentStock]]&lt;Table1[[#This Row],[ReorderLevel]]</f>
        <v>0</v>
      </c>
      <c r="L2699" s="9">
        <f>Table1[[#This Row],[CurrentStock]]*Table1[[#This Row],[UnitPrice]]</f>
        <v>83042.05</v>
      </c>
      <c r="M2699" t="str">
        <f>IF(Table1[[#This Row],[ReorderLevel]]-Table1[[#This Row],[CurrentStock]]&gt;0,Table1[[#This Row],[ReorderLevel]]-Table1[[#This Row],[CurrentStock]],"")</f>
        <v/>
      </c>
      <c r="N2699" t="str">
        <f>IF(Table1[[#This Row],[CurrentStock]]&gt;Table1[[#This Row],[ReorderLevel]]*3,"Over Stock","Okay")</f>
        <v>Over Stock</v>
      </c>
      <c r="O2699" t="str">
        <f>IF(Table1[[#This Row],[CurrentStock]]&lt;Table1[[#This Row],[ReorderLevel]],"Reorder","Okay")</f>
        <v>Okay</v>
      </c>
    </row>
    <row r="2700" spans="1:15" x14ac:dyDescent="0.3">
      <c r="A2700">
        <v>17591</v>
      </c>
      <c r="B2700" t="s">
        <v>20</v>
      </c>
      <c r="C2700" t="s">
        <v>29</v>
      </c>
      <c r="D2700">
        <v>468</v>
      </c>
      <c r="E2700">
        <v>30</v>
      </c>
      <c r="F2700">
        <v>473.67</v>
      </c>
      <c r="G2700" t="s">
        <v>35</v>
      </c>
      <c r="H2700" s="1">
        <v>45601</v>
      </c>
      <c r="I2700" s="1">
        <v>45629</v>
      </c>
      <c r="J2700" t="s">
        <v>37</v>
      </c>
      <c r="K2700" t="b">
        <f>Table1[[#This Row],[CurrentStock]]&lt;Table1[[#This Row],[ReorderLevel]]</f>
        <v>0</v>
      </c>
      <c r="L2700" s="9">
        <f>Table1[[#This Row],[CurrentStock]]*Table1[[#This Row],[UnitPrice]]</f>
        <v>221677.56</v>
      </c>
      <c r="M2700" t="str">
        <f>IF(Table1[[#This Row],[ReorderLevel]]-Table1[[#This Row],[CurrentStock]]&gt;0,Table1[[#This Row],[ReorderLevel]]-Table1[[#This Row],[CurrentStock]],"")</f>
        <v/>
      </c>
      <c r="N2700" t="str">
        <f>IF(Table1[[#This Row],[CurrentStock]]&gt;Table1[[#This Row],[ReorderLevel]]*3,"Over Stock","Okay")</f>
        <v>Over Stock</v>
      </c>
      <c r="O2700" t="str">
        <f>IF(Table1[[#This Row],[CurrentStock]]&lt;Table1[[#This Row],[ReorderLevel]],"Reorder","Okay")</f>
        <v>Okay</v>
      </c>
    </row>
    <row r="2701" spans="1:15" x14ac:dyDescent="0.3">
      <c r="A2701">
        <v>72848</v>
      </c>
      <c r="B2701" t="s">
        <v>21</v>
      </c>
      <c r="C2701" t="s">
        <v>31</v>
      </c>
      <c r="D2701">
        <v>11</v>
      </c>
      <c r="E2701">
        <v>80</v>
      </c>
      <c r="F2701">
        <v>399.51</v>
      </c>
      <c r="G2701" t="s">
        <v>32</v>
      </c>
      <c r="H2701" s="1">
        <v>45460</v>
      </c>
      <c r="I2701" s="1">
        <v>45484</v>
      </c>
      <c r="J2701" t="s">
        <v>38</v>
      </c>
      <c r="K2701" t="b">
        <f>Table1[[#This Row],[CurrentStock]]&lt;Table1[[#This Row],[ReorderLevel]]</f>
        <v>1</v>
      </c>
      <c r="L2701" s="9">
        <f>Table1[[#This Row],[CurrentStock]]*Table1[[#This Row],[UnitPrice]]</f>
        <v>4394.6099999999997</v>
      </c>
      <c r="M2701">
        <f>IF(Table1[[#This Row],[ReorderLevel]]-Table1[[#This Row],[CurrentStock]]&gt;0,Table1[[#This Row],[ReorderLevel]]-Table1[[#This Row],[CurrentStock]],"")</f>
        <v>69</v>
      </c>
      <c r="N2701" t="str">
        <f>IF(Table1[[#This Row],[CurrentStock]]&gt;Table1[[#This Row],[ReorderLevel]]*3,"Over Stock","Okay")</f>
        <v>Okay</v>
      </c>
      <c r="O2701" t="str">
        <f>IF(Table1[[#This Row],[CurrentStock]]&lt;Table1[[#This Row],[ReorderLevel]],"Reorder","Okay")</f>
        <v>Reorder</v>
      </c>
    </row>
    <row r="2702" spans="1:15" x14ac:dyDescent="0.3">
      <c r="A2702">
        <v>46123</v>
      </c>
      <c r="B2702" t="s">
        <v>22</v>
      </c>
      <c r="C2702" t="s">
        <v>27</v>
      </c>
      <c r="D2702">
        <v>362</v>
      </c>
      <c r="E2702">
        <v>80</v>
      </c>
      <c r="F2702">
        <v>338.73</v>
      </c>
      <c r="G2702" t="s">
        <v>35</v>
      </c>
      <c r="H2702" s="1">
        <v>45307</v>
      </c>
      <c r="I2702" s="1">
        <v>45342</v>
      </c>
      <c r="J2702" t="s">
        <v>38</v>
      </c>
      <c r="K2702" t="b">
        <f>Table1[[#This Row],[CurrentStock]]&lt;Table1[[#This Row],[ReorderLevel]]</f>
        <v>0</v>
      </c>
      <c r="L2702" s="9">
        <f>Table1[[#This Row],[CurrentStock]]*Table1[[#This Row],[UnitPrice]]</f>
        <v>122620.26000000001</v>
      </c>
      <c r="M2702" t="str">
        <f>IF(Table1[[#This Row],[ReorderLevel]]-Table1[[#This Row],[CurrentStock]]&gt;0,Table1[[#This Row],[ReorderLevel]]-Table1[[#This Row],[CurrentStock]],"")</f>
        <v/>
      </c>
      <c r="N2702" t="str">
        <f>IF(Table1[[#This Row],[CurrentStock]]&gt;Table1[[#This Row],[ReorderLevel]]*3,"Over Stock","Okay")</f>
        <v>Over Stock</v>
      </c>
      <c r="O2702" t="str">
        <f>IF(Table1[[#This Row],[CurrentStock]]&lt;Table1[[#This Row],[ReorderLevel]],"Reorder","Okay")</f>
        <v>Okay</v>
      </c>
    </row>
    <row r="2703" spans="1:15" x14ac:dyDescent="0.3">
      <c r="A2703">
        <v>56814</v>
      </c>
      <c r="B2703" t="s">
        <v>13</v>
      </c>
      <c r="C2703" t="s">
        <v>29</v>
      </c>
      <c r="D2703">
        <v>26</v>
      </c>
      <c r="E2703">
        <v>50</v>
      </c>
      <c r="F2703">
        <v>206.45</v>
      </c>
      <c r="G2703" t="s">
        <v>33</v>
      </c>
      <c r="H2703" s="1">
        <v>45398</v>
      </c>
      <c r="I2703" s="1">
        <v>45431</v>
      </c>
      <c r="J2703" t="s">
        <v>39</v>
      </c>
      <c r="K2703" t="b">
        <f>Table1[[#This Row],[CurrentStock]]&lt;Table1[[#This Row],[ReorderLevel]]</f>
        <v>1</v>
      </c>
      <c r="L2703" s="9">
        <f>Table1[[#This Row],[CurrentStock]]*Table1[[#This Row],[UnitPrice]]</f>
        <v>5367.7</v>
      </c>
      <c r="M2703">
        <f>IF(Table1[[#This Row],[ReorderLevel]]-Table1[[#This Row],[CurrentStock]]&gt;0,Table1[[#This Row],[ReorderLevel]]-Table1[[#This Row],[CurrentStock]],"")</f>
        <v>24</v>
      </c>
      <c r="N2703" t="str">
        <f>IF(Table1[[#This Row],[CurrentStock]]&gt;Table1[[#This Row],[ReorderLevel]]*3,"Over Stock","Okay")</f>
        <v>Okay</v>
      </c>
      <c r="O2703" t="str">
        <f>IF(Table1[[#This Row],[CurrentStock]]&lt;Table1[[#This Row],[ReorderLevel]],"Reorder","Okay")</f>
        <v>Reorder</v>
      </c>
    </row>
    <row r="2704" spans="1:15" x14ac:dyDescent="0.3">
      <c r="A2704">
        <v>81713</v>
      </c>
      <c r="B2704" t="s">
        <v>24</v>
      </c>
      <c r="C2704" t="s">
        <v>31</v>
      </c>
      <c r="D2704">
        <v>90</v>
      </c>
      <c r="E2704">
        <v>30</v>
      </c>
      <c r="F2704">
        <v>156.09</v>
      </c>
      <c r="G2704" t="s">
        <v>32</v>
      </c>
      <c r="H2704" s="1">
        <v>45315</v>
      </c>
      <c r="I2704" s="1">
        <v>45324</v>
      </c>
      <c r="J2704" t="s">
        <v>39</v>
      </c>
      <c r="K2704" t="b">
        <f>Table1[[#This Row],[CurrentStock]]&lt;Table1[[#This Row],[ReorderLevel]]</f>
        <v>0</v>
      </c>
      <c r="L2704" s="9">
        <f>Table1[[#This Row],[CurrentStock]]*Table1[[#This Row],[UnitPrice]]</f>
        <v>14048.1</v>
      </c>
      <c r="M2704" t="str">
        <f>IF(Table1[[#This Row],[ReorderLevel]]-Table1[[#This Row],[CurrentStock]]&gt;0,Table1[[#This Row],[ReorderLevel]]-Table1[[#This Row],[CurrentStock]],"")</f>
        <v/>
      </c>
      <c r="N2704" t="str">
        <f>IF(Table1[[#This Row],[CurrentStock]]&gt;Table1[[#This Row],[ReorderLevel]]*3,"Over Stock","Okay")</f>
        <v>Okay</v>
      </c>
      <c r="O2704" t="str">
        <f>IF(Table1[[#This Row],[CurrentStock]]&lt;Table1[[#This Row],[ReorderLevel]],"Reorder","Okay")</f>
        <v>Okay</v>
      </c>
    </row>
    <row r="2705" spans="1:15" x14ac:dyDescent="0.3">
      <c r="A2705">
        <v>16639</v>
      </c>
      <c r="B2705" t="s">
        <v>19</v>
      </c>
      <c r="C2705" t="s">
        <v>28</v>
      </c>
      <c r="D2705">
        <v>399</v>
      </c>
      <c r="E2705">
        <v>50</v>
      </c>
      <c r="F2705">
        <v>417.6</v>
      </c>
      <c r="G2705" t="s">
        <v>32</v>
      </c>
      <c r="H2705" s="1">
        <v>45517</v>
      </c>
      <c r="I2705" s="1">
        <v>45532</v>
      </c>
      <c r="J2705" t="s">
        <v>39</v>
      </c>
      <c r="K2705" t="b">
        <f>Table1[[#This Row],[CurrentStock]]&lt;Table1[[#This Row],[ReorderLevel]]</f>
        <v>0</v>
      </c>
      <c r="L2705" s="9">
        <f>Table1[[#This Row],[CurrentStock]]*Table1[[#This Row],[UnitPrice]]</f>
        <v>166622.40000000002</v>
      </c>
      <c r="M2705" t="str">
        <f>IF(Table1[[#This Row],[ReorderLevel]]-Table1[[#This Row],[CurrentStock]]&gt;0,Table1[[#This Row],[ReorderLevel]]-Table1[[#This Row],[CurrentStock]],"")</f>
        <v/>
      </c>
      <c r="N2705" t="str">
        <f>IF(Table1[[#This Row],[CurrentStock]]&gt;Table1[[#This Row],[ReorderLevel]]*3,"Over Stock","Okay")</f>
        <v>Over Stock</v>
      </c>
      <c r="O2705" t="str">
        <f>IF(Table1[[#This Row],[CurrentStock]]&lt;Table1[[#This Row],[ReorderLevel]],"Reorder","Okay")</f>
        <v>Okay</v>
      </c>
    </row>
    <row r="2706" spans="1:15" x14ac:dyDescent="0.3">
      <c r="A2706">
        <v>67148</v>
      </c>
      <c r="B2706" t="s">
        <v>17</v>
      </c>
      <c r="C2706" t="s">
        <v>30</v>
      </c>
      <c r="D2706">
        <v>309</v>
      </c>
      <c r="E2706">
        <v>100</v>
      </c>
      <c r="F2706">
        <v>132.62</v>
      </c>
      <c r="G2706" t="s">
        <v>34</v>
      </c>
      <c r="H2706" s="1">
        <v>45518</v>
      </c>
      <c r="I2706" s="1">
        <v>45532</v>
      </c>
      <c r="J2706" t="s">
        <v>37</v>
      </c>
      <c r="K2706" t="b">
        <f>Table1[[#This Row],[CurrentStock]]&lt;Table1[[#This Row],[ReorderLevel]]</f>
        <v>0</v>
      </c>
      <c r="L2706" s="9">
        <f>Table1[[#This Row],[CurrentStock]]*Table1[[#This Row],[UnitPrice]]</f>
        <v>40979.58</v>
      </c>
      <c r="M2706" t="str">
        <f>IF(Table1[[#This Row],[ReorderLevel]]-Table1[[#This Row],[CurrentStock]]&gt;0,Table1[[#This Row],[ReorderLevel]]-Table1[[#This Row],[CurrentStock]],"")</f>
        <v/>
      </c>
      <c r="N2706" t="str">
        <f>IF(Table1[[#This Row],[CurrentStock]]&gt;Table1[[#This Row],[ReorderLevel]]*3,"Over Stock","Okay")</f>
        <v>Over Stock</v>
      </c>
      <c r="O2706" t="str">
        <f>IF(Table1[[#This Row],[CurrentStock]]&lt;Table1[[#This Row],[ReorderLevel]],"Reorder","Okay")</f>
        <v>Okay</v>
      </c>
    </row>
    <row r="2707" spans="1:15" x14ac:dyDescent="0.3">
      <c r="A2707">
        <v>32791</v>
      </c>
      <c r="B2707" t="s">
        <v>16</v>
      </c>
      <c r="C2707" t="s">
        <v>30</v>
      </c>
      <c r="D2707">
        <v>25</v>
      </c>
      <c r="E2707">
        <v>80</v>
      </c>
      <c r="F2707">
        <v>247.29</v>
      </c>
      <c r="G2707" t="s">
        <v>35</v>
      </c>
      <c r="H2707" s="1">
        <v>45457</v>
      </c>
      <c r="I2707" s="1">
        <v>45467</v>
      </c>
      <c r="J2707" t="s">
        <v>39</v>
      </c>
      <c r="K2707" t="b">
        <f>Table1[[#This Row],[CurrentStock]]&lt;Table1[[#This Row],[ReorderLevel]]</f>
        <v>1</v>
      </c>
      <c r="L2707" s="9">
        <f>Table1[[#This Row],[CurrentStock]]*Table1[[#This Row],[UnitPrice]]</f>
        <v>6182.25</v>
      </c>
      <c r="M2707">
        <f>IF(Table1[[#This Row],[ReorderLevel]]-Table1[[#This Row],[CurrentStock]]&gt;0,Table1[[#This Row],[ReorderLevel]]-Table1[[#This Row],[CurrentStock]],"")</f>
        <v>55</v>
      </c>
      <c r="N2707" t="str">
        <f>IF(Table1[[#This Row],[CurrentStock]]&gt;Table1[[#This Row],[ReorderLevel]]*3,"Over Stock","Okay")</f>
        <v>Okay</v>
      </c>
      <c r="O2707" t="str">
        <f>IF(Table1[[#This Row],[CurrentStock]]&lt;Table1[[#This Row],[ReorderLevel]],"Reorder","Okay")</f>
        <v>Reorder</v>
      </c>
    </row>
    <row r="2708" spans="1:15" x14ac:dyDescent="0.3">
      <c r="A2708">
        <v>72309</v>
      </c>
      <c r="B2708" t="s">
        <v>25</v>
      </c>
      <c r="C2708" t="s">
        <v>31</v>
      </c>
      <c r="D2708">
        <v>325</v>
      </c>
      <c r="E2708">
        <v>30</v>
      </c>
      <c r="F2708">
        <v>328.82</v>
      </c>
      <c r="G2708" t="s">
        <v>35</v>
      </c>
      <c r="H2708" s="1">
        <v>45456</v>
      </c>
      <c r="I2708" s="1">
        <v>45475</v>
      </c>
      <c r="J2708" t="s">
        <v>37</v>
      </c>
      <c r="K2708" t="b">
        <f>Table1[[#This Row],[CurrentStock]]&lt;Table1[[#This Row],[ReorderLevel]]</f>
        <v>0</v>
      </c>
      <c r="L2708" s="9">
        <f>Table1[[#This Row],[CurrentStock]]*Table1[[#This Row],[UnitPrice]]</f>
        <v>106866.5</v>
      </c>
      <c r="M2708" t="str">
        <f>IF(Table1[[#This Row],[ReorderLevel]]-Table1[[#This Row],[CurrentStock]]&gt;0,Table1[[#This Row],[ReorderLevel]]-Table1[[#This Row],[CurrentStock]],"")</f>
        <v/>
      </c>
      <c r="N2708" t="str">
        <f>IF(Table1[[#This Row],[CurrentStock]]&gt;Table1[[#This Row],[ReorderLevel]]*3,"Over Stock","Okay")</f>
        <v>Over Stock</v>
      </c>
      <c r="O2708" t="str">
        <f>IF(Table1[[#This Row],[CurrentStock]]&lt;Table1[[#This Row],[ReorderLevel]],"Reorder","Okay")</f>
        <v>Okay</v>
      </c>
    </row>
    <row r="2709" spans="1:15" x14ac:dyDescent="0.3">
      <c r="A2709">
        <v>83839</v>
      </c>
      <c r="B2709" t="s">
        <v>24</v>
      </c>
      <c r="C2709" t="s">
        <v>31</v>
      </c>
      <c r="D2709">
        <v>413</v>
      </c>
      <c r="E2709">
        <v>50</v>
      </c>
      <c r="F2709">
        <v>81.31</v>
      </c>
      <c r="G2709" t="s">
        <v>33</v>
      </c>
      <c r="H2709" s="1">
        <v>45292</v>
      </c>
      <c r="I2709" s="1">
        <v>45312</v>
      </c>
      <c r="J2709" t="s">
        <v>39</v>
      </c>
      <c r="K2709" t="b">
        <f>Table1[[#This Row],[CurrentStock]]&lt;Table1[[#This Row],[ReorderLevel]]</f>
        <v>0</v>
      </c>
      <c r="L2709" s="9">
        <f>Table1[[#This Row],[CurrentStock]]*Table1[[#This Row],[UnitPrice]]</f>
        <v>33581.03</v>
      </c>
      <c r="M2709" t="str">
        <f>IF(Table1[[#This Row],[ReorderLevel]]-Table1[[#This Row],[CurrentStock]]&gt;0,Table1[[#This Row],[ReorderLevel]]-Table1[[#This Row],[CurrentStock]],"")</f>
        <v/>
      </c>
      <c r="N2709" t="str">
        <f>IF(Table1[[#This Row],[CurrentStock]]&gt;Table1[[#This Row],[ReorderLevel]]*3,"Over Stock","Okay")</f>
        <v>Over Stock</v>
      </c>
      <c r="O2709" t="str">
        <f>IF(Table1[[#This Row],[CurrentStock]]&lt;Table1[[#This Row],[ReorderLevel]],"Reorder","Okay")</f>
        <v>Okay</v>
      </c>
    </row>
    <row r="2710" spans="1:15" x14ac:dyDescent="0.3">
      <c r="A2710">
        <v>98560</v>
      </c>
      <c r="B2710" t="s">
        <v>22</v>
      </c>
      <c r="C2710" t="s">
        <v>27</v>
      </c>
      <c r="D2710">
        <v>98</v>
      </c>
      <c r="E2710">
        <v>150</v>
      </c>
      <c r="F2710">
        <v>316</v>
      </c>
      <c r="G2710" t="s">
        <v>36</v>
      </c>
      <c r="H2710" s="1">
        <v>45327</v>
      </c>
      <c r="I2710" s="1">
        <v>45335</v>
      </c>
      <c r="J2710" t="s">
        <v>37</v>
      </c>
      <c r="K2710" t="b">
        <f>Table1[[#This Row],[CurrentStock]]&lt;Table1[[#This Row],[ReorderLevel]]</f>
        <v>1</v>
      </c>
      <c r="L2710" s="9">
        <f>Table1[[#This Row],[CurrentStock]]*Table1[[#This Row],[UnitPrice]]</f>
        <v>30968</v>
      </c>
      <c r="M2710">
        <f>IF(Table1[[#This Row],[ReorderLevel]]-Table1[[#This Row],[CurrentStock]]&gt;0,Table1[[#This Row],[ReorderLevel]]-Table1[[#This Row],[CurrentStock]],"")</f>
        <v>52</v>
      </c>
      <c r="N2710" t="str">
        <f>IF(Table1[[#This Row],[CurrentStock]]&gt;Table1[[#This Row],[ReorderLevel]]*3,"Over Stock","Okay")</f>
        <v>Okay</v>
      </c>
      <c r="O2710" t="str">
        <f>IF(Table1[[#This Row],[CurrentStock]]&lt;Table1[[#This Row],[ReorderLevel]],"Reorder","Okay")</f>
        <v>Reorder</v>
      </c>
    </row>
    <row r="2711" spans="1:15" x14ac:dyDescent="0.3">
      <c r="A2711">
        <v>97095</v>
      </c>
      <c r="B2711" t="s">
        <v>19</v>
      </c>
      <c r="C2711" t="s">
        <v>28</v>
      </c>
      <c r="D2711">
        <v>428</v>
      </c>
      <c r="E2711">
        <v>150</v>
      </c>
      <c r="F2711">
        <v>136.74</v>
      </c>
      <c r="G2711" t="s">
        <v>32</v>
      </c>
      <c r="H2711" s="1">
        <v>45373</v>
      </c>
      <c r="I2711" s="1">
        <v>45391</v>
      </c>
      <c r="J2711" t="s">
        <v>39</v>
      </c>
      <c r="K2711" t="b">
        <f>Table1[[#This Row],[CurrentStock]]&lt;Table1[[#This Row],[ReorderLevel]]</f>
        <v>0</v>
      </c>
      <c r="L2711" s="9">
        <f>Table1[[#This Row],[CurrentStock]]*Table1[[#This Row],[UnitPrice]]</f>
        <v>58524.72</v>
      </c>
      <c r="M2711" t="str">
        <f>IF(Table1[[#This Row],[ReorderLevel]]-Table1[[#This Row],[CurrentStock]]&gt;0,Table1[[#This Row],[ReorderLevel]]-Table1[[#This Row],[CurrentStock]],"")</f>
        <v/>
      </c>
      <c r="N2711" t="str">
        <f>IF(Table1[[#This Row],[CurrentStock]]&gt;Table1[[#This Row],[ReorderLevel]]*3,"Over Stock","Okay")</f>
        <v>Okay</v>
      </c>
      <c r="O2711" t="str">
        <f>IF(Table1[[#This Row],[CurrentStock]]&lt;Table1[[#This Row],[ReorderLevel]],"Reorder","Okay")</f>
        <v>Okay</v>
      </c>
    </row>
    <row r="2712" spans="1:15" x14ac:dyDescent="0.3">
      <c r="A2712">
        <v>22822</v>
      </c>
      <c r="B2712" t="s">
        <v>25</v>
      </c>
      <c r="C2712" t="s">
        <v>31</v>
      </c>
      <c r="D2712">
        <v>347</v>
      </c>
      <c r="E2712">
        <v>100</v>
      </c>
      <c r="F2712">
        <v>489.03</v>
      </c>
      <c r="G2712" t="s">
        <v>34</v>
      </c>
      <c r="H2712" s="1">
        <v>45437</v>
      </c>
      <c r="I2712" s="1">
        <v>45455</v>
      </c>
      <c r="J2712" t="s">
        <v>39</v>
      </c>
      <c r="K2712" t="b">
        <f>Table1[[#This Row],[CurrentStock]]&lt;Table1[[#This Row],[ReorderLevel]]</f>
        <v>0</v>
      </c>
      <c r="L2712" s="9">
        <f>Table1[[#This Row],[CurrentStock]]*Table1[[#This Row],[UnitPrice]]</f>
        <v>169693.41</v>
      </c>
      <c r="M2712" t="str">
        <f>IF(Table1[[#This Row],[ReorderLevel]]-Table1[[#This Row],[CurrentStock]]&gt;0,Table1[[#This Row],[ReorderLevel]]-Table1[[#This Row],[CurrentStock]],"")</f>
        <v/>
      </c>
      <c r="N2712" t="str">
        <f>IF(Table1[[#This Row],[CurrentStock]]&gt;Table1[[#This Row],[ReorderLevel]]*3,"Over Stock","Okay")</f>
        <v>Over Stock</v>
      </c>
      <c r="O2712" t="str">
        <f>IF(Table1[[#This Row],[CurrentStock]]&lt;Table1[[#This Row],[ReorderLevel]],"Reorder","Okay")</f>
        <v>Okay</v>
      </c>
    </row>
    <row r="2713" spans="1:15" x14ac:dyDescent="0.3">
      <c r="A2713">
        <v>49884</v>
      </c>
      <c r="B2713" t="s">
        <v>23</v>
      </c>
      <c r="C2713" t="s">
        <v>30</v>
      </c>
      <c r="D2713">
        <v>27</v>
      </c>
      <c r="E2713">
        <v>40</v>
      </c>
      <c r="F2713">
        <v>197.18</v>
      </c>
      <c r="G2713" t="s">
        <v>34</v>
      </c>
      <c r="H2713" s="1">
        <v>45391</v>
      </c>
      <c r="I2713" s="1">
        <v>45426</v>
      </c>
      <c r="J2713" t="s">
        <v>37</v>
      </c>
      <c r="K2713" t="b">
        <f>Table1[[#This Row],[CurrentStock]]&lt;Table1[[#This Row],[ReorderLevel]]</f>
        <v>1</v>
      </c>
      <c r="L2713" s="9">
        <f>Table1[[#This Row],[CurrentStock]]*Table1[[#This Row],[UnitPrice]]</f>
        <v>5323.8600000000006</v>
      </c>
      <c r="M2713">
        <f>IF(Table1[[#This Row],[ReorderLevel]]-Table1[[#This Row],[CurrentStock]]&gt;0,Table1[[#This Row],[ReorderLevel]]-Table1[[#This Row],[CurrentStock]],"")</f>
        <v>13</v>
      </c>
      <c r="N2713" t="str">
        <f>IF(Table1[[#This Row],[CurrentStock]]&gt;Table1[[#This Row],[ReorderLevel]]*3,"Over Stock","Okay")</f>
        <v>Okay</v>
      </c>
      <c r="O2713" t="str">
        <f>IF(Table1[[#This Row],[CurrentStock]]&lt;Table1[[#This Row],[ReorderLevel]],"Reorder","Okay")</f>
        <v>Reorder</v>
      </c>
    </row>
    <row r="2714" spans="1:15" x14ac:dyDescent="0.3">
      <c r="A2714">
        <v>27428</v>
      </c>
      <c r="B2714" t="s">
        <v>22</v>
      </c>
      <c r="C2714" t="s">
        <v>27</v>
      </c>
      <c r="D2714">
        <v>124</v>
      </c>
      <c r="E2714">
        <v>150</v>
      </c>
      <c r="F2714">
        <v>252.32</v>
      </c>
      <c r="G2714" t="s">
        <v>34</v>
      </c>
      <c r="H2714" s="1">
        <v>45453</v>
      </c>
      <c r="I2714" s="1">
        <v>45489</v>
      </c>
      <c r="J2714" t="s">
        <v>39</v>
      </c>
      <c r="K2714" t="b">
        <f>Table1[[#This Row],[CurrentStock]]&lt;Table1[[#This Row],[ReorderLevel]]</f>
        <v>1</v>
      </c>
      <c r="L2714" s="9">
        <f>Table1[[#This Row],[CurrentStock]]*Table1[[#This Row],[UnitPrice]]</f>
        <v>31287.68</v>
      </c>
      <c r="M2714">
        <f>IF(Table1[[#This Row],[ReorderLevel]]-Table1[[#This Row],[CurrentStock]]&gt;0,Table1[[#This Row],[ReorderLevel]]-Table1[[#This Row],[CurrentStock]],"")</f>
        <v>26</v>
      </c>
      <c r="N2714" t="str">
        <f>IF(Table1[[#This Row],[CurrentStock]]&gt;Table1[[#This Row],[ReorderLevel]]*3,"Over Stock","Okay")</f>
        <v>Okay</v>
      </c>
      <c r="O2714" t="str">
        <f>IF(Table1[[#This Row],[CurrentStock]]&lt;Table1[[#This Row],[ReorderLevel]],"Reorder","Okay")</f>
        <v>Reorder</v>
      </c>
    </row>
    <row r="2715" spans="1:15" x14ac:dyDescent="0.3">
      <c r="A2715">
        <v>21679</v>
      </c>
      <c r="B2715" t="s">
        <v>15</v>
      </c>
      <c r="C2715" t="s">
        <v>29</v>
      </c>
      <c r="D2715">
        <v>430</v>
      </c>
      <c r="E2715">
        <v>80</v>
      </c>
      <c r="F2715">
        <v>351.69</v>
      </c>
      <c r="G2715" t="s">
        <v>34</v>
      </c>
      <c r="H2715" s="1">
        <v>45332</v>
      </c>
      <c r="I2715" s="1">
        <v>45347</v>
      </c>
      <c r="J2715" t="s">
        <v>38</v>
      </c>
      <c r="K2715" t="b">
        <f>Table1[[#This Row],[CurrentStock]]&lt;Table1[[#This Row],[ReorderLevel]]</f>
        <v>0</v>
      </c>
      <c r="L2715" s="9">
        <f>Table1[[#This Row],[CurrentStock]]*Table1[[#This Row],[UnitPrice]]</f>
        <v>151226.70000000001</v>
      </c>
      <c r="M2715" t="str">
        <f>IF(Table1[[#This Row],[ReorderLevel]]-Table1[[#This Row],[CurrentStock]]&gt;0,Table1[[#This Row],[ReorderLevel]]-Table1[[#This Row],[CurrentStock]],"")</f>
        <v/>
      </c>
      <c r="N2715" t="str">
        <f>IF(Table1[[#This Row],[CurrentStock]]&gt;Table1[[#This Row],[ReorderLevel]]*3,"Over Stock","Okay")</f>
        <v>Over Stock</v>
      </c>
      <c r="O2715" t="str">
        <f>IF(Table1[[#This Row],[CurrentStock]]&lt;Table1[[#This Row],[ReorderLevel]],"Reorder","Okay")</f>
        <v>Okay</v>
      </c>
    </row>
    <row r="2716" spans="1:15" x14ac:dyDescent="0.3">
      <c r="A2716">
        <v>60486</v>
      </c>
      <c r="B2716" t="s">
        <v>13</v>
      </c>
      <c r="C2716" t="s">
        <v>29</v>
      </c>
      <c r="D2716">
        <v>16</v>
      </c>
      <c r="E2716">
        <v>20</v>
      </c>
      <c r="F2716">
        <v>251.22</v>
      </c>
      <c r="G2716" t="s">
        <v>35</v>
      </c>
      <c r="H2716" s="1">
        <v>45633</v>
      </c>
      <c r="I2716" s="1">
        <v>45672</v>
      </c>
      <c r="J2716" t="s">
        <v>37</v>
      </c>
      <c r="K2716" t="b">
        <f>Table1[[#This Row],[CurrentStock]]&lt;Table1[[#This Row],[ReorderLevel]]</f>
        <v>1</v>
      </c>
      <c r="L2716" s="9">
        <f>Table1[[#This Row],[CurrentStock]]*Table1[[#This Row],[UnitPrice]]</f>
        <v>4019.52</v>
      </c>
      <c r="M2716">
        <f>IF(Table1[[#This Row],[ReorderLevel]]-Table1[[#This Row],[CurrentStock]]&gt;0,Table1[[#This Row],[ReorderLevel]]-Table1[[#This Row],[CurrentStock]],"")</f>
        <v>4</v>
      </c>
      <c r="N2716" t="str">
        <f>IF(Table1[[#This Row],[CurrentStock]]&gt;Table1[[#This Row],[ReorderLevel]]*3,"Over Stock","Okay")</f>
        <v>Okay</v>
      </c>
      <c r="O2716" t="str">
        <f>IF(Table1[[#This Row],[CurrentStock]]&lt;Table1[[#This Row],[ReorderLevel]],"Reorder","Okay")</f>
        <v>Reorder</v>
      </c>
    </row>
    <row r="2717" spans="1:15" x14ac:dyDescent="0.3">
      <c r="A2717">
        <v>15403</v>
      </c>
      <c r="B2717" t="s">
        <v>26</v>
      </c>
      <c r="C2717" t="s">
        <v>30</v>
      </c>
      <c r="D2717">
        <v>182</v>
      </c>
      <c r="E2717">
        <v>20</v>
      </c>
      <c r="F2717">
        <v>209.7</v>
      </c>
      <c r="G2717" t="s">
        <v>36</v>
      </c>
      <c r="H2717" s="1">
        <v>45338</v>
      </c>
      <c r="I2717" s="1">
        <v>45374</v>
      </c>
      <c r="J2717" t="s">
        <v>38</v>
      </c>
      <c r="K2717" t="b">
        <f>Table1[[#This Row],[CurrentStock]]&lt;Table1[[#This Row],[ReorderLevel]]</f>
        <v>0</v>
      </c>
      <c r="L2717" s="9">
        <f>Table1[[#This Row],[CurrentStock]]*Table1[[#This Row],[UnitPrice]]</f>
        <v>38165.4</v>
      </c>
      <c r="M2717" t="str">
        <f>IF(Table1[[#This Row],[ReorderLevel]]-Table1[[#This Row],[CurrentStock]]&gt;0,Table1[[#This Row],[ReorderLevel]]-Table1[[#This Row],[CurrentStock]],"")</f>
        <v/>
      </c>
      <c r="N2717" t="str">
        <f>IF(Table1[[#This Row],[CurrentStock]]&gt;Table1[[#This Row],[ReorderLevel]]*3,"Over Stock","Okay")</f>
        <v>Over Stock</v>
      </c>
      <c r="O2717" t="str">
        <f>IF(Table1[[#This Row],[CurrentStock]]&lt;Table1[[#This Row],[ReorderLevel]],"Reorder","Okay")</f>
        <v>Okay</v>
      </c>
    </row>
    <row r="2718" spans="1:15" x14ac:dyDescent="0.3">
      <c r="A2718">
        <v>20988</v>
      </c>
      <c r="B2718" t="s">
        <v>14</v>
      </c>
      <c r="C2718" t="s">
        <v>27</v>
      </c>
      <c r="D2718">
        <v>86</v>
      </c>
      <c r="E2718">
        <v>30</v>
      </c>
      <c r="F2718">
        <v>356.02</v>
      </c>
      <c r="G2718" t="s">
        <v>34</v>
      </c>
      <c r="H2718" s="1">
        <v>45572</v>
      </c>
      <c r="I2718" s="1">
        <v>45609</v>
      </c>
      <c r="J2718" t="s">
        <v>38</v>
      </c>
      <c r="K2718" t="b">
        <f>Table1[[#This Row],[CurrentStock]]&lt;Table1[[#This Row],[ReorderLevel]]</f>
        <v>0</v>
      </c>
      <c r="L2718" s="9">
        <f>Table1[[#This Row],[CurrentStock]]*Table1[[#This Row],[UnitPrice]]</f>
        <v>30617.719999999998</v>
      </c>
      <c r="M2718" t="str">
        <f>IF(Table1[[#This Row],[ReorderLevel]]-Table1[[#This Row],[CurrentStock]]&gt;0,Table1[[#This Row],[ReorderLevel]]-Table1[[#This Row],[CurrentStock]],"")</f>
        <v/>
      </c>
      <c r="N2718" t="str">
        <f>IF(Table1[[#This Row],[CurrentStock]]&gt;Table1[[#This Row],[ReorderLevel]]*3,"Over Stock","Okay")</f>
        <v>Okay</v>
      </c>
      <c r="O2718" t="str">
        <f>IF(Table1[[#This Row],[CurrentStock]]&lt;Table1[[#This Row],[ReorderLevel]],"Reorder","Okay")</f>
        <v>Okay</v>
      </c>
    </row>
    <row r="2719" spans="1:15" x14ac:dyDescent="0.3">
      <c r="A2719">
        <v>41051</v>
      </c>
      <c r="B2719" t="s">
        <v>12</v>
      </c>
      <c r="C2719" t="s">
        <v>28</v>
      </c>
      <c r="D2719">
        <v>367</v>
      </c>
      <c r="E2719">
        <v>100</v>
      </c>
      <c r="F2719">
        <v>291.67</v>
      </c>
      <c r="G2719" t="s">
        <v>34</v>
      </c>
      <c r="H2719" s="1">
        <v>45412</v>
      </c>
      <c r="I2719" s="1">
        <v>45433</v>
      </c>
      <c r="J2719" t="s">
        <v>39</v>
      </c>
      <c r="K2719" t="b">
        <f>Table1[[#This Row],[CurrentStock]]&lt;Table1[[#This Row],[ReorderLevel]]</f>
        <v>0</v>
      </c>
      <c r="L2719" s="9">
        <f>Table1[[#This Row],[CurrentStock]]*Table1[[#This Row],[UnitPrice]]</f>
        <v>107042.89</v>
      </c>
      <c r="M2719" t="str">
        <f>IF(Table1[[#This Row],[ReorderLevel]]-Table1[[#This Row],[CurrentStock]]&gt;0,Table1[[#This Row],[ReorderLevel]]-Table1[[#This Row],[CurrentStock]],"")</f>
        <v/>
      </c>
      <c r="N2719" t="str">
        <f>IF(Table1[[#This Row],[CurrentStock]]&gt;Table1[[#This Row],[ReorderLevel]]*3,"Over Stock","Okay")</f>
        <v>Over Stock</v>
      </c>
      <c r="O2719" t="str">
        <f>IF(Table1[[#This Row],[CurrentStock]]&lt;Table1[[#This Row],[ReorderLevel]],"Reorder","Okay")</f>
        <v>Okay</v>
      </c>
    </row>
    <row r="2720" spans="1:15" x14ac:dyDescent="0.3">
      <c r="A2720">
        <v>53406</v>
      </c>
      <c r="B2720" t="s">
        <v>15</v>
      </c>
      <c r="C2720" t="s">
        <v>29</v>
      </c>
      <c r="D2720">
        <v>276</v>
      </c>
      <c r="E2720">
        <v>80</v>
      </c>
      <c r="F2720">
        <v>358.81</v>
      </c>
      <c r="G2720" t="s">
        <v>32</v>
      </c>
      <c r="H2720" s="1">
        <v>45472</v>
      </c>
      <c r="I2720" s="1">
        <v>45497</v>
      </c>
      <c r="J2720" t="s">
        <v>39</v>
      </c>
      <c r="K2720" t="b">
        <f>Table1[[#This Row],[CurrentStock]]&lt;Table1[[#This Row],[ReorderLevel]]</f>
        <v>0</v>
      </c>
      <c r="L2720" s="9">
        <f>Table1[[#This Row],[CurrentStock]]*Table1[[#This Row],[UnitPrice]]</f>
        <v>99031.56</v>
      </c>
      <c r="M2720" t="str">
        <f>IF(Table1[[#This Row],[ReorderLevel]]-Table1[[#This Row],[CurrentStock]]&gt;0,Table1[[#This Row],[ReorderLevel]]-Table1[[#This Row],[CurrentStock]],"")</f>
        <v/>
      </c>
      <c r="N2720" t="str">
        <f>IF(Table1[[#This Row],[CurrentStock]]&gt;Table1[[#This Row],[ReorderLevel]]*3,"Over Stock","Okay")</f>
        <v>Over Stock</v>
      </c>
      <c r="O2720" t="str">
        <f>IF(Table1[[#This Row],[CurrentStock]]&lt;Table1[[#This Row],[ReorderLevel]],"Reorder","Okay")</f>
        <v>Okay</v>
      </c>
    </row>
    <row r="2721" spans="1:15" x14ac:dyDescent="0.3">
      <c r="A2721">
        <v>67254</v>
      </c>
      <c r="B2721" t="s">
        <v>25</v>
      </c>
      <c r="C2721" t="s">
        <v>31</v>
      </c>
      <c r="D2721">
        <v>383</v>
      </c>
      <c r="E2721">
        <v>150</v>
      </c>
      <c r="F2721">
        <v>200.3</v>
      </c>
      <c r="G2721" t="s">
        <v>33</v>
      </c>
      <c r="H2721" s="1">
        <v>45317</v>
      </c>
      <c r="I2721" s="1">
        <v>45323</v>
      </c>
      <c r="J2721" t="s">
        <v>38</v>
      </c>
      <c r="K2721" t="b">
        <f>Table1[[#This Row],[CurrentStock]]&lt;Table1[[#This Row],[ReorderLevel]]</f>
        <v>0</v>
      </c>
      <c r="L2721" s="9">
        <f>Table1[[#This Row],[CurrentStock]]*Table1[[#This Row],[UnitPrice]]</f>
        <v>76714.900000000009</v>
      </c>
      <c r="M2721" t="str">
        <f>IF(Table1[[#This Row],[ReorderLevel]]-Table1[[#This Row],[CurrentStock]]&gt;0,Table1[[#This Row],[ReorderLevel]]-Table1[[#This Row],[CurrentStock]],"")</f>
        <v/>
      </c>
      <c r="N2721" t="str">
        <f>IF(Table1[[#This Row],[CurrentStock]]&gt;Table1[[#This Row],[ReorderLevel]]*3,"Over Stock","Okay")</f>
        <v>Okay</v>
      </c>
      <c r="O2721" t="str">
        <f>IF(Table1[[#This Row],[CurrentStock]]&lt;Table1[[#This Row],[ReorderLevel]],"Reorder","Okay")</f>
        <v>Okay</v>
      </c>
    </row>
    <row r="2722" spans="1:15" x14ac:dyDescent="0.3">
      <c r="A2722">
        <v>49708</v>
      </c>
      <c r="B2722" t="s">
        <v>26</v>
      </c>
      <c r="C2722" t="s">
        <v>30</v>
      </c>
      <c r="D2722">
        <v>183</v>
      </c>
      <c r="E2722">
        <v>150</v>
      </c>
      <c r="F2722">
        <v>262.58999999999997</v>
      </c>
      <c r="G2722" t="s">
        <v>33</v>
      </c>
      <c r="H2722" s="1">
        <v>45506</v>
      </c>
      <c r="I2722" s="1">
        <v>45521</v>
      </c>
      <c r="J2722" t="s">
        <v>38</v>
      </c>
      <c r="K2722" t="b">
        <f>Table1[[#This Row],[CurrentStock]]&lt;Table1[[#This Row],[ReorderLevel]]</f>
        <v>0</v>
      </c>
      <c r="L2722" s="9">
        <f>Table1[[#This Row],[CurrentStock]]*Table1[[#This Row],[UnitPrice]]</f>
        <v>48053.969999999994</v>
      </c>
      <c r="M2722" t="str">
        <f>IF(Table1[[#This Row],[ReorderLevel]]-Table1[[#This Row],[CurrentStock]]&gt;0,Table1[[#This Row],[ReorderLevel]]-Table1[[#This Row],[CurrentStock]],"")</f>
        <v/>
      </c>
      <c r="N2722" t="str">
        <f>IF(Table1[[#This Row],[CurrentStock]]&gt;Table1[[#This Row],[ReorderLevel]]*3,"Over Stock","Okay")</f>
        <v>Okay</v>
      </c>
      <c r="O2722" t="str">
        <f>IF(Table1[[#This Row],[CurrentStock]]&lt;Table1[[#This Row],[ReorderLevel]],"Reorder","Okay")</f>
        <v>Okay</v>
      </c>
    </row>
    <row r="2723" spans="1:15" x14ac:dyDescent="0.3">
      <c r="A2723">
        <v>85507</v>
      </c>
      <c r="B2723" t="s">
        <v>18</v>
      </c>
      <c r="C2723" t="s">
        <v>28</v>
      </c>
      <c r="D2723">
        <v>31</v>
      </c>
      <c r="E2723">
        <v>100</v>
      </c>
      <c r="F2723">
        <v>141.30000000000001</v>
      </c>
      <c r="G2723" t="s">
        <v>35</v>
      </c>
      <c r="H2723" s="1">
        <v>45625</v>
      </c>
      <c r="I2723" s="1">
        <v>45646</v>
      </c>
      <c r="J2723" t="s">
        <v>38</v>
      </c>
      <c r="K2723" t="b">
        <f>Table1[[#This Row],[CurrentStock]]&lt;Table1[[#This Row],[ReorderLevel]]</f>
        <v>1</v>
      </c>
      <c r="L2723" s="9">
        <f>Table1[[#This Row],[CurrentStock]]*Table1[[#This Row],[UnitPrice]]</f>
        <v>4380.3</v>
      </c>
      <c r="M2723">
        <f>IF(Table1[[#This Row],[ReorderLevel]]-Table1[[#This Row],[CurrentStock]]&gt;0,Table1[[#This Row],[ReorderLevel]]-Table1[[#This Row],[CurrentStock]],"")</f>
        <v>69</v>
      </c>
      <c r="N2723" t="str">
        <f>IF(Table1[[#This Row],[CurrentStock]]&gt;Table1[[#This Row],[ReorderLevel]]*3,"Over Stock","Okay")</f>
        <v>Okay</v>
      </c>
      <c r="O2723" t="str">
        <f>IF(Table1[[#This Row],[CurrentStock]]&lt;Table1[[#This Row],[ReorderLevel]],"Reorder","Okay")</f>
        <v>Reorder</v>
      </c>
    </row>
    <row r="2724" spans="1:15" x14ac:dyDescent="0.3">
      <c r="A2724">
        <v>85858</v>
      </c>
      <c r="B2724" t="s">
        <v>10</v>
      </c>
      <c r="C2724" t="s">
        <v>27</v>
      </c>
      <c r="D2724">
        <v>185</v>
      </c>
      <c r="E2724">
        <v>50</v>
      </c>
      <c r="F2724">
        <v>251.14</v>
      </c>
      <c r="G2724" t="s">
        <v>32</v>
      </c>
      <c r="H2724" s="1">
        <v>45595</v>
      </c>
      <c r="I2724" s="1">
        <v>45617</v>
      </c>
      <c r="J2724" t="s">
        <v>37</v>
      </c>
      <c r="K2724" t="b">
        <f>Table1[[#This Row],[CurrentStock]]&lt;Table1[[#This Row],[ReorderLevel]]</f>
        <v>0</v>
      </c>
      <c r="L2724" s="9">
        <f>Table1[[#This Row],[CurrentStock]]*Table1[[#This Row],[UnitPrice]]</f>
        <v>46460.899999999994</v>
      </c>
      <c r="M2724" t="str">
        <f>IF(Table1[[#This Row],[ReorderLevel]]-Table1[[#This Row],[CurrentStock]]&gt;0,Table1[[#This Row],[ReorderLevel]]-Table1[[#This Row],[CurrentStock]],"")</f>
        <v/>
      </c>
      <c r="N2724" t="str">
        <f>IF(Table1[[#This Row],[CurrentStock]]&gt;Table1[[#This Row],[ReorderLevel]]*3,"Over Stock","Okay")</f>
        <v>Over Stock</v>
      </c>
      <c r="O2724" t="str">
        <f>IF(Table1[[#This Row],[CurrentStock]]&lt;Table1[[#This Row],[ReorderLevel]],"Reorder","Okay")</f>
        <v>Okay</v>
      </c>
    </row>
    <row r="2725" spans="1:15" x14ac:dyDescent="0.3">
      <c r="A2725">
        <v>21325</v>
      </c>
      <c r="B2725" t="s">
        <v>20</v>
      </c>
      <c r="C2725" t="s">
        <v>29</v>
      </c>
      <c r="D2725">
        <v>418</v>
      </c>
      <c r="E2725">
        <v>40</v>
      </c>
      <c r="F2725">
        <v>431.83</v>
      </c>
      <c r="G2725" t="s">
        <v>35</v>
      </c>
      <c r="H2725" s="1">
        <v>45572</v>
      </c>
      <c r="I2725" s="1">
        <v>45609</v>
      </c>
      <c r="J2725" t="s">
        <v>38</v>
      </c>
      <c r="K2725" t="b">
        <f>Table1[[#This Row],[CurrentStock]]&lt;Table1[[#This Row],[ReorderLevel]]</f>
        <v>0</v>
      </c>
      <c r="L2725" s="9">
        <f>Table1[[#This Row],[CurrentStock]]*Table1[[#This Row],[UnitPrice]]</f>
        <v>180504.94</v>
      </c>
      <c r="M2725" t="str">
        <f>IF(Table1[[#This Row],[ReorderLevel]]-Table1[[#This Row],[CurrentStock]]&gt;0,Table1[[#This Row],[ReorderLevel]]-Table1[[#This Row],[CurrentStock]],"")</f>
        <v/>
      </c>
      <c r="N2725" t="str">
        <f>IF(Table1[[#This Row],[CurrentStock]]&gt;Table1[[#This Row],[ReorderLevel]]*3,"Over Stock","Okay")</f>
        <v>Over Stock</v>
      </c>
      <c r="O2725" t="str">
        <f>IF(Table1[[#This Row],[CurrentStock]]&lt;Table1[[#This Row],[ReorderLevel]],"Reorder","Okay")</f>
        <v>Okay</v>
      </c>
    </row>
    <row r="2726" spans="1:15" x14ac:dyDescent="0.3">
      <c r="A2726">
        <v>88966</v>
      </c>
      <c r="B2726" t="s">
        <v>18</v>
      </c>
      <c r="C2726" t="s">
        <v>28</v>
      </c>
      <c r="D2726">
        <v>3</v>
      </c>
      <c r="E2726">
        <v>30</v>
      </c>
      <c r="F2726">
        <v>315.31</v>
      </c>
      <c r="G2726" t="s">
        <v>36</v>
      </c>
      <c r="H2726" s="1">
        <v>45578</v>
      </c>
      <c r="I2726" s="1">
        <v>45607</v>
      </c>
      <c r="J2726" t="s">
        <v>37</v>
      </c>
      <c r="K2726" t="b">
        <f>Table1[[#This Row],[CurrentStock]]&lt;Table1[[#This Row],[ReorderLevel]]</f>
        <v>1</v>
      </c>
      <c r="L2726" s="9">
        <f>Table1[[#This Row],[CurrentStock]]*Table1[[#This Row],[UnitPrice]]</f>
        <v>945.93000000000006</v>
      </c>
      <c r="M2726">
        <f>IF(Table1[[#This Row],[ReorderLevel]]-Table1[[#This Row],[CurrentStock]]&gt;0,Table1[[#This Row],[ReorderLevel]]-Table1[[#This Row],[CurrentStock]],"")</f>
        <v>27</v>
      </c>
      <c r="N2726" t="str">
        <f>IF(Table1[[#This Row],[CurrentStock]]&gt;Table1[[#This Row],[ReorderLevel]]*3,"Over Stock","Okay")</f>
        <v>Okay</v>
      </c>
      <c r="O2726" t="str">
        <f>IF(Table1[[#This Row],[CurrentStock]]&lt;Table1[[#This Row],[ReorderLevel]],"Reorder","Okay")</f>
        <v>Reorder</v>
      </c>
    </row>
    <row r="2727" spans="1:15" x14ac:dyDescent="0.3">
      <c r="A2727">
        <v>68274</v>
      </c>
      <c r="B2727" t="s">
        <v>24</v>
      </c>
      <c r="C2727" t="s">
        <v>31</v>
      </c>
      <c r="D2727">
        <v>222</v>
      </c>
      <c r="E2727">
        <v>80</v>
      </c>
      <c r="F2727">
        <v>272.83</v>
      </c>
      <c r="G2727" t="s">
        <v>33</v>
      </c>
      <c r="H2727" s="1">
        <v>45502</v>
      </c>
      <c r="I2727" s="1">
        <v>45529</v>
      </c>
      <c r="J2727" t="s">
        <v>39</v>
      </c>
      <c r="K2727" t="b">
        <f>Table1[[#This Row],[CurrentStock]]&lt;Table1[[#This Row],[ReorderLevel]]</f>
        <v>0</v>
      </c>
      <c r="L2727" s="9">
        <f>Table1[[#This Row],[CurrentStock]]*Table1[[#This Row],[UnitPrice]]</f>
        <v>60568.259999999995</v>
      </c>
      <c r="M2727" t="str">
        <f>IF(Table1[[#This Row],[ReorderLevel]]-Table1[[#This Row],[CurrentStock]]&gt;0,Table1[[#This Row],[ReorderLevel]]-Table1[[#This Row],[CurrentStock]],"")</f>
        <v/>
      </c>
      <c r="N2727" t="str">
        <f>IF(Table1[[#This Row],[CurrentStock]]&gt;Table1[[#This Row],[ReorderLevel]]*3,"Over Stock","Okay")</f>
        <v>Okay</v>
      </c>
      <c r="O2727" t="str">
        <f>IF(Table1[[#This Row],[CurrentStock]]&lt;Table1[[#This Row],[ReorderLevel]],"Reorder","Okay")</f>
        <v>Okay</v>
      </c>
    </row>
    <row r="2728" spans="1:15" x14ac:dyDescent="0.3">
      <c r="A2728">
        <v>24075</v>
      </c>
      <c r="B2728" t="s">
        <v>23</v>
      </c>
      <c r="C2728" t="s">
        <v>30</v>
      </c>
      <c r="D2728">
        <v>256</v>
      </c>
      <c r="E2728">
        <v>150</v>
      </c>
      <c r="F2728">
        <v>239.01</v>
      </c>
      <c r="G2728" t="s">
        <v>34</v>
      </c>
      <c r="H2728" s="1">
        <v>45636</v>
      </c>
      <c r="I2728" s="1">
        <v>45673</v>
      </c>
      <c r="J2728" t="s">
        <v>39</v>
      </c>
      <c r="K2728" t="b">
        <f>Table1[[#This Row],[CurrentStock]]&lt;Table1[[#This Row],[ReorderLevel]]</f>
        <v>0</v>
      </c>
      <c r="L2728" s="9">
        <f>Table1[[#This Row],[CurrentStock]]*Table1[[#This Row],[UnitPrice]]</f>
        <v>61186.559999999998</v>
      </c>
      <c r="M2728" t="str">
        <f>IF(Table1[[#This Row],[ReorderLevel]]-Table1[[#This Row],[CurrentStock]]&gt;0,Table1[[#This Row],[ReorderLevel]]-Table1[[#This Row],[CurrentStock]],"")</f>
        <v/>
      </c>
      <c r="N2728" t="str">
        <f>IF(Table1[[#This Row],[CurrentStock]]&gt;Table1[[#This Row],[ReorderLevel]]*3,"Over Stock","Okay")</f>
        <v>Okay</v>
      </c>
      <c r="O2728" t="str">
        <f>IF(Table1[[#This Row],[CurrentStock]]&lt;Table1[[#This Row],[ReorderLevel]],"Reorder","Okay")</f>
        <v>Okay</v>
      </c>
    </row>
    <row r="2729" spans="1:15" x14ac:dyDescent="0.3">
      <c r="A2729">
        <v>59101</v>
      </c>
      <c r="B2729" t="s">
        <v>15</v>
      </c>
      <c r="C2729" t="s">
        <v>29</v>
      </c>
      <c r="D2729">
        <v>52</v>
      </c>
      <c r="E2729">
        <v>100</v>
      </c>
      <c r="F2729">
        <v>466.36</v>
      </c>
      <c r="G2729" t="s">
        <v>34</v>
      </c>
      <c r="H2729" s="1">
        <v>45554</v>
      </c>
      <c r="I2729" s="1">
        <v>45561</v>
      </c>
      <c r="J2729" t="s">
        <v>38</v>
      </c>
      <c r="K2729" t="b">
        <f>Table1[[#This Row],[CurrentStock]]&lt;Table1[[#This Row],[ReorderLevel]]</f>
        <v>1</v>
      </c>
      <c r="L2729" s="9">
        <f>Table1[[#This Row],[CurrentStock]]*Table1[[#This Row],[UnitPrice]]</f>
        <v>24250.720000000001</v>
      </c>
      <c r="M2729">
        <f>IF(Table1[[#This Row],[ReorderLevel]]-Table1[[#This Row],[CurrentStock]]&gt;0,Table1[[#This Row],[ReorderLevel]]-Table1[[#This Row],[CurrentStock]],"")</f>
        <v>48</v>
      </c>
      <c r="N2729" t="str">
        <f>IF(Table1[[#This Row],[CurrentStock]]&gt;Table1[[#This Row],[ReorderLevel]]*3,"Over Stock","Okay")</f>
        <v>Okay</v>
      </c>
      <c r="O2729" t="str">
        <f>IF(Table1[[#This Row],[CurrentStock]]&lt;Table1[[#This Row],[ReorderLevel]],"Reorder","Okay")</f>
        <v>Reorder</v>
      </c>
    </row>
    <row r="2730" spans="1:15" x14ac:dyDescent="0.3">
      <c r="A2730">
        <v>16775</v>
      </c>
      <c r="B2730" t="s">
        <v>20</v>
      </c>
      <c r="C2730" t="s">
        <v>29</v>
      </c>
      <c r="D2730">
        <v>141</v>
      </c>
      <c r="E2730">
        <v>40</v>
      </c>
      <c r="F2730">
        <v>29.12</v>
      </c>
      <c r="G2730" t="s">
        <v>32</v>
      </c>
      <c r="H2730" s="1">
        <v>45426</v>
      </c>
      <c r="I2730" s="1">
        <v>45437</v>
      </c>
      <c r="J2730" t="s">
        <v>38</v>
      </c>
      <c r="K2730" t="b">
        <f>Table1[[#This Row],[CurrentStock]]&lt;Table1[[#This Row],[ReorderLevel]]</f>
        <v>0</v>
      </c>
      <c r="L2730" s="9">
        <f>Table1[[#This Row],[CurrentStock]]*Table1[[#This Row],[UnitPrice]]</f>
        <v>4105.92</v>
      </c>
      <c r="M2730" t="str">
        <f>IF(Table1[[#This Row],[ReorderLevel]]-Table1[[#This Row],[CurrentStock]]&gt;0,Table1[[#This Row],[ReorderLevel]]-Table1[[#This Row],[CurrentStock]],"")</f>
        <v/>
      </c>
      <c r="N2730" t="str">
        <f>IF(Table1[[#This Row],[CurrentStock]]&gt;Table1[[#This Row],[ReorderLevel]]*3,"Over Stock","Okay")</f>
        <v>Over Stock</v>
      </c>
      <c r="O2730" t="str">
        <f>IF(Table1[[#This Row],[CurrentStock]]&lt;Table1[[#This Row],[ReorderLevel]],"Reorder","Okay")</f>
        <v>Okay</v>
      </c>
    </row>
    <row r="2731" spans="1:15" x14ac:dyDescent="0.3">
      <c r="A2731">
        <v>56993</v>
      </c>
      <c r="B2731" t="s">
        <v>24</v>
      </c>
      <c r="C2731" t="s">
        <v>31</v>
      </c>
      <c r="D2731">
        <v>352</v>
      </c>
      <c r="E2731">
        <v>80</v>
      </c>
      <c r="F2731">
        <v>430.22</v>
      </c>
      <c r="G2731" t="s">
        <v>35</v>
      </c>
      <c r="H2731" s="1">
        <v>45435</v>
      </c>
      <c r="I2731" s="1">
        <v>45454</v>
      </c>
      <c r="J2731" t="s">
        <v>39</v>
      </c>
      <c r="K2731" t="b">
        <f>Table1[[#This Row],[CurrentStock]]&lt;Table1[[#This Row],[ReorderLevel]]</f>
        <v>0</v>
      </c>
      <c r="L2731" s="9">
        <f>Table1[[#This Row],[CurrentStock]]*Table1[[#This Row],[UnitPrice]]</f>
        <v>151437.44</v>
      </c>
      <c r="M2731" t="str">
        <f>IF(Table1[[#This Row],[ReorderLevel]]-Table1[[#This Row],[CurrentStock]]&gt;0,Table1[[#This Row],[ReorderLevel]]-Table1[[#This Row],[CurrentStock]],"")</f>
        <v/>
      </c>
      <c r="N2731" t="str">
        <f>IF(Table1[[#This Row],[CurrentStock]]&gt;Table1[[#This Row],[ReorderLevel]]*3,"Over Stock","Okay")</f>
        <v>Over Stock</v>
      </c>
      <c r="O2731" t="str">
        <f>IF(Table1[[#This Row],[CurrentStock]]&lt;Table1[[#This Row],[ReorderLevel]],"Reorder","Okay")</f>
        <v>Okay</v>
      </c>
    </row>
    <row r="2732" spans="1:15" x14ac:dyDescent="0.3">
      <c r="A2732">
        <v>82582</v>
      </c>
      <c r="B2732" t="s">
        <v>20</v>
      </c>
      <c r="C2732" t="s">
        <v>29</v>
      </c>
      <c r="D2732">
        <v>453</v>
      </c>
      <c r="E2732">
        <v>80</v>
      </c>
      <c r="F2732">
        <v>199.22</v>
      </c>
      <c r="G2732" t="s">
        <v>32</v>
      </c>
      <c r="H2732" s="1">
        <v>45544</v>
      </c>
      <c r="I2732" s="1">
        <v>45575</v>
      </c>
      <c r="J2732" t="s">
        <v>38</v>
      </c>
      <c r="K2732" t="b">
        <f>Table1[[#This Row],[CurrentStock]]&lt;Table1[[#This Row],[ReorderLevel]]</f>
        <v>0</v>
      </c>
      <c r="L2732" s="9">
        <f>Table1[[#This Row],[CurrentStock]]*Table1[[#This Row],[UnitPrice]]</f>
        <v>90246.66</v>
      </c>
      <c r="M2732" t="str">
        <f>IF(Table1[[#This Row],[ReorderLevel]]-Table1[[#This Row],[CurrentStock]]&gt;0,Table1[[#This Row],[ReorderLevel]]-Table1[[#This Row],[CurrentStock]],"")</f>
        <v/>
      </c>
      <c r="N2732" t="str">
        <f>IF(Table1[[#This Row],[CurrentStock]]&gt;Table1[[#This Row],[ReorderLevel]]*3,"Over Stock","Okay")</f>
        <v>Over Stock</v>
      </c>
      <c r="O2732" t="str">
        <f>IF(Table1[[#This Row],[CurrentStock]]&lt;Table1[[#This Row],[ReorderLevel]],"Reorder","Okay")</f>
        <v>Okay</v>
      </c>
    </row>
    <row r="2733" spans="1:15" x14ac:dyDescent="0.3">
      <c r="A2733">
        <v>51129</v>
      </c>
      <c r="B2733" t="s">
        <v>18</v>
      </c>
      <c r="C2733" t="s">
        <v>28</v>
      </c>
      <c r="D2733">
        <v>138</v>
      </c>
      <c r="E2733">
        <v>80</v>
      </c>
      <c r="F2733">
        <v>422.05</v>
      </c>
      <c r="G2733" t="s">
        <v>33</v>
      </c>
      <c r="H2733" s="1">
        <v>45475</v>
      </c>
      <c r="I2733" s="1">
        <v>45491</v>
      </c>
      <c r="J2733" t="s">
        <v>38</v>
      </c>
      <c r="K2733" t="b">
        <f>Table1[[#This Row],[CurrentStock]]&lt;Table1[[#This Row],[ReorderLevel]]</f>
        <v>0</v>
      </c>
      <c r="L2733" s="9">
        <f>Table1[[#This Row],[CurrentStock]]*Table1[[#This Row],[UnitPrice]]</f>
        <v>58242.9</v>
      </c>
      <c r="M2733" t="str">
        <f>IF(Table1[[#This Row],[ReorderLevel]]-Table1[[#This Row],[CurrentStock]]&gt;0,Table1[[#This Row],[ReorderLevel]]-Table1[[#This Row],[CurrentStock]],"")</f>
        <v/>
      </c>
      <c r="N2733" t="str">
        <f>IF(Table1[[#This Row],[CurrentStock]]&gt;Table1[[#This Row],[ReorderLevel]]*3,"Over Stock","Okay")</f>
        <v>Okay</v>
      </c>
      <c r="O2733" t="str">
        <f>IF(Table1[[#This Row],[CurrentStock]]&lt;Table1[[#This Row],[ReorderLevel]],"Reorder","Okay")</f>
        <v>Okay</v>
      </c>
    </row>
    <row r="2734" spans="1:15" x14ac:dyDescent="0.3">
      <c r="A2734">
        <v>38337</v>
      </c>
      <c r="B2734" t="s">
        <v>25</v>
      </c>
      <c r="C2734" t="s">
        <v>31</v>
      </c>
      <c r="D2734">
        <v>397</v>
      </c>
      <c r="E2734">
        <v>80</v>
      </c>
      <c r="F2734">
        <v>456.43</v>
      </c>
      <c r="G2734" t="s">
        <v>35</v>
      </c>
      <c r="H2734" s="1">
        <v>45342</v>
      </c>
      <c r="I2734" s="1">
        <v>45354</v>
      </c>
      <c r="J2734" t="s">
        <v>37</v>
      </c>
      <c r="K2734" t="b">
        <f>Table1[[#This Row],[CurrentStock]]&lt;Table1[[#This Row],[ReorderLevel]]</f>
        <v>0</v>
      </c>
      <c r="L2734" s="9">
        <f>Table1[[#This Row],[CurrentStock]]*Table1[[#This Row],[UnitPrice]]</f>
        <v>181202.71</v>
      </c>
      <c r="M2734" t="str">
        <f>IF(Table1[[#This Row],[ReorderLevel]]-Table1[[#This Row],[CurrentStock]]&gt;0,Table1[[#This Row],[ReorderLevel]]-Table1[[#This Row],[CurrentStock]],"")</f>
        <v/>
      </c>
      <c r="N2734" t="str">
        <f>IF(Table1[[#This Row],[CurrentStock]]&gt;Table1[[#This Row],[ReorderLevel]]*3,"Over Stock","Okay")</f>
        <v>Over Stock</v>
      </c>
      <c r="O2734" t="str">
        <f>IF(Table1[[#This Row],[CurrentStock]]&lt;Table1[[#This Row],[ReorderLevel]],"Reorder","Okay")</f>
        <v>Okay</v>
      </c>
    </row>
    <row r="2735" spans="1:15" x14ac:dyDescent="0.3">
      <c r="A2735">
        <v>16511</v>
      </c>
      <c r="B2735" t="s">
        <v>13</v>
      </c>
      <c r="C2735" t="s">
        <v>29</v>
      </c>
      <c r="D2735">
        <v>47</v>
      </c>
      <c r="E2735">
        <v>30</v>
      </c>
      <c r="F2735">
        <v>353.97</v>
      </c>
      <c r="G2735" t="s">
        <v>32</v>
      </c>
      <c r="H2735" s="1">
        <v>45338</v>
      </c>
      <c r="I2735" s="1">
        <v>45371</v>
      </c>
      <c r="J2735" t="s">
        <v>37</v>
      </c>
      <c r="K2735" t="b">
        <f>Table1[[#This Row],[CurrentStock]]&lt;Table1[[#This Row],[ReorderLevel]]</f>
        <v>0</v>
      </c>
      <c r="L2735" s="9">
        <f>Table1[[#This Row],[CurrentStock]]*Table1[[#This Row],[UnitPrice]]</f>
        <v>16636.59</v>
      </c>
      <c r="M2735" t="str">
        <f>IF(Table1[[#This Row],[ReorderLevel]]-Table1[[#This Row],[CurrentStock]]&gt;0,Table1[[#This Row],[ReorderLevel]]-Table1[[#This Row],[CurrentStock]],"")</f>
        <v/>
      </c>
      <c r="N2735" t="str">
        <f>IF(Table1[[#This Row],[CurrentStock]]&gt;Table1[[#This Row],[ReorderLevel]]*3,"Over Stock","Okay")</f>
        <v>Okay</v>
      </c>
      <c r="O2735" t="str">
        <f>IF(Table1[[#This Row],[CurrentStock]]&lt;Table1[[#This Row],[ReorderLevel]],"Reorder","Okay")</f>
        <v>Okay</v>
      </c>
    </row>
    <row r="2736" spans="1:15" x14ac:dyDescent="0.3">
      <c r="A2736">
        <v>61169</v>
      </c>
      <c r="B2736" t="s">
        <v>25</v>
      </c>
      <c r="C2736" t="s">
        <v>31</v>
      </c>
      <c r="D2736">
        <v>421</v>
      </c>
      <c r="E2736">
        <v>30</v>
      </c>
      <c r="F2736">
        <v>475.23</v>
      </c>
      <c r="G2736" t="s">
        <v>33</v>
      </c>
      <c r="H2736" s="1">
        <v>45547</v>
      </c>
      <c r="I2736" s="1">
        <v>45554</v>
      </c>
      <c r="J2736" t="s">
        <v>38</v>
      </c>
      <c r="K2736" t="b">
        <f>Table1[[#This Row],[CurrentStock]]&lt;Table1[[#This Row],[ReorderLevel]]</f>
        <v>0</v>
      </c>
      <c r="L2736" s="9">
        <f>Table1[[#This Row],[CurrentStock]]*Table1[[#This Row],[UnitPrice]]</f>
        <v>200071.83000000002</v>
      </c>
      <c r="M2736" t="str">
        <f>IF(Table1[[#This Row],[ReorderLevel]]-Table1[[#This Row],[CurrentStock]]&gt;0,Table1[[#This Row],[ReorderLevel]]-Table1[[#This Row],[CurrentStock]],"")</f>
        <v/>
      </c>
      <c r="N2736" t="str">
        <f>IF(Table1[[#This Row],[CurrentStock]]&gt;Table1[[#This Row],[ReorderLevel]]*3,"Over Stock","Okay")</f>
        <v>Over Stock</v>
      </c>
      <c r="O2736" t="str">
        <f>IF(Table1[[#This Row],[CurrentStock]]&lt;Table1[[#This Row],[ReorderLevel]],"Reorder","Okay")</f>
        <v>Okay</v>
      </c>
    </row>
    <row r="2737" spans="1:15" x14ac:dyDescent="0.3">
      <c r="A2737">
        <v>84090</v>
      </c>
      <c r="B2737" t="s">
        <v>12</v>
      </c>
      <c r="C2737" t="s">
        <v>28</v>
      </c>
      <c r="D2737">
        <v>497</v>
      </c>
      <c r="E2737">
        <v>40</v>
      </c>
      <c r="F2737">
        <v>267.20999999999998</v>
      </c>
      <c r="G2737" t="s">
        <v>33</v>
      </c>
      <c r="H2737" s="1">
        <v>45308</v>
      </c>
      <c r="I2737" s="1">
        <v>45330</v>
      </c>
      <c r="J2737" t="s">
        <v>38</v>
      </c>
      <c r="K2737" t="b">
        <f>Table1[[#This Row],[CurrentStock]]&lt;Table1[[#This Row],[ReorderLevel]]</f>
        <v>0</v>
      </c>
      <c r="L2737" s="9">
        <f>Table1[[#This Row],[CurrentStock]]*Table1[[#This Row],[UnitPrice]]</f>
        <v>132803.37</v>
      </c>
      <c r="M2737" t="str">
        <f>IF(Table1[[#This Row],[ReorderLevel]]-Table1[[#This Row],[CurrentStock]]&gt;0,Table1[[#This Row],[ReorderLevel]]-Table1[[#This Row],[CurrentStock]],"")</f>
        <v/>
      </c>
      <c r="N2737" t="str">
        <f>IF(Table1[[#This Row],[CurrentStock]]&gt;Table1[[#This Row],[ReorderLevel]]*3,"Over Stock","Okay")</f>
        <v>Over Stock</v>
      </c>
      <c r="O2737" t="str">
        <f>IF(Table1[[#This Row],[CurrentStock]]&lt;Table1[[#This Row],[ReorderLevel]],"Reorder","Okay")</f>
        <v>Okay</v>
      </c>
    </row>
    <row r="2738" spans="1:15" x14ac:dyDescent="0.3">
      <c r="A2738">
        <v>79400</v>
      </c>
      <c r="B2738" t="s">
        <v>20</v>
      </c>
      <c r="C2738" t="s">
        <v>29</v>
      </c>
      <c r="D2738">
        <v>318</v>
      </c>
      <c r="E2738">
        <v>100</v>
      </c>
      <c r="F2738">
        <v>26.37</v>
      </c>
      <c r="G2738" t="s">
        <v>34</v>
      </c>
      <c r="H2738" s="1">
        <v>45565</v>
      </c>
      <c r="I2738" s="1">
        <v>45574</v>
      </c>
      <c r="J2738" t="s">
        <v>37</v>
      </c>
      <c r="K2738" t="b">
        <f>Table1[[#This Row],[CurrentStock]]&lt;Table1[[#This Row],[ReorderLevel]]</f>
        <v>0</v>
      </c>
      <c r="L2738" s="9">
        <f>Table1[[#This Row],[CurrentStock]]*Table1[[#This Row],[UnitPrice]]</f>
        <v>8385.66</v>
      </c>
      <c r="M2738" t="str">
        <f>IF(Table1[[#This Row],[ReorderLevel]]-Table1[[#This Row],[CurrentStock]]&gt;0,Table1[[#This Row],[ReorderLevel]]-Table1[[#This Row],[CurrentStock]],"")</f>
        <v/>
      </c>
      <c r="N2738" t="str">
        <f>IF(Table1[[#This Row],[CurrentStock]]&gt;Table1[[#This Row],[ReorderLevel]]*3,"Over Stock","Okay")</f>
        <v>Over Stock</v>
      </c>
      <c r="O2738" t="str">
        <f>IF(Table1[[#This Row],[CurrentStock]]&lt;Table1[[#This Row],[ReorderLevel]],"Reorder","Okay")</f>
        <v>Okay</v>
      </c>
    </row>
    <row r="2739" spans="1:15" x14ac:dyDescent="0.3">
      <c r="A2739">
        <v>77370</v>
      </c>
      <c r="B2739" t="s">
        <v>11</v>
      </c>
      <c r="C2739" t="s">
        <v>27</v>
      </c>
      <c r="D2739">
        <v>444</v>
      </c>
      <c r="E2739">
        <v>100</v>
      </c>
      <c r="F2739">
        <v>459.12</v>
      </c>
      <c r="G2739" t="s">
        <v>33</v>
      </c>
      <c r="H2739" s="1">
        <v>45409</v>
      </c>
      <c r="I2739" s="1">
        <v>45414</v>
      </c>
      <c r="J2739" t="s">
        <v>38</v>
      </c>
      <c r="K2739" t="b">
        <f>Table1[[#This Row],[CurrentStock]]&lt;Table1[[#This Row],[ReorderLevel]]</f>
        <v>0</v>
      </c>
      <c r="L2739" s="9">
        <f>Table1[[#This Row],[CurrentStock]]*Table1[[#This Row],[UnitPrice]]</f>
        <v>203849.28</v>
      </c>
      <c r="M2739" t="str">
        <f>IF(Table1[[#This Row],[ReorderLevel]]-Table1[[#This Row],[CurrentStock]]&gt;0,Table1[[#This Row],[ReorderLevel]]-Table1[[#This Row],[CurrentStock]],"")</f>
        <v/>
      </c>
      <c r="N2739" t="str">
        <f>IF(Table1[[#This Row],[CurrentStock]]&gt;Table1[[#This Row],[ReorderLevel]]*3,"Over Stock","Okay")</f>
        <v>Over Stock</v>
      </c>
      <c r="O2739" t="str">
        <f>IF(Table1[[#This Row],[CurrentStock]]&lt;Table1[[#This Row],[ReorderLevel]],"Reorder","Okay")</f>
        <v>Okay</v>
      </c>
    </row>
    <row r="2740" spans="1:15" x14ac:dyDescent="0.3">
      <c r="A2740">
        <v>86831</v>
      </c>
      <c r="B2740" t="s">
        <v>19</v>
      </c>
      <c r="C2740" t="s">
        <v>28</v>
      </c>
      <c r="D2740">
        <v>215</v>
      </c>
      <c r="E2740">
        <v>30</v>
      </c>
      <c r="F2740">
        <v>200.79</v>
      </c>
      <c r="G2740" t="s">
        <v>32</v>
      </c>
      <c r="H2740" s="1">
        <v>45303</v>
      </c>
      <c r="I2740" s="1">
        <v>45326</v>
      </c>
      <c r="J2740" t="s">
        <v>38</v>
      </c>
      <c r="K2740" t="b">
        <f>Table1[[#This Row],[CurrentStock]]&lt;Table1[[#This Row],[ReorderLevel]]</f>
        <v>0</v>
      </c>
      <c r="L2740" s="9">
        <f>Table1[[#This Row],[CurrentStock]]*Table1[[#This Row],[UnitPrice]]</f>
        <v>43169.85</v>
      </c>
      <c r="M2740" t="str">
        <f>IF(Table1[[#This Row],[ReorderLevel]]-Table1[[#This Row],[CurrentStock]]&gt;0,Table1[[#This Row],[ReorderLevel]]-Table1[[#This Row],[CurrentStock]],"")</f>
        <v/>
      </c>
      <c r="N2740" t="str">
        <f>IF(Table1[[#This Row],[CurrentStock]]&gt;Table1[[#This Row],[ReorderLevel]]*3,"Over Stock","Okay")</f>
        <v>Over Stock</v>
      </c>
      <c r="O2740" t="str">
        <f>IF(Table1[[#This Row],[CurrentStock]]&lt;Table1[[#This Row],[ReorderLevel]],"Reorder","Okay")</f>
        <v>Okay</v>
      </c>
    </row>
    <row r="2741" spans="1:15" x14ac:dyDescent="0.3">
      <c r="A2741">
        <v>98961</v>
      </c>
      <c r="B2741" t="s">
        <v>16</v>
      </c>
      <c r="C2741" t="s">
        <v>30</v>
      </c>
      <c r="D2741">
        <v>200</v>
      </c>
      <c r="E2741">
        <v>40</v>
      </c>
      <c r="F2741">
        <v>47.56</v>
      </c>
      <c r="G2741" t="s">
        <v>34</v>
      </c>
      <c r="H2741" s="1">
        <v>45547</v>
      </c>
      <c r="I2741" s="1">
        <v>45564</v>
      </c>
      <c r="J2741" t="s">
        <v>37</v>
      </c>
      <c r="K2741" t="b">
        <f>Table1[[#This Row],[CurrentStock]]&lt;Table1[[#This Row],[ReorderLevel]]</f>
        <v>0</v>
      </c>
      <c r="L2741" s="9">
        <f>Table1[[#This Row],[CurrentStock]]*Table1[[#This Row],[UnitPrice]]</f>
        <v>9512</v>
      </c>
      <c r="M2741" t="str">
        <f>IF(Table1[[#This Row],[ReorderLevel]]-Table1[[#This Row],[CurrentStock]]&gt;0,Table1[[#This Row],[ReorderLevel]]-Table1[[#This Row],[CurrentStock]],"")</f>
        <v/>
      </c>
      <c r="N2741" t="str">
        <f>IF(Table1[[#This Row],[CurrentStock]]&gt;Table1[[#This Row],[ReorderLevel]]*3,"Over Stock","Okay")</f>
        <v>Over Stock</v>
      </c>
      <c r="O2741" t="str">
        <f>IF(Table1[[#This Row],[CurrentStock]]&lt;Table1[[#This Row],[ReorderLevel]],"Reorder","Okay")</f>
        <v>Okay</v>
      </c>
    </row>
    <row r="2742" spans="1:15" x14ac:dyDescent="0.3">
      <c r="A2742">
        <v>45097</v>
      </c>
      <c r="B2742" t="s">
        <v>15</v>
      </c>
      <c r="C2742" t="s">
        <v>29</v>
      </c>
      <c r="D2742">
        <v>195</v>
      </c>
      <c r="E2742">
        <v>50</v>
      </c>
      <c r="F2742">
        <v>172.79</v>
      </c>
      <c r="G2742" t="s">
        <v>32</v>
      </c>
      <c r="H2742" s="1">
        <v>45292</v>
      </c>
      <c r="I2742" s="1">
        <v>45321</v>
      </c>
      <c r="J2742" t="s">
        <v>38</v>
      </c>
      <c r="K2742" t="b">
        <f>Table1[[#This Row],[CurrentStock]]&lt;Table1[[#This Row],[ReorderLevel]]</f>
        <v>0</v>
      </c>
      <c r="L2742" s="9">
        <f>Table1[[#This Row],[CurrentStock]]*Table1[[#This Row],[UnitPrice]]</f>
        <v>33694.049999999996</v>
      </c>
      <c r="M2742" t="str">
        <f>IF(Table1[[#This Row],[ReorderLevel]]-Table1[[#This Row],[CurrentStock]]&gt;0,Table1[[#This Row],[ReorderLevel]]-Table1[[#This Row],[CurrentStock]],"")</f>
        <v/>
      </c>
      <c r="N2742" t="str">
        <f>IF(Table1[[#This Row],[CurrentStock]]&gt;Table1[[#This Row],[ReorderLevel]]*3,"Over Stock","Okay")</f>
        <v>Over Stock</v>
      </c>
      <c r="O2742" t="str">
        <f>IF(Table1[[#This Row],[CurrentStock]]&lt;Table1[[#This Row],[ReorderLevel]],"Reorder","Okay")</f>
        <v>Okay</v>
      </c>
    </row>
    <row r="2743" spans="1:15" x14ac:dyDescent="0.3">
      <c r="A2743">
        <v>99998</v>
      </c>
      <c r="B2743" t="s">
        <v>25</v>
      </c>
      <c r="C2743" t="s">
        <v>31</v>
      </c>
      <c r="D2743">
        <v>348</v>
      </c>
      <c r="E2743">
        <v>150</v>
      </c>
      <c r="F2743">
        <v>476.65</v>
      </c>
      <c r="G2743" t="s">
        <v>35</v>
      </c>
      <c r="H2743" s="1">
        <v>45371</v>
      </c>
      <c r="I2743" s="1">
        <v>45402</v>
      </c>
      <c r="J2743" t="s">
        <v>38</v>
      </c>
      <c r="K2743" t="b">
        <f>Table1[[#This Row],[CurrentStock]]&lt;Table1[[#This Row],[ReorderLevel]]</f>
        <v>0</v>
      </c>
      <c r="L2743" s="9">
        <f>Table1[[#This Row],[CurrentStock]]*Table1[[#This Row],[UnitPrice]]</f>
        <v>165874.19999999998</v>
      </c>
      <c r="M2743" t="str">
        <f>IF(Table1[[#This Row],[ReorderLevel]]-Table1[[#This Row],[CurrentStock]]&gt;0,Table1[[#This Row],[ReorderLevel]]-Table1[[#This Row],[CurrentStock]],"")</f>
        <v/>
      </c>
      <c r="N2743" t="str">
        <f>IF(Table1[[#This Row],[CurrentStock]]&gt;Table1[[#This Row],[ReorderLevel]]*3,"Over Stock","Okay")</f>
        <v>Okay</v>
      </c>
      <c r="O2743" t="str">
        <f>IF(Table1[[#This Row],[CurrentStock]]&lt;Table1[[#This Row],[ReorderLevel]],"Reorder","Okay")</f>
        <v>Okay</v>
      </c>
    </row>
    <row r="2744" spans="1:15" x14ac:dyDescent="0.3">
      <c r="A2744">
        <v>63861</v>
      </c>
      <c r="B2744" t="s">
        <v>25</v>
      </c>
      <c r="C2744" t="s">
        <v>31</v>
      </c>
      <c r="D2744">
        <v>281</v>
      </c>
      <c r="E2744">
        <v>100</v>
      </c>
      <c r="F2744">
        <v>127.37</v>
      </c>
      <c r="G2744" t="s">
        <v>33</v>
      </c>
      <c r="H2744" s="1">
        <v>45349</v>
      </c>
      <c r="I2744" s="1">
        <v>45370</v>
      </c>
      <c r="J2744" t="s">
        <v>39</v>
      </c>
      <c r="K2744" t="b">
        <f>Table1[[#This Row],[CurrentStock]]&lt;Table1[[#This Row],[ReorderLevel]]</f>
        <v>0</v>
      </c>
      <c r="L2744" s="9">
        <f>Table1[[#This Row],[CurrentStock]]*Table1[[#This Row],[UnitPrice]]</f>
        <v>35790.97</v>
      </c>
      <c r="M2744" t="str">
        <f>IF(Table1[[#This Row],[ReorderLevel]]-Table1[[#This Row],[CurrentStock]]&gt;0,Table1[[#This Row],[ReorderLevel]]-Table1[[#This Row],[CurrentStock]],"")</f>
        <v/>
      </c>
      <c r="N2744" t="str">
        <f>IF(Table1[[#This Row],[CurrentStock]]&gt;Table1[[#This Row],[ReorderLevel]]*3,"Over Stock","Okay")</f>
        <v>Okay</v>
      </c>
      <c r="O2744" t="str">
        <f>IF(Table1[[#This Row],[CurrentStock]]&lt;Table1[[#This Row],[ReorderLevel]],"Reorder","Okay")</f>
        <v>Okay</v>
      </c>
    </row>
    <row r="2745" spans="1:15" x14ac:dyDescent="0.3">
      <c r="A2745">
        <v>19859</v>
      </c>
      <c r="B2745" t="s">
        <v>15</v>
      </c>
      <c r="C2745" t="s">
        <v>29</v>
      </c>
      <c r="D2745">
        <v>370</v>
      </c>
      <c r="E2745">
        <v>40</v>
      </c>
      <c r="F2745">
        <v>412.36</v>
      </c>
      <c r="G2745" t="s">
        <v>36</v>
      </c>
      <c r="H2745" s="1">
        <v>45487</v>
      </c>
      <c r="I2745" s="1">
        <v>45495</v>
      </c>
      <c r="J2745" t="s">
        <v>39</v>
      </c>
      <c r="K2745" t="b">
        <f>Table1[[#This Row],[CurrentStock]]&lt;Table1[[#This Row],[ReorderLevel]]</f>
        <v>0</v>
      </c>
      <c r="L2745" s="9">
        <f>Table1[[#This Row],[CurrentStock]]*Table1[[#This Row],[UnitPrice]]</f>
        <v>152573.20000000001</v>
      </c>
      <c r="M2745" t="str">
        <f>IF(Table1[[#This Row],[ReorderLevel]]-Table1[[#This Row],[CurrentStock]]&gt;0,Table1[[#This Row],[ReorderLevel]]-Table1[[#This Row],[CurrentStock]],"")</f>
        <v/>
      </c>
      <c r="N2745" t="str">
        <f>IF(Table1[[#This Row],[CurrentStock]]&gt;Table1[[#This Row],[ReorderLevel]]*3,"Over Stock","Okay")</f>
        <v>Over Stock</v>
      </c>
      <c r="O2745" t="str">
        <f>IF(Table1[[#This Row],[CurrentStock]]&lt;Table1[[#This Row],[ReorderLevel]],"Reorder","Okay")</f>
        <v>Okay</v>
      </c>
    </row>
    <row r="2746" spans="1:15" x14ac:dyDescent="0.3">
      <c r="A2746">
        <v>86427</v>
      </c>
      <c r="B2746" t="s">
        <v>13</v>
      </c>
      <c r="C2746" t="s">
        <v>29</v>
      </c>
      <c r="D2746">
        <v>480</v>
      </c>
      <c r="E2746">
        <v>20</v>
      </c>
      <c r="F2746">
        <v>304.86</v>
      </c>
      <c r="G2746" t="s">
        <v>35</v>
      </c>
      <c r="H2746" s="1">
        <v>45564</v>
      </c>
      <c r="I2746" s="1">
        <v>45595</v>
      </c>
      <c r="J2746" t="s">
        <v>37</v>
      </c>
      <c r="K2746" t="b">
        <f>Table1[[#This Row],[CurrentStock]]&lt;Table1[[#This Row],[ReorderLevel]]</f>
        <v>0</v>
      </c>
      <c r="L2746" s="9">
        <f>Table1[[#This Row],[CurrentStock]]*Table1[[#This Row],[UnitPrice]]</f>
        <v>146332.80000000002</v>
      </c>
      <c r="M2746" t="str">
        <f>IF(Table1[[#This Row],[ReorderLevel]]-Table1[[#This Row],[CurrentStock]]&gt;0,Table1[[#This Row],[ReorderLevel]]-Table1[[#This Row],[CurrentStock]],"")</f>
        <v/>
      </c>
      <c r="N2746" t="str">
        <f>IF(Table1[[#This Row],[CurrentStock]]&gt;Table1[[#This Row],[ReorderLevel]]*3,"Over Stock","Okay")</f>
        <v>Over Stock</v>
      </c>
      <c r="O2746" t="str">
        <f>IF(Table1[[#This Row],[CurrentStock]]&lt;Table1[[#This Row],[ReorderLevel]],"Reorder","Okay")</f>
        <v>Okay</v>
      </c>
    </row>
    <row r="2747" spans="1:15" x14ac:dyDescent="0.3">
      <c r="A2747">
        <v>50916</v>
      </c>
      <c r="B2747" t="s">
        <v>20</v>
      </c>
      <c r="C2747" t="s">
        <v>29</v>
      </c>
      <c r="D2747">
        <v>158</v>
      </c>
      <c r="E2747">
        <v>80</v>
      </c>
      <c r="F2747">
        <v>347.22</v>
      </c>
      <c r="G2747" t="s">
        <v>33</v>
      </c>
      <c r="H2747" s="1">
        <v>45610</v>
      </c>
      <c r="I2747" s="1">
        <v>45645</v>
      </c>
      <c r="J2747" t="s">
        <v>38</v>
      </c>
      <c r="K2747" t="b">
        <f>Table1[[#This Row],[CurrentStock]]&lt;Table1[[#This Row],[ReorderLevel]]</f>
        <v>0</v>
      </c>
      <c r="L2747" s="9">
        <f>Table1[[#This Row],[CurrentStock]]*Table1[[#This Row],[UnitPrice]]</f>
        <v>54860.76</v>
      </c>
      <c r="M2747" t="str">
        <f>IF(Table1[[#This Row],[ReorderLevel]]-Table1[[#This Row],[CurrentStock]]&gt;0,Table1[[#This Row],[ReorderLevel]]-Table1[[#This Row],[CurrentStock]],"")</f>
        <v/>
      </c>
      <c r="N2747" t="str">
        <f>IF(Table1[[#This Row],[CurrentStock]]&gt;Table1[[#This Row],[ReorderLevel]]*3,"Over Stock","Okay")</f>
        <v>Okay</v>
      </c>
      <c r="O2747" t="str">
        <f>IF(Table1[[#This Row],[CurrentStock]]&lt;Table1[[#This Row],[ReorderLevel]],"Reorder","Okay")</f>
        <v>Okay</v>
      </c>
    </row>
    <row r="2748" spans="1:15" x14ac:dyDescent="0.3">
      <c r="A2748">
        <v>96257</v>
      </c>
      <c r="B2748" t="s">
        <v>15</v>
      </c>
      <c r="C2748" t="s">
        <v>29</v>
      </c>
      <c r="D2748">
        <v>70</v>
      </c>
      <c r="E2748">
        <v>80</v>
      </c>
      <c r="F2748">
        <v>70.63</v>
      </c>
      <c r="G2748" t="s">
        <v>32</v>
      </c>
      <c r="H2748" s="1">
        <v>45417</v>
      </c>
      <c r="I2748" s="1">
        <v>45449</v>
      </c>
      <c r="J2748" t="s">
        <v>38</v>
      </c>
      <c r="K2748" t="b">
        <f>Table1[[#This Row],[CurrentStock]]&lt;Table1[[#This Row],[ReorderLevel]]</f>
        <v>1</v>
      </c>
      <c r="L2748" s="9">
        <f>Table1[[#This Row],[CurrentStock]]*Table1[[#This Row],[UnitPrice]]</f>
        <v>4944.0999999999995</v>
      </c>
      <c r="M2748">
        <f>IF(Table1[[#This Row],[ReorderLevel]]-Table1[[#This Row],[CurrentStock]]&gt;0,Table1[[#This Row],[ReorderLevel]]-Table1[[#This Row],[CurrentStock]],"")</f>
        <v>10</v>
      </c>
      <c r="N2748" t="str">
        <f>IF(Table1[[#This Row],[CurrentStock]]&gt;Table1[[#This Row],[ReorderLevel]]*3,"Over Stock","Okay")</f>
        <v>Okay</v>
      </c>
      <c r="O2748" t="str">
        <f>IF(Table1[[#This Row],[CurrentStock]]&lt;Table1[[#This Row],[ReorderLevel]],"Reorder","Okay")</f>
        <v>Reorder</v>
      </c>
    </row>
    <row r="2749" spans="1:15" x14ac:dyDescent="0.3">
      <c r="A2749">
        <v>33115</v>
      </c>
      <c r="B2749" t="s">
        <v>16</v>
      </c>
      <c r="C2749" t="s">
        <v>30</v>
      </c>
      <c r="D2749">
        <v>304</v>
      </c>
      <c r="E2749">
        <v>40</v>
      </c>
      <c r="F2749">
        <v>464.47</v>
      </c>
      <c r="G2749" t="s">
        <v>35</v>
      </c>
      <c r="H2749" s="1">
        <v>45573</v>
      </c>
      <c r="I2749" s="1">
        <v>45581</v>
      </c>
      <c r="J2749" t="s">
        <v>39</v>
      </c>
      <c r="K2749" t="b">
        <f>Table1[[#This Row],[CurrentStock]]&lt;Table1[[#This Row],[ReorderLevel]]</f>
        <v>0</v>
      </c>
      <c r="L2749" s="9">
        <f>Table1[[#This Row],[CurrentStock]]*Table1[[#This Row],[UnitPrice]]</f>
        <v>141198.88</v>
      </c>
      <c r="M2749" t="str">
        <f>IF(Table1[[#This Row],[ReorderLevel]]-Table1[[#This Row],[CurrentStock]]&gt;0,Table1[[#This Row],[ReorderLevel]]-Table1[[#This Row],[CurrentStock]],"")</f>
        <v/>
      </c>
      <c r="N2749" t="str">
        <f>IF(Table1[[#This Row],[CurrentStock]]&gt;Table1[[#This Row],[ReorderLevel]]*3,"Over Stock","Okay")</f>
        <v>Over Stock</v>
      </c>
      <c r="O2749" t="str">
        <f>IF(Table1[[#This Row],[CurrentStock]]&lt;Table1[[#This Row],[ReorderLevel]],"Reorder","Okay")</f>
        <v>Okay</v>
      </c>
    </row>
    <row r="2750" spans="1:15" x14ac:dyDescent="0.3">
      <c r="A2750">
        <v>60509</v>
      </c>
      <c r="B2750" t="s">
        <v>12</v>
      </c>
      <c r="C2750" t="s">
        <v>28</v>
      </c>
      <c r="D2750">
        <v>350</v>
      </c>
      <c r="E2750">
        <v>150</v>
      </c>
      <c r="F2750">
        <v>166.95</v>
      </c>
      <c r="G2750" t="s">
        <v>34</v>
      </c>
      <c r="H2750" s="1">
        <v>45419</v>
      </c>
      <c r="I2750" s="1">
        <v>45452</v>
      </c>
      <c r="J2750" t="s">
        <v>38</v>
      </c>
      <c r="K2750" t="b">
        <f>Table1[[#This Row],[CurrentStock]]&lt;Table1[[#This Row],[ReorderLevel]]</f>
        <v>0</v>
      </c>
      <c r="L2750" s="9">
        <f>Table1[[#This Row],[CurrentStock]]*Table1[[#This Row],[UnitPrice]]</f>
        <v>58432.499999999993</v>
      </c>
      <c r="M2750" t="str">
        <f>IF(Table1[[#This Row],[ReorderLevel]]-Table1[[#This Row],[CurrentStock]]&gt;0,Table1[[#This Row],[ReorderLevel]]-Table1[[#This Row],[CurrentStock]],"")</f>
        <v/>
      </c>
      <c r="N2750" t="str">
        <f>IF(Table1[[#This Row],[CurrentStock]]&gt;Table1[[#This Row],[ReorderLevel]]*3,"Over Stock","Okay")</f>
        <v>Okay</v>
      </c>
      <c r="O2750" t="str">
        <f>IF(Table1[[#This Row],[CurrentStock]]&lt;Table1[[#This Row],[ReorderLevel]],"Reorder","Okay")</f>
        <v>Okay</v>
      </c>
    </row>
    <row r="2751" spans="1:15" x14ac:dyDescent="0.3">
      <c r="A2751">
        <v>91462</v>
      </c>
      <c r="B2751" t="s">
        <v>17</v>
      </c>
      <c r="C2751" t="s">
        <v>30</v>
      </c>
      <c r="D2751">
        <v>87</v>
      </c>
      <c r="E2751">
        <v>20</v>
      </c>
      <c r="F2751">
        <v>404.74</v>
      </c>
      <c r="G2751" t="s">
        <v>35</v>
      </c>
      <c r="H2751" s="1">
        <v>45564</v>
      </c>
      <c r="I2751" s="1">
        <v>45595</v>
      </c>
      <c r="J2751" t="s">
        <v>37</v>
      </c>
      <c r="K2751" t="b">
        <f>Table1[[#This Row],[CurrentStock]]&lt;Table1[[#This Row],[ReorderLevel]]</f>
        <v>0</v>
      </c>
      <c r="L2751" s="9">
        <f>Table1[[#This Row],[CurrentStock]]*Table1[[#This Row],[UnitPrice]]</f>
        <v>35212.379999999997</v>
      </c>
      <c r="M2751" t="str">
        <f>IF(Table1[[#This Row],[ReorderLevel]]-Table1[[#This Row],[CurrentStock]]&gt;0,Table1[[#This Row],[ReorderLevel]]-Table1[[#This Row],[CurrentStock]],"")</f>
        <v/>
      </c>
      <c r="N2751" t="str">
        <f>IF(Table1[[#This Row],[CurrentStock]]&gt;Table1[[#This Row],[ReorderLevel]]*3,"Over Stock","Okay")</f>
        <v>Over Stock</v>
      </c>
      <c r="O2751" t="str">
        <f>IF(Table1[[#This Row],[CurrentStock]]&lt;Table1[[#This Row],[ReorderLevel]],"Reorder","Okay")</f>
        <v>Okay</v>
      </c>
    </row>
    <row r="2752" spans="1:15" x14ac:dyDescent="0.3">
      <c r="A2752">
        <v>21651</v>
      </c>
      <c r="B2752" t="s">
        <v>12</v>
      </c>
      <c r="C2752" t="s">
        <v>28</v>
      </c>
      <c r="D2752">
        <v>152</v>
      </c>
      <c r="E2752">
        <v>40</v>
      </c>
      <c r="F2752">
        <v>489.44</v>
      </c>
      <c r="G2752" t="s">
        <v>36</v>
      </c>
      <c r="H2752" s="1">
        <v>45633</v>
      </c>
      <c r="I2752" s="1">
        <v>45639</v>
      </c>
      <c r="J2752" t="s">
        <v>37</v>
      </c>
      <c r="K2752" t="b">
        <f>Table1[[#This Row],[CurrentStock]]&lt;Table1[[#This Row],[ReorderLevel]]</f>
        <v>0</v>
      </c>
      <c r="L2752" s="9">
        <f>Table1[[#This Row],[CurrentStock]]*Table1[[#This Row],[UnitPrice]]</f>
        <v>74394.880000000005</v>
      </c>
      <c r="M2752" t="str">
        <f>IF(Table1[[#This Row],[ReorderLevel]]-Table1[[#This Row],[CurrentStock]]&gt;0,Table1[[#This Row],[ReorderLevel]]-Table1[[#This Row],[CurrentStock]],"")</f>
        <v/>
      </c>
      <c r="N2752" t="str">
        <f>IF(Table1[[#This Row],[CurrentStock]]&gt;Table1[[#This Row],[ReorderLevel]]*3,"Over Stock","Okay")</f>
        <v>Over Stock</v>
      </c>
      <c r="O2752" t="str">
        <f>IF(Table1[[#This Row],[CurrentStock]]&lt;Table1[[#This Row],[ReorderLevel]],"Reorder","Okay")</f>
        <v>Okay</v>
      </c>
    </row>
    <row r="2753" spans="1:15" x14ac:dyDescent="0.3">
      <c r="A2753">
        <v>78743</v>
      </c>
      <c r="B2753" t="s">
        <v>15</v>
      </c>
      <c r="C2753" t="s">
        <v>29</v>
      </c>
      <c r="D2753">
        <v>344</v>
      </c>
      <c r="E2753">
        <v>40</v>
      </c>
      <c r="F2753">
        <v>387.23</v>
      </c>
      <c r="G2753" t="s">
        <v>36</v>
      </c>
      <c r="H2753" s="1">
        <v>45526</v>
      </c>
      <c r="I2753" s="1">
        <v>45546</v>
      </c>
      <c r="J2753" t="s">
        <v>37</v>
      </c>
      <c r="K2753" t="b">
        <f>Table1[[#This Row],[CurrentStock]]&lt;Table1[[#This Row],[ReorderLevel]]</f>
        <v>0</v>
      </c>
      <c r="L2753" s="9">
        <f>Table1[[#This Row],[CurrentStock]]*Table1[[#This Row],[UnitPrice]]</f>
        <v>133207.12</v>
      </c>
      <c r="M2753" t="str">
        <f>IF(Table1[[#This Row],[ReorderLevel]]-Table1[[#This Row],[CurrentStock]]&gt;0,Table1[[#This Row],[ReorderLevel]]-Table1[[#This Row],[CurrentStock]],"")</f>
        <v/>
      </c>
      <c r="N2753" t="str">
        <f>IF(Table1[[#This Row],[CurrentStock]]&gt;Table1[[#This Row],[ReorderLevel]]*3,"Over Stock","Okay")</f>
        <v>Over Stock</v>
      </c>
      <c r="O2753" t="str">
        <f>IF(Table1[[#This Row],[CurrentStock]]&lt;Table1[[#This Row],[ReorderLevel]],"Reorder","Okay")</f>
        <v>Okay</v>
      </c>
    </row>
    <row r="2754" spans="1:15" x14ac:dyDescent="0.3">
      <c r="A2754">
        <v>76186</v>
      </c>
      <c r="B2754" t="s">
        <v>21</v>
      </c>
      <c r="C2754" t="s">
        <v>31</v>
      </c>
      <c r="D2754">
        <v>274</v>
      </c>
      <c r="E2754">
        <v>100</v>
      </c>
      <c r="F2754">
        <v>39.53</v>
      </c>
      <c r="G2754" t="s">
        <v>33</v>
      </c>
      <c r="H2754" s="1">
        <v>45352</v>
      </c>
      <c r="I2754" s="1">
        <v>45379</v>
      </c>
      <c r="J2754" t="s">
        <v>37</v>
      </c>
      <c r="K2754" t="b">
        <f>Table1[[#This Row],[CurrentStock]]&lt;Table1[[#This Row],[ReorderLevel]]</f>
        <v>0</v>
      </c>
      <c r="L2754" s="9">
        <f>Table1[[#This Row],[CurrentStock]]*Table1[[#This Row],[UnitPrice]]</f>
        <v>10831.220000000001</v>
      </c>
      <c r="M2754" t="str">
        <f>IF(Table1[[#This Row],[ReorderLevel]]-Table1[[#This Row],[CurrentStock]]&gt;0,Table1[[#This Row],[ReorderLevel]]-Table1[[#This Row],[CurrentStock]],"")</f>
        <v/>
      </c>
      <c r="N2754" t="str">
        <f>IF(Table1[[#This Row],[CurrentStock]]&gt;Table1[[#This Row],[ReorderLevel]]*3,"Over Stock","Okay")</f>
        <v>Okay</v>
      </c>
      <c r="O2754" t="str">
        <f>IF(Table1[[#This Row],[CurrentStock]]&lt;Table1[[#This Row],[ReorderLevel]],"Reorder","Okay")</f>
        <v>Okay</v>
      </c>
    </row>
    <row r="2755" spans="1:15" x14ac:dyDescent="0.3">
      <c r="A2755">
        <v>63662</v>
      </c>
      <c r="B2755" t="s">
        <v>20</v>
      </c>
      <c r="C2755" t="s">
        <v>29</v>
      </c>
      <c r="D2755">
        <v>319</v>
      </c>
      <c r="E2755">
        <v>80</v>
      </c>
      <c r="F2755">
        <v>163.32</v>
      </c>
      <c r="G2755" t="s">
        <v>32</v>
      </c>
      <c r="H2755" s="1">
        <v>45372</v>
      </c>
      <c r="I2755" s="1">
        <v>45378</v>
      </c>
      <c r="J2755" t="s">
        <v>39</v>
      </c>
      <c r="K2755" t="b">
        <f>Table1[[#This Row],[CurrentStock]]&lt;Table1[[#This Row],[ReorderLevel]]</f>
        <v>0</v>
      </c>
      <c r="L2755" s="9">
        <f>Table1[[#This Row],[CurrentStock]]*Table1[[#This Row],[UnitPrice]]</f>
        <v>52099.079999999994</v>
      </c>
      <c r="M2755" t="str">
        <f>IF(Table1[[#This Row],[ReorderLevel]]-Table1[[#This Row],[CurrentStock]]&gt;0,Table1[[#This Row],[ReorderLevel]]-Table1[[#This Row],[CurrentStock]],"")</f>
        <v/>
      </c>
      <c r="N2755" t="str">
        <f>IF(Table1[[#This Row],[CurrentStock]]&gt;Table1[[#This Row],[ReorderLevel]]*3,"Over Stock","Okay")</f>
        <v>Over Stock</v>
      </c>
      <c r="O2755" t="str">
        <f>IF(Table1[[#This Row],[CurrentStock]]&lt;Table1[[#This Row],[ReorderLevel]],"Reorder","Okay")</f>
        <v>Okay</v>
      </c>
    </row>
    <row r="2756" spans="1:15" x14ac:dyDescent="0.3">
      <c r="A2756">
        <v>53671</v>
      </c>
      <c r="B2756" t="s">
        <v>10</v>
      </c>
      <c r="C2756" t="s">
        <v>27</v>
      </c>
      <c r="D2756">
        <v>391</v>
      </c>
      <c r="E2756">
        <v>30</v>
      </c>
      <c r="F2756">
        <v>113.32</v>
      </c>
      <c r="G2756" t="s">
        <v>33</v>
      </c>
      <c r="H2756" s="1">
        <v>45542</v>
      </c>
      <c r="I2756" s="1">
        <v>45568</v>
      </c>
      <c r="J2756" t="s">
        <v>37</v>
      </c>
      <c r="K2756" t="b">
        <f>Table1[[#This Row],[CurrentStock]]&lt;Table1[[#This Row],[ReorderLevel]]</f>
        <v>0</v>
      </c>
      <c r="L2756" s="9">
        <f>Table1[[#This Row],[CurrentStock]]*Table1[[#This Row],[UnitPrice]]</f>
        <v>44308.119999999995</v>
      </c>
      <c r="M2756" t="str">
        <f>IF(Table1[[#This Row],[ReorderLevel]]-Table1[[#This Row],[CurrentStock]]&gt;0,Table1[[#This Row],[ReorderLevel]]-Table1[[#This Row],[CurrentStock]],"")</f>
        <v/>
      </c>
      <c r="N2756" t="str">
        <f>IF(Table1[[#This Row],[CurrentStock]]&gt;Table1[[#This Row],[ReorderLevel]]*3,"Over Stock","Okay")</f>
        <v>Over Stock</v>
      </c>
      <c r="O2756" t="str">
        <f>IF(Table1[[#This Row],[CurrentStock]]&lt;Table1[[#This Row],[ReorderLevel]],"Reorder","Okay")</f>
        <v>Okay</v>
      </c>
    </row>
    <row r="2757" spans="1:15" x14ac:dyDescent="0.3">
      <c r="A2757">
        <v>41247</v>
      </c>
      <c r="B2757" t="s">
        <v>18</v>
      </c>
      <c r="C2757" t="s">
        <v>28</v>
      </c>
      <c r="D2757">
        <v>274</v>
      </c>
      <c r="E2757">
        <v>20</v>
      </c>
      <c r="F2757">
        <v>407.3</v>
      </c>
      <c r="G2757" t="s">
        <v>34</v>
      </c>
      <c r="H2757" s="1">
        <v>45643</v>
      </c>
      <c r="I2757" s="1">
        <v>45666</v>
      </c>
      <c r="J2757" t="s">
        <v>37</v>
      </c>
      <c r="K2757" t="b">
        <f>Table1[[#This Row],[CurrentStock]]&lt;Table1[[#This Row],[ReorderLevel]]</f>
        <v>0</v>
      </c>
      <c r="L2757" s="9">
        <f>Table1[[#This Row],[CurrentStock]]*Table1[[#This Row],[UnitPrice]]</f>
        <v>111600.2</v>
      </c>
      <c r="M2757" t="str">
        <f>IF(Table1[[#This Row],[ReorderLevel]]-Table1[[#This Row],[CurrentStock]]&gt;0,Table1[[#This Row],[ReorderLevel]]-Table1[[#This Row],[CurrentStock]],"")</f>
        <v/>
      </c>
      <c r="N2757" t="str">
        <f>IF(Table1[[#This Row],[CurrentStock]]&gt;Table1[[#This Row],[ReorderLevel]]*3,"Over Stock","Okay")</f>
        <v>Over Stock</v>
      </c>
      <c r="O2757" t="str">
        <f>IF(Table1[[#This Row],[CurrentStock]]&lt;Table1[[#This Row],[ReorderLevel]],"Reorder","Okay")</f>
        <v>Okay</v>
      </c>
    </row>
    <row r="2758" spans="1:15" x14ac:dyDescent="0.3">
      <c r="A2758">
        <v>75841</v>
      </c>
      <c r="B2758" t="s">
        <v>23</v>
      </c>
      <c r="C2758" t="s">
        <v>30</v>
      </c>
      <c r="D2758">
        <v>193</v>
      </c>
      <c r="E2758">
        <v>100</v>
      </c>
      <c r="F2758">
        <v>148.19</v>
      </c>
      <c r="G2758" t="s">
        <v>35</v>
      </c>
      <c r="H2758" s="1">
        <v>45452</v>
      </c>
      <c r="I2758" s="1">
        <v>45471</v>
      </c>
      <c r="J2758" t="s">
        <v>39</v>
      </c>
      <c r="K2758" t="b">
        <f>Table1[[#This Row],[CurrentStock]]&lt;Table1[[#This Row],[ReorderLevel]]</f>
        <v>0</v>
      </c>
      <c r="L2758" s="9">
        <f>Table1[[#This Row],[CurrentStock]]*Table1[[#This Row],[UnitPrice]]</f>
        <v>28600.67</v>
      </c>
      <c r="M2758" t="str">
        <f>IF(Table1[[#This Row],[ReorderLevel]]-Table1[[#This Row],[CurrentStock]]&gt;0,Table1[[#This Row],[ReorderLevel]]-Table1[[#This Row],[CurrentStock]],"")</f>
        <v/>
      </c>
      <c r="N2758" t="str">
        <f>IF(Table1[[#This Row],[CurrentStock]]&gt;Table1[[#This Row],[ReorderLevel]]*3,"Over Stock","Okay")</f>
        <v>Okay</v>
      </c>
      <c r="O2758" t="str">
        <f>IF(Table1[[#This Row],[CurrentStock]]&lt;Table1[[#This Row],[ReorderLevel]],"Reorder","Okay")</f>
        <v>Okay</v>
      </c>
    </row>
    <row r="2759" spans="1:15" x14ac:dyDescent="0.3">
      <c r="A2759">
        <v>65883</v>
      </c>
      <c r="B2759" t="s">
        <v>18</v>
      </c>
      <c r="C2759" t="s">
        <v>28</v>
      </c>
      <c r="D2759">
        <v>458</v>
      </c>
      <c r="E2759">
        <v>50</v>
      </c>
      <c r="F2759">
        <v>327.49</v>
      </c>
      <c r="G2759" t="s">
        <v>33</v>
      </c>
      <c r="H2759" s="1">
        <v>45490</v>
      </c>
      <c r="I2759" s="1">
        <v>45498</v>
      </c>
      <c r="J2759" t="s">
        <v>38</v>
      </c>
      <c r="K2759" t="b">
        <f>Table1[[#This Row],[CurrentStock]]&lt;Table1[[#This Row],[ReorderLevel]]</f>
        <v>0</v>
      </c>
      <c r="L2759" s="9">
        <f>Table1[[#This Row],[CurrentStock]]*Table1[[#This Row],[UnitPrice]]</f>
        <v>149990.42000000001</v>
      </c>
      <c r="M2759" t="str">
        <f>IF(Table1[[#This Row],[ReorderLevel]]-Table1[[#This Row],[CurrentStock]]&gt;0,Table1[[#This Row],[ReorderLevel]]-Table1[[#This Row],[CurrentStock]],"")</f>
        <v/>
      </c>
      <c r="N2759" t="str">
        <f>IF(Table1[[#This Row],[CurrentStock]]&gt;Table1[[#This Row],[ReorderLevel]]*3,"Over Stock","Okay")</f>
        <v>Over Stock</v>
      </c>
      <c r="O2759" t="str">
        <f>IF(Table1[[#This Row],[CurrentStock]]&lt;Table1[[#This Row],[ReorderLevel]],"Reorder","Okay")</f>
        <v>Okay</v>
      </c>
    </row>
    <row r="2760" spans="1:15" x14ac:dyDescent="0.3">
      <c r="A2760">
        <v>14808</v>
      </c>
      <c r="B2760" t="s">
        <v>20</v>
      </c>
      <c r="C2760" t="s">
        <v>29</v>
      </c>
      <c r="D2760">
        <v>83</v>
      </c>
      <c r="E2760">
        <v>150</v>
      </c>
      <c r="F2760">
        <v>483.08</v>
      </c>
      <c r="G2760" t="s">
        <v>36</v>
      </c>
      <c r="H2760" s="1">
        <v>45322</v>
      </c>
      <c r="I2760" s="1">
        <v>45361</v>
      </c>
      <c r="J2760" t="s">
        <v>38</v>
      </c>
      <c r="K2760" t="b">
        <f>Table1[[#This Row],[CurrentStock]]&lt;Table1[[#This Row],[ReorderLevel]]</f>
        <v>1</v>
      </c>
      <c r="L2760" s="9">
        <f>Table1[[#This Row],[CurrentStock]]*Table1[[#This Row],[UnitPrice]]</f>
        <v>40095.64</v>
      </c>
      <c r="M2760">
        <f>IF(Table1[[#This Row],[ReorderLevel]]-Table1[[#This Row],[CurrentStock]]&gt;0,Table1[[#This Row],[ReorderLevel]]-Table1[[#This Row],[CurrentStock]],"")</f>
        <v>67</v>
      </c>
      <c r="N2760" t="str">
        <f>IF(Table1[[#This Row],[CurrentStock]]&gt;Table1[[#This Row],[ReorderLevel]]*3,"Over Stock","Okay")</f>
        <v>Okay</v>
      </c>
      <c r="O2760" t="str">
        <f>IF(Table1[[#This Row],[CurrentStock]]&lt;Table1[[#This Row],[ReorderLevel]],"Reorder","Okay")</f>
        <v>Reorder</v>
      </c>
    </row>
    <row r="2761" spans="1:15" x14ac:dyDescent="0.3">
      <c r="A2761">
        <v>48639</v>
      </c>
      <c r="B2761" t="s">
        <v>17</v>
      </c>
      <c r="C2761" t="s">
        <v>30</v>
      </c>
      <c r="D2761">
        <v>434</v>
      </c>
      <c r="E2761">
        <v>30</v>
      </c>
      <c r="F2761">
        <v>162.38999999999999</v>
      </c>
      <c r="G2761" t="s">
        <v>36</v>
      </c>
      <c r="H2761" s="1">
        <v>45629</v>
      </c>
      <c r="I2761" s="1">
        <v>45647</v>
      </c>
      <c r="J2761" t="s">
        <v>37</v>
      </c>
      <c r="K2761" t="b">
        <f>Table1[[#This Row],[CurrentStock]]&lt;Table1[[#This Row],[ReorderLevel]]</f>
        <v>0</v>
      </c>
      <c r="L2761" s="9">
        <f>Table1[[#This Row],[CurrentStock]]*Table1[[#This Row],[UnitPrice]]</f>
        <v>70477.259999999995</v>
      </c>
      <c r="M2761" t="str">
        <f>IF(Table1[[#This Row],[ReorderLevel]]-Table1[[#This Row],[CurrentStock]]&gt;0,Table1[[#This Row],[ReorderLevel]]-Table1[[#This Row],[CurrentStock]],"")</f>
        <v/>
      </c>
      <c r="N2761" t="str">
        <f>IF(Table1[[#This Row],[CurrentStock]]&gt;Table1[[#This Row],[ReorderLevel]]*3,"Over Stock","Okay")</f>
        <v>Over Stock</v>
      </c>
      <c r="O2761" t="str">
        <f>IF(Table1[[#This Row],[CurrentStock]]&lt;Table1[[#This Row],[ReorderLevel]],"Reorder","Okay")</f>
        <v>Okay</v>
      </c>
    </row>
    <row r="2762" spans="1:15" x14ac:dyDescent="0.3">
      <c r="A2762">
        <v>53831</v>
      </c>
      <c r="B2762" t="s">
        <v>18</v>
      </c>
      <c r="C2762" t="s">
        <v>28</v>
      </c>
      <c r="D2762">
        <v>266</v>
      </c>
      <c r="E2762">
        <v>100</v>
      </c>
      <c r="F2762">
        <v>332.21</v>
      </c>
      <c r="G2762" t="s">
        <v>36</v>
      </c>
      <c r="H2762" s="1">
        <v>45323</v>
      </c>
      <c r="I2762" s="1">
        <v>45346</v>
      </c>
      <c r="J2762" t="s">
        <v>38</v>
      </c>
      <c r="K2762" t="b">
        <f>Table1[[#This Row],[CurrentStock]]&lt;Table1[[#This Row],[ReorderLevel]]</f>
        <v>0</v>
      </c>
      <c r="L2762" s="9">
        <f>Table1[[#This Row],[CurrentStock]]*Table1[[#This Row],[UnitPrice]]</f>
        <v>88367.86</v>
      </c>
      <c r="M2762" t="str">
        <f>IF(Table1[[#This Row],[ReorderLevel]]-Table1[[#This Row],[CurrentStock]]&gt;0,Table1[[#This Row],[ReorderLevel]]-Table1[[#This Row],[CurrentStock]],"")</f>
        <v/>
      </c>
      <c r="N2762" t="str">
        <f>IF(Table1[[#This Row],[CurrentStock]]&gt;Table1[[#This Row],[ReorderLevel]]*3,"Over Stock","Okay")</f>
        <v>Okay</v>
      </c>
      <c r="O2762" t="str">
        <f>IF(Table1[[#This Row],[CurrentStock]]&lt;Table1[[#This Row],[ReorderLevel]],"Reorder","Okay")</f>
        <v>Okay</v>
      </c>
    </row>
    <row r="2763" spans="1:15" x14ac:dyDescent="0.3">
      <c r="A2763">
        <v>85066</v>
      </c>
      <c r="B2763" t="s">
        <v>14</v>
      </c>
      <c r="C2763" t="s">
        <v>27</v>
      </c>
      <c r="D2763">
        <v>470</v>
      </c>
      <c r="E2763">
        <v>100</v>
      </c>
      <c r="F2763">
        <v>210.27</v>
      </c>
      <c r="G2763" t="s">
        <v>35</v>
      </c>
      <c r="H2763" s="1">
        <v>45576</v>
      </c>
      <c r="I2763" s="1">
        <v>45593</v>
      </c>
      <c r="J2763" t="s">
        <v>39</v>
      </c>
      <c r="K2763" t="b">
        <f>Table1[[#This Row],[CurrentStock]]&lt;Table1[[#This Row],[ReorderLevel]]</f>
        <v>0</v>
      </c>
      <c r="L2763" s="9">
        <f>Table1[[#This Row],[CurrentStock]]*Table1[[#This Row],[UnitPrice]]</f>
        <v>98826.900000000009</v>
      </c>
      <c r="M2763" t="str">
        <f>IF(Table1[[#This Row],[ReorderLevel]]-Table1[[#This Row],[CurrentStock]]&gt;0,Table1[[#This Row],[ReorderLevel]]-Table1[[#This Row],[CurrentStock]],"")</f>
        <v/>
      </c>
      <c r="N2763" t="str">
        <f>IF(Table1[[#This Row],[CurrentStock]]&gt;Table1[[#This Row],[ReorderLevel]]*3,"Over Stock","Okay")</f>
        <v>Over Stock</v>
      </c>
      <c r="O2763" t="str">
        <f>IF(Table1[[#This Row],[CurrentStock]]&lt;Table1[[#This Row],[ReorderLevel]],"Reorder","Okay")</f>
        <v>Okay</v>
      </c>
    </row>
    <row r="2764" spans="1:15" x14ac:dyDescent="0.3">
      <c r="A2764">
        <v>89271</v>
      </c>
      <c r="B2764" t="s">
        <v>18</v>
      </c>
      <c r="C2764" t="s">
        <v>28</v>
      </c>
      <c r="D2764">
        <v>116</v>
      </c>
      <c r="E2764">
        <v>150</v>
      </c>
      <c r="F2764">
        <v>399.09</v>
      </c>
      <c r="G2764" t="s">
        <v>33</v>
      </c>
      <c r="H2764" s="1">
        <v>45626</v>
      </c>
      <c r="I2764" s="1">
        <v>45645</v>
      </c>
      <c r="J2764" t="s">
        <v>39</v>
      </c>
      <c r="K2764" t="b">
        <f>Table1[[#This Row],[CurrentStock]]&lt;Table1[[#This Row],[ReorderLevel]]</f>
        <v>1</v>
      </c>
      <c r="L2764" s="9">
        <f>Table1[[#This Row],[CurrentStock]]*Table1[[#This Row],[UnitPrice]]</f>
        <v>46294.439999999995</v>
      </c>
      <c r="M2764">
        <f>IF(Table1[[#This Row],[ReorderLevel]]-Table1[[#This Row],[CurrentStock]]&gt;0,Table1[[#This Row],[ReorderLevel]]-Table1[[#This Row],[CurrentStock]],"")</f>
        <v>34</v>
      </c>
      <c r="N2764" t="str">
        <f>IF(Table1[[#This Row],[CurrentStock]]&gt;Table1[[#This Row],[ReorderLevel]]*3,"Over Stock","Okay")</f>
        <v>Okay</v>
      </c>
      <c r="O2764" t="str">
        <f>IF(Table1[[#This Row],[CurrentStock]]&lt;Table1[[#This Row],[ReorderLevel]],"Reorder","Okay")</f>
        <v>Reorder</v>
      </c>
    </row>
    <row r="2765" spans="1:15" x14ac:dyDescent="0.3">
      <c r="A2765">
        <v>38385</v>
      </c>
      <c r="B2765" t="s">
        <v>17</v>
      </c>
      <c r="C2765" t="s">
        <v>30</v>
      </c>
      <c r="D2765">
        <v>476</v>
      </c>
      <c r="E2765">
        <v>150</v>
      </c>
      <c r="F2765">
        <v>187.86</v>
      </c>
      <c r="G2765" t="s">
        <v>34</v>
      </c>
      <c r="H2765" s="1">
        <v>45551</v>
      </c>
      <c r="I2765" s="1">
        <v>45567</v>
      </c>
      <c r="J2765" t="s">
        <v>39</v>
      </c>
      <c r="K2765" t="b">
        <f>Table1[[#This Row],[CurrentStock]]&lt;Table1[[#This Row],[ReorderLevel]]</f>
        <v>0</v>
      </c>
      <c r="L2765" s="9">
        <f>Table1[[#This Row],[CurrentStock]]*Table1[[#This Row],[UnitPrice]]</f>
        <v>89421.36</v>
      </c>
      <c r="M2765" t="str">
        <f>IF(Table1[[#This Row],[ReorderLevel]]-Table1[[#This Row],[CurrentStock]]&gt;0,Table1[[#This Row],[ReorderLevel]]-Table1[[#This Row],[CurrentStock]],"")</f>
        <v/>
      </c>
      <c r="N2765" t="str">
        <f>IF(Table1[[#This Row],[CurrentStock]]&gt;Table1[[#This Row],[ReorderLevel]]*3,"Over Stock","Okay")</f>
        <v>Over Stock</v>
      </c>
      <c r="O2765" t="str">
        <f>IF(Table1[[#This Row],[CurrentStock]]&lt;Table1[[#This Row],[ReorderLevel]],"Reorder","Okay")</f>
        <v>Okay</v>
      </c>
    </row>
    <row r="2766" spans="1:15" x14ac:dyDescent="0.3">
      <c r="A2766">
        <v>97943</v>
      </c>
      <c r="B2766" t="s">
        <v>13</v>
      </c>
      <c r="C2766" t="s">
        <v>29</v>
      </c>
      <c r="D2766">
        <v>441</v>
      </c>
      <c r="E2766">
        <v>20</v>
      </c>
      <c r="F2766">
        <v>473.47</v>
      </c>
      <c r="G2766" t="s">
        <v>33</v>
      </c>
      <c r="H2766" s="1">
        <v>45484</v>
      </c>
      <c r="I2766" s="1">
        <v>45501</v>
      </c>
      <c r="J2766" t="s">
        <v>39</v>
      </c>
      <c r="K2766" t="b">
        <f>Table1[[#This Row],[CurrentStock]]&lt;Table1[[#This Row],[ReorderLevel]]</f>
        <v>0</v>
      </c>
      <c r="L2766" s="9">
        <f>Table1[[#This Row],[CurrentStock]]*Table1[[#This Row],[UnitPrice]]</f>
        <v>208800.27000000002</v>
      </c>
      <c r="M2766" t="str">
        <f>IF(Table1[[#This Row],[ReorderLevel]]-Table1[[#This Row],[CurrentStock]]&gt;0,Table1[[#This Row],[ReorderLevel]]-Table1[[#This Row],[CurrentStock]],"")</f>
        <v/>
      </c>
      <c r="N2766" t="str">
        <f>IF(Table1[[#This Row],[CurrentStock]]&gt;Table1[[#This Row],[ReorderLevel]]*3,"Over Stock","Okay")</f>
        <v>Over Stock</v>
      </c>
      <c r="O2766" t="str">
        <f>IF(Table1[[#This Row],[CurrentStock]]&lt;Table1[[#This Row],[ReorderLevel]],"Reorder","Okay")</f>
        <v>Okay</v>
      </c>
    </row>
    <row r="2767" spans="1:15" x14ac:dyDescent="0.3">
      <c r="A2767">
        <v>10797</v>
      </c>
      <c r="B2767" t="s">
        <v>13</v>
      </c>
      <c r="C2767" t="s">
        <v>29</v>
      </c>
      <c r="D2767">
        <v>113</v>
      </c>
      <c r="E2767">
        <v>50</v>
      </c>
      <c r="F2767">
        <v>147.63</v>
      </c>
      <c r="G2767" t="s">
        <v>33</v>
      </c>
      <c r="H2767" s="1">
        <v>45457</v>
      </c>
      <c r="I2767" s="1">
        <v>45481</v>
      </c>
      <c r="J2767" t="s">
        <v>38</v>
      </c>
      <c r="K2767" t="b">
        <f>Table1[[#This Row],[CurrentStock]]&lt;Table1[[#This Row],[ReorderLevel]]</f>
        <v>0</v>
      </c>
      <c r="L2767" s="9">
        <f>Table1[[#This Row],[CurrentStock]]*Table1[[#This Row],[UnitPrice]]</f>
        <v>16682.189999999999</v>
      </c>
      <c r="M2767" t="str">
        <f>IF(Table1[[#This Row],[ReorderLevel]]-Table1[[#This Row],[CurrentStock]]&gt;0,Table1[[#This Row],[ReorderLevel]]-Table1[[#This Row],[CurrentStock]],"")</f>
        <v/>
      </c>
      <c r="N2767" t="str">
        <f>IF(Table1[[#This Row],[CurrentStock]]&gt;Table1[[#This Row],[ReorderLevel]]*3,"Over Stock","Okay")</f>
        <v>Okay</v>
      </c>
      <c r="O2767" t="str">
        <f>IF(Table1[[#This Row],[CurrentStock]]&lt;Table1[[#This Row],[ReorderLevel]],"Reorder","Okay")</f>
        <v>Okay</v>
      </c>
    </row>
    <row r="2768" spans="1:15" x14ac:dyDescent="0.3">
      <c r="A2768">
        <v>38787</v>
      </c>
      <c r="B2768" t="s">
        <v>13</v>
      </c>
      <c r="C2768" t="s">
        <v>29</v>
      </c>
      <c r="D2768">
        <v>100</v>
      </c>
      <c r="E2768">
        <v>40</v>
      </c>
      <c r="F2768">
        <v>367.07</v>
      </c>
      <c r="G2768" t="s">
        <v>36</v>
      </c>
      <c r="H2768" s="1">
        <v>45321</v>
      </c>
      <c r="I2768" s="1">
        <v>45355</v>
      </c>
      <c r="J2768" t="s">
        <v>38</v>
      </c>
      <c r="K2768" t="b">
        <f>Table1[[#This Row],[CurrentStock]]&lt;Table1[[#This Row],[ReorderLevel]]</f>
        <v>0</v>
      </c>
      <c r="L2768" s="9">
        <f>Table1[[#This Row],[CurrentStock]]*Table1[[#This Row],[UnitPrice]]</f>
        <v>36707</v>
      </c>
      <c r="M2768" t="str">
        <f>IF(Table1[[#This Row],[ReorderLevel]]-Table1[[#This Row],[CurrentStock]]&gt;0,Table1[[#This Row],[ReorderLevel]]-Table1[[#This Row],[CurrentStock]],"")</f>
        <v/>
      </c>
      <c r="N2768" t="str">
        <f>IF(Table1[[#This Row],[CurrentStock]]&gt;Table1[[#This Row],[ReorderLevel]]*3,"Over Stock","Okay")</f>
        <v>Okay</v>
      </c>
      <c r="O2768" t="str">
        <f>IF(Table1[[#This Row],[CurrentStock]]&lt;Table1[[#This Row],[ReorderLevel]],"Reorder","Okay")</f>
        <v>Okay</v>
      </c>
    </row>
    <row r="2769" spans="1:15" x14ac:dyDescent="0.3">
      <c r="A2769">
        <v>99779</v>
      </c>
      <c r="B2769" t="s">
        <v>13</v>
      </c>
      <c r="C2769" t="s">
        <v>29</v>
      </c>
      <c r="D2769">
        <v>23</v>
      </c>
      <c r="E2769">
        <v>40</v>
      </c>
      <c r="F2769">
        <v>252</v>
      </c>
      <c r="G2769" t="s">
        <v>36</v>
      </c>
      <c r="H2769" s="1">
        <v>45460</v>
      </c>
      <c r="I2769" s="1">
        <v>45490</v>
      </c>
      <c r="J2769" t="s">
        <v>38</v>
      </c>
      <c r="K2769" t="b">
        <f>Table1[[#This Row],[CurrentStock]]&lt;Table1[[#This Row],[ReorderLevel]]</f>
        <v>1</v>
      </c>
      <c r="L2769" s="9">
        <f>Table1[[#This Row],[CurrentStock]]*Table1[[#This Row],[UnitPrice]]</f>
        <v>5796</v>
      </c>
      <c r="M2769">
        <f>IF(Table1[[#This Row],[ReorderLevel]]-Table1[[#This Row],[CurrentStock]]&gt;0,Table1[[#This Row],[ReorderLevel]]-Table1[[#This Row],[CurrentStock]],"")</f>
        <v>17</v>
      </c>
      <c r="N2769" t="str">
        <f>IF(Table1[[#This Row],[CurrentStock]]&gt;Table1[[#This Row],[ReorderLevel]]*3,"Over Stock","Okay")</f>
        <v>Okay</v>
      </c>
      <c r="O2769" t="str">
        <f>IF(Table1[[#This Row],[CurrentStock]]&lt;Table1[[#This Row],[ReorderLevel]],"Reorder","Okay")</f>
        <v>Reorder</v>
      </c>
    </row>
    <row r="2770" spans="1:15" x14ac:dyDescent="0.3">
      <c r="A2770">
        <v>79560</v>
      </c>
      <c r="B2770" t="s">
        <v>10</v>
      </c>
      <c r="C2770" t="s">
        <v>27</v>
      </c>
      <c r="D2770">
        <v>62</v>
      </c>
      <c r="E2770">
        <v>80</v>
      </c>
      <c r="F2770">
        <v>266.5</v>
      </c>
      <c r="G2770" t="s">
        <v>36</v>
      </c>
      <c r="H2770" s="1">
        <v>45602</v>
      </c>
      <c r="I2770" s="1">
        <v>45614</v>
      </c>
      <c r="J2770" t="s">
        <v>38</v>
      </c>
      <c r="K2770" t="b">
        <f>Table1[[#This Row],[CurrentStock]]&lt;Table1[[#This Row],[ReorderLevel]]</f>
        <v>1</v>
      </c>
      <c r="L2770" s="9">
        <f>Table1[[#This Row],[CurrentStock]]*Table1[[#This Row],[UnitPrice]]</f>
        <v>16523</v>
      </c>
      <c r="M2770">
        <f>IF(Table1[[#This Row],[ReorderLevel]]-Table1[[#This Row],[CurrentStock]]&gt;0,Table1[[#This Row],[ReorderLevel]]-Table1[[#This Row],[CurrentStock]],"")</f>
        <v>18</v>
      </c>
      <c r="N2770" t="str">
        <f>IF(Table1[[#This Row],[CurrentStock]]&gt;Table1[[#This Row],[ReorderLevel]]*3,"Over Stock","Okay")</f>
        <v>Okay</v>
      </c>
      <c r="O2770" t="str">
        <f>IF(Table1[[#This Row],[CurrentStock]]&lt;Table1[[#This Row],[ReorderLevel]],"Reorder","Okay")</f>
        <v>Reorder</v>
      </c>
    </row>
    <row r="2771" spans="1:15" x14ac:dyDescent="0.3">
      <c r="A2771">
        <v>39684</v>
      </c>
      <c r="B2771" t="s">
        <v>12</v>
      </c>
      <c r="C2771" t="s">
        <v>28</v>
      </c>
      <c r="D2771">
        <v>356</v>
      </c>
      <c r="E2771">
        <v>30</v>
      </c>
      <c r="F2771">
        <v>246.47</v>
      </c>
      <c r="G2771" t="s">
        <v>36</v>
      </c>
      <c r="H2771" s="1">
        <v>45604</v>
      </c>
      <c r="I2771" s="1">
        <v>45612</v>
      </c>
      <c r="J2771" t="s">
        <v>38</v>
      </c>
      <c r="K2771" t="b">
        <f>Table1[[#This Row],[CurrentStock]]&lt;Table1[[#This Row],[ReorderLevel]]</f>
        <v>0</v>
      </c>
      <c r="L2771" s="9">
        <f>Table1[[#This Row],[CurrentStock]]*Table1[[#This Row],[UnitPrice]]</f>
        <v>87743.319999999992</v>
      </c>
      <c r="M2771" t="str">
        <f>IF(Table1[[#This Row],[ReorderLevel]]-Table1[[#This Row],[CurrentStock]]&gt;0,Table1[[#This Row],[ReorderLevel]]-Table1[[#This Row],[CurrentStock]],"")</f>
        <v/>
      </c>
      <c r="N2771" t="str">
        <f>IF(Table1[[#This Row],[CurrentStock]]&gt;Table1[[#This Row],[ReorderLevel]]*3,"Over Stock","Okay")</f>
        <v>Over Stock</v>
      </c>
      <c r="O2771" t="str">
        <f>IF(Table1[[#This Row],[CurrentStock]]&lt;Table1[[#This Row],[ReorderLevel]],"Reorder","Okay")</f>
        <v>Okay</v>
      </c>
    </row>
    <row r="2772" spans="1:15" x14ac:dyDescent="0.3">
      <c r="A2772">
        <v>50910</v>
      </c>
      <c r="B2772" t="s">
        <v>17</v>
      </c>
      <c r="C2772" t="s">
        <v>30</v>
      </c>
      <c r="D2772">
        <v>327</v>
      </c>
      <c r="E2772">
        <v>20</v>
      </c>
      <c r="F2772">
        <v>425.61</v>
      </c>
      <c r="G2772" t="s">
        <v>33</v>
      </c>
      <c r="H2772" s="1">
        <v>45373</v>
      </c>
      <c r="I2772" s="1">
        <v>45387</v>
      </c>
      <c r="J2772" t="s">
        <v>37</v>
      </c>
      <c r="K2772" t="b">
        <f>Table1[[#This Row],[CurrentStock]]&lt;Table1[[#This Row],[ReorderLevel]]</f>
        <v>0</v>
      </c>
      <c r="L2772" s="9">
        <f>Table1[[#This Row],[CurrentStock]]*Table1[[#This Row],[UnitPrice]]</f>
        <v>139174.47</v>
      </c>
      <c r="M2772" t="str">
        <f>IF(Table1[[#This Row],[ReorderLevel]]-Table1[[#This Row],[CurrentStock]]&gt;0,Table1[[#This Row],[ReorderLevel]]-Table1[[#This Row],[CurrentStock]],"")</f>
        <v/>
      </c>
      <c r="N2772" t="str">
        <f>IF(Table1[[#This Row],[CurrentStock]]&gt;Table1[[#This Row],[ReorderLevel]]*3,"Over Stock","Okay")</f>
        <v>Over Stock</v>
      </c>
      <c r="O2772" t="str">
        <f>IF(Table1[[#This Row],[CurrentStock]]&lt;Table1[[#This Row],[ReorderLevel]],"Reorder","Okay")</f>
        <v>Okay</v>
      </c>
    </row>
    <row r="2773" spans="1:15" x14ac:dyDescent="0.3">
      <c r="A2773">
        <v>52706</v>
      </c>
      <c r="B2773" t="s">
        <v>15</v>
      </c>
      <c r="C2773" t="s">
        <v>29</v>
      </c>
      <c r="D2773">
        <v>364</v>
      </c>
      <c r="E2773">
        <v>20</v>
      </c>
      <c r="F2773">
        <v>125.56</v>
      </c>
      <c r="G2773" t="s">
        <v>32</v>
      </c>
      <c r="H2773" s="1">
        <v>45326</v>
      </c>
      <c r="I2773" s="1">
        <v>45351</v>
      </c>
      <c r="J2773" t="s">
        <v>37</v>
      </c>
      <c r="K2773" t="b">
        <f>Table1[[#This Row],[CurrentStock]]&lt;Table1[[#This Row],[ReorderLevel]]</f>
        <v>0</v>
      </c>
      <c r="L2773" s="9">
        <f>Table1[[#This Row],[CurrentStock]]*Table1[[#This Row],[UnitPrice]]</f>
        <v>45703.840000000004</v>
      </c>
      <c r="M2773" t="str">
        <f>IF(Table1[[#This Row],[ReorderLevel]]-Table1[[#This Row],[CurrentStock]]&gt;0,Table1[[#This Row],[ReorderLevel]]-Table1[[#This Row],[CurrentStock]],"")</f>
        <v/>
      </c>
      <c r="N2773" t="str">
        <f>IF(Table1[[#This Row],[CurrentStock]]&gt;Table1[[#This Row],[ReorderLevel]]*3,"Over Stock","Okay")</f>
        <v>Over Stock</v>
      </c>
      <c r="O2773" t="str">
        <f>IF(Table1[[#This Row],[CurrentStock]]&lt;Table1[[#This Row],[ReorderLevel]],"Reorder","Okay")</f>
        <v>Okay</v>
      </c>
    </row>
    <row r="2774" spans="1:15" x14ac:dyDescent="0.3">
      <c r="A2774">
        <v>16377</v>
      </c>
      <c r="B2774" t="s">
        <v>22</v>
      </c>
      <c r="C2774" t="s">
        <v>27</v>
      </c>
      <c r="D2774">
        <v>251</v>
      </c>
      <c r="E2774">
        <v>40</v>
      </c>
      <c r="F2774">
        <v>187.42</v>
      </c>
      <c r="G2774" t="s">
        <v>32</v>
      </c>
      <c r="H2774" s="1">
        <v>45510</v>
      </c>
      <c r="I2774" s="1">
        <v>45532</v>
      </c>
      <c r="J2774" t="s">
        <v>37</v>
      </c>
      <c r="K2774" t="b">
        <f>Table1[[#This Row],[CurrentStock]]&lt;Table1[[#This Row],[ReorderLevel]]</f>
        <v>0</v>
      </c>
      <c r="L2774" s="9">
        <f>Table1[[#This Row],[CurrentStock]]*Table1[[#This Row],[UnitPrice]]</f>
        <v>47042.42</v>
      </c>
      <c r="M2774" t="str">
        <f>IF(Table1[[#This Row],[ReorderLevel]]-Table1[[#This Row],[CurrentStock]]&gt;0,Table1[[#This Row],[ReorderLevel]]-Table1[[#This Row],[CurrentStock]],"")</f>
        <v/>
      </c>
      <c r="N2774" t="str">
        <f>IF(Table1[[#This Row],[CurrentStock]]&gt;Table1[[#This Row],[ReorderLevel]]*3,"Over Stock","Okay")</f>
        <v>Over Stock</v>
      </c>
      <c r="O2774" t="str">
        <f>IF(Table1[[#This Row],[CurrentStock]]&lt;Table1[[#This Row],[ReorderLevel]],"Reorder","Okay")</f>
        <v>Okay</v>
      </c>
    </row>
    <row r="2775" spans="1:15" x14ac:dyDescent="0.3">
      <c r="A2775">
        <v>56729</v>
      </c>
      <c r="B2775" t="s">
        <v>26</v>
      </c>
      <c r="C2775" t="s">
        <v>30</v>
      </c>
      <c r="D2775">
        <v>212</v>
      </c>
      <c r="E2775">
        <v>50</v>
      </c>
      <c r="F2775">
        <v>279.57</v>
      </c>
      <c r="G2775" t="s">
        <v>36</v>
      </c>
      <c r="H2775" s="1">
        <v>45348</v>
      </c>
      <c r="I2775" s="1">
        <v>45383</v>
      </c>
      <c r="J2775" t="s">
        <v>37</v>
      </c>
      <c r="K2775" t="b">
        <f>Table1[[#This Row],[CurrentStock]]&lt;Table1[[#This Row],[ReorderLevel]]</f>
        <v>0</v>
      </c>
      <c r="L2775" s="9">
        <f>Table1[[#This Row],[CurrentStock]]*Table1[[#This Row],[UnitPrice]]</f>
        <v>59268.84</v>
      </c>
      <c r="M2775" t="str">
        <f>IF(Table1[[#This Row],[ReorderLevel]]-Table1[[#This Row],[CurrentStock]]&gt;0,Table1[[#This Row],[ReorderLevel]]-Table1[[#This Row],[CurrentStock]],"")</f>
        <v/>
      </c>
      <c r="N2775" t="str">
        <f>IF(Table1[[#This Row],[CurrentStock]]&gt;Table1[[#This Row],[ReorderLevel]]*3,"Over Stock","Okay")</f>
        <v>Over Stock</v>
      </c>
      <c r="O2775" t="str">
        <f>IF(Table1[[#This Row],[CurrentStock]]&lt;Table1[[#This Row],[ReorderLevel]],"Reorder","Okay")</f>
        <v>Okay</v>
      </c>
    </row>
    <row r="2776" spans="1:15" x14ac:dyDescent="0.3">
      <c r="A2776">
        <v>19642</v>
      </c>
      <c r="B2776" t="s">
        <v>21</v>
      </c>
      <c r="C2776" t="s">
        <v>31</v>
      </c>
      <c r="D2776">
        <v>10</v>
      </c>
      <c r="E2776">
        <v>150</v>
      </c>
      <c r="F2776">
        <v>293.88</v>
      </c>
      <c r="G2776" t="s">
        <v>33</v>
      </c>
      <c r="H2776" s="1">
        <v>45421</v>
      </c>
      <c r="I2776" s="1">
        <v>45433</v>
      </c>
      <c r="J2776" t="s">
        <v>39</v>
      </c>
      <c r="K2776" t="b">
        <f>Table1[[#This Row],[CurrentStock]]&lt;Table1[[#This Row],[ReorderLevel]]</f>
        <v>1</v>
      </c>
      <c r="L2776" s="9">
        <f>Table1[[#This Row],[CurrentStock]]*Table1[[#This Row],[UnitPrice]]</f>
        <v>2938.8</v>
      </c>
      <c r="M2776">
        <f>IF(Table1[[#This Row],[ReorderLevel]]-Table1[[#This Row],[CurrentStock]]&gt;0,Table1[[#This Row],[ReorderLevel]]-Table1[[#This Row],[CurrentStock]],"")</f>
        <v>140</v>
      </c>
      <c r="N2776" t="str">
        <f>IF(Table1[[#This Row],[CurrentStock]]&gt;Table1[[#This Row],[ReorderLevel]]*3,"Over Stock","Okay")</f>
        <v>Okay</v>
      </c>
      <c r="O2776" t="str">
        <f>IF(Table1[[#This Row],[CurrentStock]]&lt;Table1[[#This Row],[ReorderLevel]],"Reorder","Okay")</f>
        <v>Reorder</v>
      </c>
    </row>
    <row r="2777" spans="1:15" x14ac:dyDescent="0.3">
      <c r="A2777">
        <v>32105</v>
      </c>
      <c r="B2777" t="s">
        <v>10</v>
      </c>
      <c r="C2777" t="s">
        <v>27</v>
      </c>
      <c r="D2777">
        <v>134</v>
      </c>
      <c r="E2777">
        <v>50</v>
      </c>
      <c r="F2777">
        <v>486.3</v>
      </c>
      <c r="G2777" t="s">
        <v>32</v>
      </c>
      <c r="H2777" s="1">
        <v>45421</v>
      </c>
      <c r="I2777" s="1">
        <v>45457</v>
      </c>
      <c r="J2777" t="s">
        <v>37</v>
      </c>
      <c r="K2777" t="b">
        <f>Table1[[#This Row],[CurrentStock]]&lt;Table1[[#This Row],[ReorderLevel]]</f>
        <v>0</v>
      </c>
      <c r="L2777" s="9">
        <f>Table1[[#This Row],[CurrentStock]]*Table1[[#This Row],[UnitPrice]]</f>
        <v>65164.200000000004</v>
      </c>
      <c r="M2777" t="str">
        <f>IF(Table1[[#This Row],[ReorderLevel]]-Table1[[#This Row],[CurrentStock]]&gt;0,Table1[[#This Row],[ReorderLevel]]-Table1[[#This Row],[CurrentStock]],"")</f>
        <v/>
      </c>
      <c r="N2777" t="str">
        <f>IF(Table1[[#This Row],[CurrentStock]]&gt;Table1[[#This Row],[ReorderLevel]]*3,"Over Stock","Okay")</f>
        <v>Okay</v>
      </c>
      <c r="O2777" t="str">
        <f>IF(Table1[[#This Row],[CurrentStock]]&lt;Table1[[#This Row],[ReorderLevel]],"Reorder","Okay")</f>
        <v>Okay</v>
      </c>
    </row>
    <row r="2778" spans="1:15" x14ac:dyDescent="0.3">
      <c r="A2778">
        <v>41428</v>
      </c>
      <c r="B2778" t="s">
        <v>24</v>
      </c>
      <c r="C2778" t="s">
        <v>31</v>
      </c>
      <c r="D2778">
        <v>248</v>
      </c>
      <c r="E2778">
        <v>80</v>
      </c>
      <c r="F2778">
        <v>25.02</v>
      </c>
      <c r="G2778" t="s">
        <v>32</v>
      </c>
      <c r="H2778" s="1">
        <v>45338</v>
      </c>
      <c r="I2778" s="1">
        <v>45372</v>
      </c>
      <c r="J2778" t="s">
        <v>39</v>
      </c>
      <c r="K2778" t="b">
        <f>Table1[[#This Row],[CurrentStock]]&lt;Table1[[#This Row],[ReorderLevel]]</f>
        <v>0</v>
      </c>
      <c r="L2778" s="9">
        <f>Table1[[#This Row],[CurrentStock]]*Table1[[#This Row],[UnitPrice]]</f>
        <v>6204.96</v>
      </c>
      <c r="M2778" t="str">
        <f>IF(Table1[[#This Row],[ReorderLevel]]-Table1[[#This Row],[CurrentStock]]&gt;0,Table1[[#This Row],[ReorderLevel]]-Table1[[#This Row],[CurrentStock]],"")</f>
        <v/>
      </c>
      <c r="N2778" t="str">
        <f>IF(Table1[[#This Row],[CurrentStock]]&gt;Table1[[#This Row],[ReorderLevel]]*3,"Over Stock","Okay")</f>
        <v>Over Stock</v>
      </c>
      <c r="O2778" t="str">
        <f>IF(Table1[[#This Row],[CurrentStock]]&lt;Table1[[#This Row],[ReorderLevel]],"Reorder","Okay")</f>
        <v>Okay</v>
      </c>
    </row>
    <row r="2779" spans="1:15" x14ac:dyDescent="0.3">
      <c r="A2779">
        <v>99547</v>
      </c>
      <c r="B2779" t="s">
        <v>21</v>
      </c>
      <c r="C2779" t="s">
        <v>31</v>
      </c>
      <c r="D2779">
        <v>288</v>
      </c>
      <c r="E2779">
        <v>40</v>
      </c>
      <c r="F2779">
        <v>476.77</v>
      </c>
      <c r="G2779" t="s">
        <v>32</v>
      </c>
      <c r="H2779" s="1">
        <v>45350</v>
      </c>
      <c r="I2779" s="1">
        <v>45373</v>
      </c>
      <c r="J2779" t="s">
        <v>38</v>
      </c>
      <c r="K2779" t="b">
        <f>Table1[[#This Row],[CurrentStock]]&lt;Table1[[#This Row],[ReorderLevel]]</f>
        <v>0</v>
      </c>
      <c r="L2779" s="9">
        <f>Table1[[#This Row],[CurrentStock]]*Table1[[#This Row],[UnitPrice]]</f>
        <v>137309.76000000001</v>
      </c>
      <c r="M2779" t="str">
        <f>IF(Table1[[#This Row],[ReorderLevel]]-Table1[[#This Row],[CurrentStock]]&gt;0,Table1[[#This Row],[ReorderLevel]]-Table1[[#This Row],[CurrentStock]],"")</f>
        <v/>
      </c>
      <c r="N2779" t="str">
        <f>IF(Table1[[#This Row],[CurrentStock]]&gt;Table1[[#This Row],[ReorderLevel]]*3,"Over Stock","Okay")</f>
        <v>Over Stock</v>
      </c>
      <c r="O2779" t="str">
        <f>IF(Table1[[#This Row],[CurrentStock]]&lt;Table1[[#This Row],[ReorderLevel]],"Reorder","Okay")</f>
        <v>Okay</v>
      </c>
    </row>
    <row r="2780" spans="1:15" x14ac:dyDescent="0.3">
      <c r="A2780">
        <v>70938</v>
      </c>
      <c r="B2780" t="s">
        <v>20</v>
      </c>
      <c r="C2780" t="s">
        <v>29</v>
      </c>
      <c r="D2780">
        <v>368</v>
      </c>
      <c r="E2780">
        <v>150</v>
      </c>
      <c r="F2780">
        <v>337.14</v>
      </c>
      <c r="G2780" t="s">
        <v>32</v>
      </c>
      <c r="H2780" s="1">
        <v>45374</v>
      </c>
      <c r="I2780" s="1">
        <v>45401</v>
      </c>
      <c r="J2780" t="s">
        <v>37</v>
      </c>
      <c r="K2780" t="b">
        <f>Table1[[#This Row],[CurrentStock]]&lt;Table1[[#This Row],[ReorderLevel]]</f>
        <v>0</v>
      </c>
      <c r="L2780" s="9">
        <f>Table1[[#This Row],[CurrentStock]]*Table1[[#This Row],[UnitPrice]]</f>
        <v>124067.51999999999</v>
      </c>
      <c r="M2780" t="str">
        <f>IF(Table1[[#This Row],[ReorderLevel]]-Table1[[#This Row],[CurrentStock]]&gt;0,Table1[[#This Row],[ReorderLevel]]-Table1[[#This Row],[CurrentStock]],"")</f>
        <v/>
      </c>
      <c r="N2780" t="str">
        <f>IF(Table1[[#This Row],[CurrentStock]]&gt;Table1[[#This Row],[ReorderLevel]]*3,"Over Stock","Okay")</f>
        <v>Okay</v>
      </c>
      <c r="O2780" t="str">
        <f>IF(Table1[[#This Row],[CurrentStock]]&lt;Table1[[#This Row],[ReorderLevel]],"Reorder","Okay")</f>
        <v>Okay</v>
      </c>
    </row>
    <row r="2781" spans="1:15" x14ac:dyDescent="0.3">
      <c r="A2781">
        <v>68559</v>
      </c>
      <c r="B2781" t="s">
        <v>14</v>
      </c>
      <c r="C2781" t="s">
        <v>27</v>
      </c>
      <c r="D2781">
        <v>102</v>
      </c>
      <c r="E2781">
        <v>40</v>
      </c>
      <c r="F2781">
        <v>175.99</v>
      </c>
      <c r="G2781" t="s">
        <v>33</v>
      </c>
      <c r="H2781" s="1">
        <v>45463</v>
      </c>
      <c r="I2781" s="1">
        <v>45494</v>
      </c>
      <c r="J2781" t="s">
        <v>38</v>
      </c>
      <c r="K2781" t="b">
        <f>Table1[[#This Row],[CurrentStock]]&lt;Table1[[#This Row],[ReorderLevel]]</f>
        <v>0</v>
      </c>
      <c r="L2781" s="9">
        <f>Table1[[#This Row],[CurrentStock]]*Table1[[#This Row],[UnitPrice]]</f>
        <v>17950.98</v>
      </c>
      <c r="M2781" t="str">
        <f>IF(Table1[[#This Row],[ReorderLevel]]-Table1[[#This Row],[CurrentStock]]&gt;0,Table1[[#This Row],[ReorderLevel]]-Table1[[#This Row],[CurrentStock]],"")</f>
        <v/>
      </c>
      <c r="N2781" t="str">
        <f>IF(Table1[[#This Row],[CurrentStock]]&gt;Table1[[#This Row],[ReorderLevel]]*3,"Over Stock","Okay")</f>
        <v>Okay</v>
      </c>
      <c r="O2781" t="str">
        <f>IF(Table1[[#This Row],[CurrentStock]]&lt;Table1[[#This Row],[ReorderLevel]],"Reorder","Okay")</f>
        <v>Okay</v>
      </c>
    </row>
    <row r="2782" spans="1:15" x14ac:dyDescent="0.3">
      <c r="A2782">
        <v>81445</v>
      </c>
      <c r="B2782" t="s">
        <v>25</v>
      </c>
      <c r="C2782" t="s">
        <v>31</v>
      </c>
      <c r="D2782">
        <v>372</v>
      </c>
      <c r="E2782">
        <v>50</v>
      </c>
      <c r="F2782">
        <v>6.22</v>
      </c>
      <c r="G2782" t="s">
        <v>34</v>
      </c>
      <c r="H2782" s="1">
        <v>45486</v>
      </c>
      <c r="I2782" s="1">
        <v>45492</v>
      </c>
      <c r="J2782" t="s">
        <v>37</v>
      </c>
      <c r="K2782" t="b">
        <f>Table1[[#This Row],[CurrentStock]]&lt;Table1[[#This Row],[ReorderLevel]]</f>
        <v>0</v>
      </c>
      <c r="L2782" s="9">
        <f>Table1[[#This Row],[CurrentStock]]*Table1[[#This Row],[UnitPrice]]</f>
        <v>2313.8399999999997</v>
      </c>
      <c r="M2782" t="str">
        <f>IF(Table1[[#This Row],[ReorderLevel]]-Table1[[#This Row],[CurrentStock]]&gt;0,Table1[[#This Row],[ReorderLevel]]-Table1[[#This Row],[CurrentStock]],"")</f>
        <v/>
      </c>
      <c r="N2782" t="str">
        <f>IF(Table1[[#This Row],[CurrentStock]]&gt;Table1[[#This Row],[ReorderLevel]]*3,"Over Stock","Okay")</f>
        <v>Over Stock</v>
      </c>
      <c r="O2782" t="str">
        <f>IF(Table1[[#This Row],[CurrentStock]]&lt;Table1[[#This Row],[ReorderLevel]],"Reorder","Okay")</f>
        <v>Okay</v>
      </c>
    </row>
    <row r="2783" spans="1:15" x14ac:dyDescent="0.3">
      <c r="A2783">
        <v>18894</v>
      </c>
      <c r="B2783" t="s">
        <v>20</v>
      </c>
      <c r="C2783" t="s">
        <v>29</v>
      </c>
      <c r="D2783">
        <v>203</v>
      </c>
      <c r="E2783">
        <v>50</v>
      </c>
      <c r="F2783">
        <v>370.33</v>
      </c>
      <c r="G2783" t="s">
        <v>32</v>
      </c>
      <c r="H2783" s="1">
        <v>45514</v>
      </c>
      <c r="I2783" s="1">
        <v>45535</v>
      </c>
      <c r="J2783" t="s">
        <v>39</v>
      </c>
      <c r="K2783" t="b">
        <f>Table1[[#This Row],[CurrentStock]]&lt;Table1[[#This Row],[ReorderLevel]]</f>
        <v>0</v>
      </c>
      <c r="L2783" s="9">
        <f>Table1[[#This Row],[CurrentStock]]*Table1[[#This Row],[UnitPrice]]</f>
        <v>75176.989999999991</v>
      </c>
      <c r="M2783" t="str">
        <f>IF(Table1[[#This Row],[ReorderLevel]]-Table1[[#This Row],[CurrentStock]]&gt;0,Table1[[#This Row],[ReorderLevel]]-Table1[[#This Row],[CurrentStock]],"")</f>
        <v/>
      </c>
      <c r="N2783" t="str">
        <f>IF(Table1[[#This Row],[CurrentStock]]&gt;Table1[[#This Row],[ReorderLevel]]*3,"Over Stock","Okay")</f>
        <v>Over Stock</v>
      </c>
      <c r="O2783" t="str">
        <f>IF(Table1[[#This Row],[CurrentStock]]&lt;Table1[[#This Row],[ReorderLevel]],"Reorder","Okay")</f>
        <v>Okay</v>
      </c>
    </row>
    <row r="2784" spans="1:15" x14ac:dyDescent="0.3">
      <c r="A2784">
        <v>47208</v>
      </c>
      <c r="B2784" t="s">
        <v>25</v>
      </c>
      <c r="C2784" t="s">
        <v>31</v>
      </c>
      <c r="D2784">
        <v>275</v>
      </c>
      <c r="E2784">
        <v>100</v>
      </c>
      <c r="F2784">
        <v>313.89</v>
      </c>
      <c r="G2784" t="s">
        <v>33</v>
      </c>
      <c r="H2784" s="1">
        <v>45594</v>
      </c>
      <c r="I2784" s="1">
        <v>45610</v>
      </c>
      <c r="J2784" t="s">
        <v>39</v>
      </c>
      <c r="K2784" t="b">
        <f>Table1[[#This Row],[CurrentStock]]&lt;Table1[[#This Row],[ReorderLevel]]</f>
        <v>0</v>
      </c>
      <c r="L2784" s="9">
        <f>Table1[[#This Row],[CurrentStock]]*Table1[[#This Row],[UnitPrice]]</f>
        <v>86319.75</v>
      </c>
      <c r="M2784" t="str">
        <f>IF(Table1[[#This Row],[ReorderLevel]]-Table1[[#This Row],[CurrentStock]]&gt;0,Table1[[#This Row],[ReorderLevel]]-Table1[[#This Row],[CurrentStock]],"")</f>
        <v/>
      </c>
      <c r="N2784" t="str">
        <f>IF(Table1[[#This Row],[CurrentStock]]&gt;Table1[[#This Row],[ReorderLevel]]*3,"Over Stock","Okay")</f>
        <v>Okay</v>
      </c>
      <c r="O2784" t="str">
        <f>IF(Table1[[#This Row],[CurrentStock]]&lt;Table1[[#This Row],[ReorderLevel]],"Reorder","Okay")</f>
        <v>Okay</v>
      </c>
    </row>
    <row r="2785" spans="1:15" x14ac:dyDescent="0.3">
      <c r="A2785">
        <v>12936</v>
      </c>
      <c r="B2785" t="s">
        <v>24</v>
      </c>
      <c r="C2785" t="s">
        <v>31</v>
      </c>
      <c r="D2785">
        <v>444</v>
      </c>
      <c r="E2785">
        <v>150</v>
      </c>
      <c r="F2785">
        <v>265.25</v>
      </c>
      <c r="G2785" t="s">
        <v>35</v>
      </c>
      <c r="H2785" s="1">
        <v>45534</v>
      </c>
      <c r="I2785" s="1">
        <v>45559</v>
      </c>
      <c r="J2785" t="s">
        <v>39</v>
      </c>
      <c r="K2785" t="b">
        <f>Table1[[#This Row],[CurrentStock]]&lt;Table1[[#This Row],[ReorderLevel]]</f>
        <v>0</v>
      </c>
      <c r="L2785" s="9">
        <f>Table1[[#This Row],[CurrentStock]]*Table1[[#This Row],[UnitPrice]]</f>
        <v>117771</v>
      </c>
      <c r="M2785" t="str">
        <f>IF(Table1[[#This Row],[ReorderLevel]]-Table1[[#This Row],[CurrentStock]]&gt;0,Table1[[#This Row],[ReorderLevel]]-Table1[[#This Row],[CurrentStock]],"")</f>
        <v/>
      </c>
      <c r="N2785" t="str">
        <f>IF(Table1[[#This Row],[CurrentStock]]&gt;Table1[[#This Row],[ReorderLevel]]*3,"Over Stock","Okay")</f>
        <v>Okay</v>
      </c>
      <c r="O2785" t="str">
        <f>IF(Table1[[#This Row],[CurrentStock]]&lt;Table1[[#This Row],[ReorderLevel]],"Reorder","Okay")</f>
        <v>Okay</v>
      </c>
    </row>
    <row r="2786" spans="1:15" x14ac:dyDescent="0.3">
      <c r="A2786">
        <v>42286</v>
      </c>
      <c r="B2786" t="s">
        <v>11</v>
      </c>
      <c r="C2786" t="s">
        <v>27</v>
      </c>
      <c r="D2786">
        <v>472</v>
      </c>
      <c r="E2786">
        <v>50</v>
      </c>
      <c r="F2786">
        <v>317.98</v>
      </c>
      <c r="G2786" t="s">
        <v>33</v>
      </c>
      <c r="H2786" s="1">
        <v>45328</v>
      </c>
      <c r="I2786" s="1">
        <v>45344</v>
      </c>
      <c r="J2786" t="s">
        <v>39</v>
      </c>
      <c r="K2786" t="b">
        <f>Table1[[#This Row],[CurrentStock]]&lt;Table1[[#This Row],[ReorderLevel]]</f>
        <v>0</v>
      </c>
      <c r="L2786" s="9">
        <f>Table1[[#This Row],[CurrentStock]]*Table1[[#This Row],[UnitPrice]]</f>
        <v>150086.56</v>
      </c>
      <c r="M2786" t="str">
        <f>IF(Table1[[#This Row],[ReorderLevel]]-Table1[[#This Row],[CurrentStock]]&gt;0,Table1[[#This Row],[ReorderLevel]]-Table1[[#This Row],[CurrentStock]],"")</f>
        <v/>
      </c>
      <c r="N2786" t="str">
        <f>IF(Table1[[#This Row],[CurrentStock]]&gt;Table1[[#This Row],[ReorderLevel]]*3,"Over Stock","Okay")</f>
        <v>Over Stock</v>
      </c>
      <c r="O2786" t="str">
        <f>IF(Table1[[#This Row],[CurrentStock]]&lt;Table1[[#This Row],[ReorderLevel]],"Reorder","Okay")</f>
        <v>Okay</v>
      </c>
    </row>
    <row r="2787" spans="1:15" x14ac:dyDescent="0.3">
      <c r="A2787">
        <v>13960</v>
      </c>
      <c r="B2787" t="s">
        <v>19</v>
      </c>
      <c r="C2787" t="s">
        <v>28</v>
      </c>
      <c r="D2787">
        <v>94</v>
      </c>
      <c r="E2787">
        <v>150</v>
      </c>
      <c r="F2787">
        <v>37.049999999999997</v>
      </c>
      <c r="G2787" t="s">
        <v>32</v>
      </c>
      <c r="H2787" s="1">
        <v>45414</v>
      </c>
      <c r="I2787" s="1">
        <v>45447</v>
      </c>
      <c r="J2787" t="s">
        <v>39</v>
      </c>
      <c r="K2787" t="b">
        <f>Table1[[#This Row],[CurrentStock]]&lt;Table1[[#This Row],[ReorderLevel]]</f>
        <v>1</v>
      </c>
      <c r="L2787" s="9">
        <f>Table1[[#This Row],[CurrentStock]]*Table1[[#This Row],[UnitPrice]]</f>
        <v>3482.7</v>
      </c>
      <c r="M2787">
        <f>IF(Table1[[#This Row],[ReorderLevel]]-Table1[[#This Row],[CurrentStock]]&gt;0,Table1[[#This Row],[ReorderLevel]]-Table1[[#This Row],[CurrentStock]],"")</f>
        <v>56</v>
      </c>
      <c r="N2787" t="str">
        <f>IF(Table1[[#This Row],[CurrentStock]]&gt;Table1[[#This Row],[ReorderLevel]]*3,"Over Stock","Okay")</f>
        <v>Okay</v>
      </c>
      <c r="O2787" t="str">
        <f>IF(Table1[[#This Row],[CurrentStock]]&lt;Table1[[#This Row],[ReorderLevel]],"Reorder","Okay")</f>
        <v>Reorder</v>
      </c>
    </row>
    <row r="2788" spans="1:15" x14ac:dyDescent="0.3">
      <c r="A2788">
        <v>69977</v>
      </c>
      <c r="B2788" t="s">
        <v>23</v>
      </c>
      <c r="C2788" t="s">
        <v>30</v>
      </c>
      <c r="D2788">
        <v>406</v>
      </c>
      <c r="E2788">
        <v>50</v>
      </c>
      <c r="F2788">
        <v>384.28</v>
      </c>
      <c r="G2788" t="s">
        <v>34</v>
      </c>
      <c r="H2788" s="1">
        <v>45603</v>
      </c>
      <c r="I2788" s="1">
        <v>45620</v>
      </c>
      <c r="J2788" t="s">
        <v>38</v>
      </c>
      <c r="K2788" t="b">
        <f>Table1[[#This Row],[CurrentStock]]&lt;Table1[[#This Row],[ReorderLevel]]</f>
        <v>0</v>
      </c>
      <c r="L2788" s="9">
        <f>Table1[[#This Row],[CurrentStock]]*Table1[[#This Row],[UnitPrice]]</f>
        <v>156017.68</v>
      </c>
      <c r="M2788" t="str">
        <f>IF(Table1[[#This Row],[ReorderLevel]]-Table1[[#This Row],[CurrentStock]]&gt;0,Table1[[#This Row],[ReorderLevel]]-Table1[[#This Row],[CurrentStock]],"")</f>
        <v/>
      </c>
      <c r="N2788" t="str">
        <f>IF(Table1[[#This Row],[CurrentStock]]&gt;Table1[[#This Row],[ReorderLevel]]*3,"Over Stock","Okay")</f>
        <v>Over Stock</v>
      </c>
      <c r="O2788" t="str">
        <f>IF(Table1[[#This Row],[CurrentStock]]&lt;Table1[[#This Row],[ReorderLevel]],"Reorder","Okay")</f>
        <v>Okay</v>
      </c>
    </row>
    <row r="2789" spans="1:15" x14ac:dyDescent="0.3">
      <c r="A2789">
        <v>35180</v>
      </c>
      <c r="B2789" t="s">
        <v>16</v>
      </c>
      <c r="C2789" t="s">
        <v>30</v>
      </c>
      <c r="D2789">
        <v>466</v>
      </c>
      <c r="E2789">
        <v>80</v>
      </c>
      <c r="F2789">
        <v>422.41</v>
      </c>
      <c r="G2789" t="s">
        <v>36</v>
      </c>
      <c r="H2789" s="1">
        <v>45498</v>
      </c>
      <c r="I2789" s="1">
        <v>45516</v>
      </c>
      <c r="J2789" t="s">
        <v>39</v>
      </c>
      <c r="K2789" t="b">
        <f>Table1[[#This Row],[CurrentStock]]&lt;Table1[[#This Row],[ReorderLevel]]</f>
        <v>0</v>
      </c>
      <c r="L2789" s="9">
        <f>Table1[[#This Row],[CurrentStock]]*Table1[[#This Row],[UnitPrice]]</f>
        <v>196843.06</v>
      </c>
      <c r="M2789" t="str">
        <f>IF(Table1[[#This Row],[ReorderLevel]]-Table1[[#This Row],[CurrentStock]]&gt;0,Table1[[#This Row],[ReorderLevel]]-Table1[[#This Row],[CurrentStock]],"")</f>
        <v/>
      </c>
      <c r="N2789" t="str">
        <f>IF(Table1[[#This Row],[CurrentStock]]&gt;Table1[[#This Row],[ReorderLevel]]*3,"Over Stock","Okay")</f>
        <v>Over Stock</v>
      </c>
      <c r="O2789" t="str">
        <f>IF(Table1[[#This Row],[CurrentStock]]&lt;Table1[[#This Row],[ReorderLevel]],"Reorder","Okay")</f>
        <v>Okay</v>
      </c>
    </row>
    <row r="2790" spans="1:15" x14ac:dyDescent="0.3">
      <c r="A2790">
        <v>35236</v>
      </c>
      <c r="B2790" t="s">
        <v>12</v>
      </c>
      <c r="C2790" t="s">
        <v>28</v>
      </c>
      <c r="D2790">
        <v>178</v>
      </c>
      <c r="E2790">
        <v>20</v>
      </c>
      <c r="F2790">
        <v>113.48</v>
      </c>
      <c r="G2790" t="s">
        <v>34</v>
      </c>
      <c r="H2790" s="1">
        <v>45355</v>
      </c>
      <c r="I2790" s="1">
        <v>45386</v>
      </c>
      <c r="J2790" t="s">
        <v>37</v>
      </c>
      <c r="K2790" t="b">
        <f>Table1[[#This Row],[CurrentStock]]&lt;Table1[[#This Row],[ReorderLevel]]</f>
        <v>0</v>
      </c>
      <c r="L2790" s="9">
        <f>Table1[[#This Row],[CurrentStock]]*Table1[[#This Row],[UnitPrice]]</f>
        <v>20199.440000000002</v>
      </c>
      <c r="M2790" t="str">
        <f>IF(Table1[[#This Row],[ReorderLevel]]-Table1[[#This Row],[CurrentStock]]&gt;0,Table1[[#This Row],[ReorderLevel]]-Table1[[#This Row],[CurrentStock]],"")</f>
        <v/>
      </c>
      <c r="N2790" t="str">
        <f>IF(Table1[[#This Row],[CurrentStock]]&gt;Table1[[#This Row],[ReorderLevel]]*3,"Over Stock","Okay")</f>
        <v>Over Stock</v>
      </c>
      <c r="O2790" t="str">
        <f>IF(Table1[[#This Row],[CurrentStock]]&lt;Table1[[#This Row],[ReorderLevel]],"Reorder","Okay")</f>
        <v>Okay</v>
      </c>
    </row>
    <row r="2791" spans="1:15" x14ac:dyDescent="0.3">
      <c r="A2791">
        <v>51813</v>
      </c>
      <c r="B2791" t="s">
        <v>11</v>
      </c>
      <c r="C2791" t="s">
        <v>27</v>
      </c>
      <c r="D2791">
        <v>84</v>
      </c>
      <c r="E2791">
        <v>150</v>
      </c>
      <c r="F2791">
        <v>304.92</v>
      </c>
      <c r="G2791" t="s">
        <v>32</v>
      </c>
      <c r="H2791" s="1">
        <v>45631</v>
      </c>
      <c r="I2791" s="1">
        <v>45659</v>
      </c>
      <c r="J2791" t="s">
        <v>38</v>
      </c>
      <c r="K2791" t="b">
        <f>Table1[[#This Row],[CurrentStock]]&lt;Table1[[#This Row],[ReorderLevel]]</f>
        <v>1</v>
      </c>
      <c r="L2791" s="9">
        <f>Table1[[#This Row],[CurrentStock]]*Table1[[#This Row],[UnitPrice]]</f>
        <v>25613.280000000002</v>
      </c>
      <c r="M2791">
        <f>IF(Table1[[#This Row],[ReorderLevel]]-Table1[[#This Row],[CurrentStock]]&gt;0,Table1[[#This Row],[ReorderLevel]]-Table1[[#This Row],[CurrentStock]],"")</f>
        <v>66</v>
      </c>
      <c r="N2791" t="str">
        <f>IF(Table1[[#This Row],[CurrentStock]]&gt;Table1[[#This Row],[ReorderLevel]]*3,"Over Stock","Okay")</f>
        <v>Okay</v>
      </c>
      <c r="O2791" t="str">
        <f>IF(Table1[[#This Row],[CurrentStock]]&lt;Table1[[#This Row],[ReorderLevel]],"Reorder","Okay")</f>
        <v>Reorder</v>
      </c>
    </row>
    <row r="2792" spans="1:15" x14ac:dyDescent="0.3">
      <c r="A2792">
        <v>69179</v>
      </c>
      <c r="B2792" t="s">
        <v>14</v>
      </c>
      <c r="C2792" t="s">
        <v>27</v>
      </c>
      <c r="D2792">
        <v>94</v>
      </c>
      <c r="E2792">
        <v>40</v>
      </c>
      <c r="F2792">
        <v>422.63</v>
      </c>
      <c r="G2792" t="s">
        <v>32</v>
      </c>
      <c r="H2792" s="1">
        <v>45641</v>
      </c>
      <c r="I2792" s="1">
        <v>45665</v>
      </c>
      <c r="J2792" t="s">
        <v>37</v>
      </c>
      <c r="K2792" t="b">
        <f>Table1[[#This Row],[CurrentStock]]&lt;Table1[[#This Row],[ReorderLevel]]</f>
        <v>0</v>
      </c>
      <c r="L2792" s="9">
        <f>Table1[[#This Row],[CurrentStock]]*Table1[[#This Row],[UnitPrice]]</f>
        <v>39727.22</v>
      </c>
      <c r="M2792" t="str">
        <f>IF(Table1[[#This Row],[ReorderLevel]]-Table1[[#This Row],[CurrentStock]]&gt;0,Table1[[#This Row],[ReorderLevel]]-Table1[[#This Row],[CurrentStock]],"")</f>
        <v/>
      </c>
      <c r="N2792" t="str">
        <f>IF(Table1[[#This Row],[CurrentStock]]&gt;Table1[[#This Row],[ReorderLevel]]*3,"Over Stock","Okay")</f>
        <v>Okay</v>
      </c>
      <c r="O2792" t="str">
        <f>IF(Table1[[#This Row],[CurrentStock]]&lt;Table1[[#This Row],[ReorderLevel]],"Reorder","Okay")</f>
        <v>Okay</v>
      </c>
    </row>
    <row r="2793" spans="1:15" x14ac:dyDescent="0.3">
      <c r="A2793">
        <v>31307</v>
      </c>
      <c r="B2793" t="s">
        <v>25</v>
      </c>
      <c r="C2793" t="s">
        <v>31</v>
      </c>
      <c r="D2793">
        <v>144</v>
      </c>
      <c r="E2793">
        <v>50</v>
      </c>
      <c r="F2793">
        <v>382.11</v>
      </c>
      <c r="G2793" t="s">
        <v>32</v>
      </c>
      <c r="H2793" s="1">
        <v>45437</v>
      </c>
      <c r="I2793" s="1">
        <v>45469</v>
      </c>
      <c r="J2793" t="s">
        <v>38</v>
      </c>
      <c r="K2793" t="b">
        <f>Table1[[#This Row],[CurrentStock]]&lt;Table1[[#This Row],[ReorderLevel]]</f>
        <v>0</v>
      </c>
      <c r="L2793" s="9">
        <f>Table1[[#This Row],[CurrentStock]]*Table1[[#This Row],[UnitPrice]]</f>
        <v>55023.840000000004</v>
      </c>
      <c r="M2793" t="str">
        <f>IF(Table1[[#This Row],[ReorderLevel]]-Table1[[#This Row],[CurrentStock]]&gt;0,Table1[[#This Row],[ReorderLevel]]-Table1[[#This Row],[CurrentStock]],"")</f>
        <v/>
      </c>
      <c r="N2793" t="str">
        <f>IF(Table1[[#This Row],[CurrentStock]]&gt;Table1[[#This Row],[ReorderLevel]]*3,"Over Stock","Okay")</f>
        <v>Okay</v>
      </c>
      <c r="O2793" t="str">
        <f>IF(Table1[[#This Row],[CurrentStock]]&lt;Table1[[#This Row],[ReorderLevel]],"Reorder","Okay")</f>
        <v>Okay</v>
      </c>
    </row>
    <row r="2794" spans="1:15" x14ac:dyDescent="0.3">
      <c r="A2794">
        <v>19096</v>
      </c>
      <c r="B2794" t="s">
        <v>19</v>
      </c>
      <c r="C2794" t="s">
        <v>28</v>
      </c>
      <c r="D2794">
        <v>446</v>
      </c>
      <c r="E2794">
        <v>150</v>
      </c>
      <c r="F2794">
        <v>187.12</v>
      </c>
      <c r="G2794" t="s">
        <v>34</v>
      </c>
      <c r="H2794" s="1">
        <v>45553</v>
      </c>
      <c r="I2794" s="1">
        <v>45580</v>
      </c>
      <c r="J2794" t="s">
        <v>39</v>
      </c>
      <c r="K2794" t="b">
        <f>Table1[[#This Row],[CurrentStock]]&lt;Table1[[#This Row],[ReorderLevel]]</f>
        <v>0</v>
      </c>
      <c r="L2794" s="9">
        <f>Table1[[#This Row],[CurrentStock]]*Table1[[#This Row],[UnitPrice]]</f>
        <v>83455.520000000004</v>
      </c>
      <c r="M2794" t="str">
        <f>IF(Table1[[#This Row],[ReorderLevel]]-Table1[[#This Row],[CurrentStock]]&gt;0,Table1[[#This Row],[ReorderLevel]]-Table1[[#This Row],[CurrentStock]],"")</f>
        <v/>
      </c>
      <c r="N2794" t="str">
        <f>IF(Table1[[#This Row],[CurrentStock]]&gt;Table1[[#This Row],[ReorderLevel]]*3,"Over Stock","Okay")</f>
        <v>Okay</v>
      </c>
      <c r="O2794" t="str">
        <f>IF(Table1[[#This Row],[CurrentStock]]&lt;Table1[[#This Row],[ReorderLevel]],"Reorder","Okay")</f>
        <v>Okay</v>
      </c>
    </row>
    <row r="2795" spans="1:15" x14ac:dyDescent="0.3">
      <c r="A2795">
        <v>70464</v>
      </c>
      <c r="B2795" t="s">
        <v>21</v>
      </c>
      <c r="C2795" t="s">
        <v>31</v>
      </c>
      <c r="D2795">
        <v>107</v>
      </c>
      <c r="E2795">
        <v>40</v>
      </c>
      <c r="F2795">
        <v>99.53</v>
      </c>
      <c r="G2795" t="s">
        <v>36</v>
      </c>
      <c r="H2795" s="1">
        <v>45451</v>
      </c>
      <c r="I2795" s="1">
        <v>45464</v>
      </c>
      <c r="J2795" t="s">
        <v>38</v>
      </c>
      <c r="K2795" t="b">
        <f>Table1[[#This Row],[CurrentStock]]&lt;Table1[[#This Row],[ReorderLevel]]</f>
        <v>0</v>
      </c>
      <c r="L2795" s="9">
        <f>Table1[[#This Row],[CurrentStock]]*Table1[[#This Row],[UnitPrice]]</f>
        <v>10649.710000000001</v>
      </c>
      <c r="M2795" t="str">
        <f>IF(Table1[[#This Row],[ReorderLevel]]-Table1[[#This Row],[CurrentStock]]&gt;0,Table1[[#This Row],[ReorderLevel]]-Table1[[#This Row],[CurrentStock]],"")</f>
        <v/>
      </c>
      <c r="N2795" t="str">
        <f>IF(Table1[[#This Row],[CurrentStock]]&gt;Table1[[#This Row],[ReorderLevel]]*3,"Over Stock","Okay")</f>
        <v>Okay</v>
      </c>
      <c r="O2795" t="str">
        <f>IF(Table1[[#This Row],[CurrentStock]]&lt;Table1[[#This Row],[ReorderLevel]],"Reorder","Okay")</f>
        <v>Okay</v>
      </c>
    </row>
    <row r="2796" spans="1:15" x14ac:dyDescent="0.3">
      <c r="A2796">
        <v>32272</v>
      </c>
      <c r="B2796" t="s">
        <v>13</v>
      </c>
      <c r="C2796" t="s">
        <v>29</v>
      </c>
      <c r="D2796">
        <v>146</v>
      </c>
      <c r="E2796">
        <v>150</v>
      </c>
      <c r="F2796">
        <v>335.6</v>
      </c>
      <c r="G2796" t="s">
        <v>36</v>
      </c>
      <c r="H2796" s="1">
        <v>45387</v>
      </c>
      <c r="I2796" s="1">
        <v>45425</v>
      </c>
      <c r="J2796" t="s">
        <v>37</v>
      </c>
      <c r="K2796" t="b">
        <f>Table1[[#This Row],[CurrentStock]]&lt;Table1[[#This Row],[ReorderLevel]]</f>
        <v>1</v>
      </c>
      <c r="L2796" s="9">
        <f>Table1[[#This Row],[CurrentStock]]*Table1[[#This Row],[UnitPrice]]</f>
        <v>48997.600000000006</v>
      </c>
      <c r="M2796">
        <f>IF(Table1[[#This Row],[ReorderLevel]]-Table1[[#This Row],[CurrentStock]]&gt;0,Table1[[#This Row],[ReorderLevel]]-Table1[[#This Row],[CurrentStock]],"")</f>
        <v>4</v>
      </c>
      <c r="N2796" t="str">
        <f>IF(Table1[[#This Row],[CurrentStock]]&gt;Table1[[#This Row],[ReorderLevel]]*3,"Over Stock","Okay")</f>
        <v>Okay</v>
      </c>
      <c r="O2796" t="str">
        <f>IF(Table1[[#This Row],[CurrentStock]]&lt;Table1[[#This Row],[ReorderLevel]],"Reorder","Okay")</f>
        <v>Reorder</v>
      </c>
    </row>
    <row r="2797" spans="1:15" x14ac:dyDescent="0.3">
      <c r="A2797">
        <v>71401</v>
      </c>
      <c r="B2797" t="s">
        <v>13</v>
      </c>
      <c r="C2797" t="s">
        <v>29</v>
      </c>
      <c r="D2797">
        <v>299</v>
      </c>
      <c r="E2797">
        <v>150</v>
      </c>
      <c r="F2797">
        <v>284.08999999999997</v>
      </c>
      <c r="G2797" t="s">
        <v>34</v>
      </c>
      <c r="H2797" s="1">
        <v>45321</v>
      </c>
      <c r="I2797" s="1">
        <v>45343</v>
      </c>
      <c r="J2797" t="s">
        <v>39</v>
      </c>
      <c r="K2797" t="b">
        <f>Table1[[#This Row],[CurrentStock]]&lt;Table1[[#This Row],[ReorderLevel]]</f>
        <v>0</v>
      </c>
      <c r="L2797" s="9">
        <f>Table1[[#This Row],[CurrentStock]]*Table1[[#This Row],[UnitPrice]]</f>
        <v>84942.909999999989</v>
      </c>
      <c r="M2797" t="str">
        <f>IF(Table1[[#This Row],[ReorderLevel]]-Table1[[#This Row],[CurrentStock]]&gt;0,Table1[[#This Row],[ReorderLevel]]-Table1[[#This Row],[CurrentStock]],"")</f>
        <v/>
      </c>
      <c r="N2797" t="str">
        <f>IF(Table1[[#This Row],[CurrentStock]]&gt;Table1[[#This Row],[ReorderLevel]]*3,"Over Stock","Okay")</f>
        <v>Okay</v>
      </c>
      <c r="O2797" t="str">
        <f>IF(Table1[[#This Row],[CurrentStock]]&lt;Table1[[#This Row],[ReorderLevel]],"Reorder","Okay")</f>
        <v>Okay</v>
      </c>
    </row>
    <row r="2798" spans="1:15" x14ac:dyDescent="0.3">
      <c r="A2798">
        <v>71549</v>
      </c>
      <c r="B2798" t="s">
        <v>19</v>
      </c>
      <c r="C2798" t="s">
        <v>28</v>
      </c>
      <c r="D2798">
        <v>286</v>
      </c>
      <c r="E2798">
        <v>150</v>
      </c>
      <c r="F2798">
        <v>286.44</v>
      </c>
      <c r="G2798" t="s">
        <v>33</v>
      </c>
      <c r="H2798" s="1">
        <v>45636</v>
      </c>
      <c r="I2798" s="1">
        <v>45641</v>
      </c>
      <c r="J2798" t="s">
        <v>38</v>
      </c>
      <c r="K2798" t="b">
        <f>Table1[[#This Row],[CurrentStock]]&lt;Table1[[#This Row],[ReorderLevel]]</f>
        <v>0</v>
      </c>
      <c r="L2798" s="9">
        <f>Table1[[#This Row],[CurrentStock]]*Table1[[#This Row],[UnitPrice]]</f>
        <v>81921.84</v>
      </c>
      <c r="M2798" t="str">
        <f>IF(Table1[[#This Row],[ReorderLevel]]-Table1[[#This Row],[CurrentStock]]&gt;0,Table1[[#This Row],[ReorderLevel]]-Table1[[#This Row],[CurrentStock]],"")</f>
        <v/>
      </c>
      <c r="N2798" t="str">
        <f>IF(Table1[[#This Row],[CurrentStock]]&gt;Table1[[#This Row],[ReorderLevel]]*3,"Over Stock","Okay")</f>
        <v>Okay</v>
      </c>
      <c r="O2798" t="str">
        <f>IF(Table1[[#This Row],[CurrentStock]]&lt;Table1[[#This Row],[ReorderLevel]],"Reorder","Okay")</f>
        <v>Okay</v>
      </c>
    </row>
    <row r="2799" spans="1:15" x14ac:dyDescent="0.3">
      <c r="A2799">
        <v>45701</v>
      </c>
      <c r="B2799" t="s">
        <v>15</v>
      </c>
      <c r="C2799" t="s">
        <v>29</v>
      </c>
      <c r="D2799">
        <v>233</v>
      </c>
      <c r="E2799">
        <v>50</v>
      </c>
      <c r="F2799">
        <v>43.35</v>
      </c>
      <c r="G2799" t="s">
        <v>33</v>
      </c>
      <c r="H2799" s="1">
        <v>45308</v>
      </c>
      <c r="I2799" s="1">
        <v>45320</v>
      </c>
      <c r="J2799" t="s">
        <v>37</v>
      </c>
      <c r="K2799" t="b">
        <f>Table1[[#This Row],[CurrentStock]]&lt;Table1[[#This Row],[ReorderLevel]]</f>
        <v>0</v>
      </c>
      <c r="L2799" s="9">
        <f>Table1[[#This Row],[CurrentStock]]*Table1[[#This Row],[UnitPrice]]</f>
        <v>10100.550000000001</v>
      </c>
      <c r="M2799" t="str">
        <f>IF(Table1[[#This Row],[ReorderLevel]]-Table1[[#This Row],[CurrentStock]]&gt;0,Table1[[#This Row],[ReorderLevel]]-Table1[[#This Row],[CurrentStock]],"")</f>
        <v/>
      </c>
      <c r="N2799" t="str">
        <f>IF(Table1[[#This Row],[CurrentStock]]&gt;Table1[[#This Row],[ReorderLevel]]*3,"Over Stock","Okay")</f>
        <v>Over Stock</v>
      </c>
      <c r="O2799" t="str">
        <f>IF(Table1[[#This Row],[CurrentStock]]&lt;Table1[[#This Row],[ReorderLevel]],"Reorder","Okay")</f>
        <v>Okay</v>
      </c>
    </row>
    <row r="2800" spans="1:15" x14ac:dyDescent="0.3">
      <c r="A2800">
        <v>81637</v>
      </c>
      <c r="B2800" t="s">
        <v>16</v>
      </c>
      <c r="C2800" t="s">
        <v>30</v>
      </c>
      <c r="D2800">
        <v>90</v>
      </c>
      <c r="E2800">
        <v>50</v>
      </c>
      <c r="F2800">
        <v>214.44</v>
      </c>
      <c r="G2800" t="s">
        <v>32</v>
      </c>
      <c r="H2800" s="1">
        <v>45656</v>
      </c>
      <c r="I2800" s="1">
        <v>45664</v>
      </c>
      <c r="J2800" t="s">
        <v>37</v>
      </c>
      <c r="K2800" t="b">
        <f>Table1[[#This Row],[CurrentStock]]&lt;Table1[[#This Row],[ReorderLevel]]</f>
        <v>0</v>
      </c>
      <c r="L2800" s="9">
        <f>Table1[[#This Row],[CurrentStock]]*Table1[[#This Row],[UnitPrice]]</f>
        <v>19299.599999999999</v>
      </c>
      <c r="M2800" t="str">
        <f>IF(Table1[[#This Row],[ReorderLevel]]-Table1[[#This Row],[CurrentStock]]&gt;0,Table1[[#This Row],[ReorderLevel]]-Table1[[#This Row],[CurrentStock]],"")</f>
        <v/>
      </c>
      <c r="N2800" t="str">
        <f>IF(Table1[[#This Row],[CurrentStock]]&gt;Table1[[#This Row],[ReorderLevel]]*3,"Over Stock","Okay")</f>
        <v>Okay</v>
      </c>
      <c r="O2800" t="str">
        <f>IF(Table1[[#This Row],[CurrentStock]]&lt;Table1[[#This Row],[ReorderLevel]],"Reorder","Okay")</f>
        <v>Okay</v>
      </c>
    </row>
    <row r="2801" spans="1:15" x14ac:dyDescent="0.3">
      <c r="A2801">
        <v>84137</v>
      </c>
      <c r="B2801" t="s">
        <v>24</v>
      </c>
      <c r="C2801" t="s">
        <v>31</v>
      </c>
      <c r="D2801">
        <v>266</v>
      </c>
      <c r="E2801">
        <v>50</v>
      </c>
      <c r="F2801">
        <v>71.290000000000006</v>
      </c>
      <c r="G2801" t="s">
        <v>34</v>
      </c>
      <c r="H2801" s="1">
        <v>45522</v>
      </c>
      <c r="I2801" s="1">
        <v>45540</v>
      </c>
      <c r="J2801" t="s">
        <v>39</v>
      </c>
      <c r="K2801" t="b">
        <f>Table1[[#This Row],[CurrentStock]]&lt;Table1[[#This Row],[ReorderLevel]]</f>
        <v>0</v>
      </c>
      <c r="L2801" s="9">
        <f>Table1[[#This Row],[CurrentStock]]*Table1[[#This Row],[UnitPrice]]</f>
        <v>18963.140000000003</v>
      </c>
      <c r="M2801" t="str">
        <f>IF(Table1[[#This Row],[ReorderLevel]]-Table1[[#This Row],[CurrentStock]]&gt;0,Table1[[#This Row],[ReorderLevel]]-Table1[[#This Row],[CurrentStock]],"")</f>
        <v/>
      </c>
      <c r="N2801" t="str">
        <f>IF(Table1[[#This Row],[CurrentStock]]&gt;Table1[[#This Row],[ReorderLevel]]*3,"Over Stock","Okay")</f>
        <v>Over Stock</v>
      </c>
      <c r="O2801" t="str">
        <f>IF(Table1[[#This Row],[CurrentStock]]&lt;Table1[[#This Row],[ReorderLevel]],"Reorder","Okay")</f>
        <v>Okay</v>
      </c>
    </row>
    <row r="2802" spans="1:15" x14ac:dyDescent="0.3">
      <c r="A2802">
        <v>89510</v>
      </c>
      <c r="B2802" t="s">
        <v>13</v>
      </c>
      <c r="C2802" t="s">
        <v>29</v>
      </c>
      <c r="D2802">
        <v>261</v>
      </c>
      <c r="E2802">
        <v>40</v>
      </c>
      <c r="F2802">
        <v>211.01</v>
      </c>
      <c r="G2802" t="s">
        <v>36</v>
      </c>
      <c r="H2802" s="1">
        <v>45477</v>
      </c>
      <c r="I2802" s="1">
        <v>45499</v>
      </c>
      <c r="J2802" t="s">
        <v>38</v>
      </c>
      <c r="K2802" t="b">
        <f>Table1[[#This Row],[CurrentStock]]&lt;Table1[[#This Row],[ReorderLevel]]</f>
        <v>0</v>
      </c>
      <c r="L2802" s="9">
        <f>Table1[[#This Row],[CurrentStock]]*Table1[[#This Row],[UnitPrice]]</f>
        <v>55073.61</v>
      </c>
      <c r="M2802" t="str">
        <f>IF(Table1[[#This Row],[ReorderLevel]]-Table1[[#This Row],[CurrentStock]]&gt;0,Table1[[#This Row],[ReorderLevel]]-Table1[[#This Row],[CurrentStock]],"")</f>
        <v/>
      </c>
      <c r="N2802" t="str">
        <f>IF(Table1[[#This Row],[CurrentStock]]&gt;Table1[[#This Row],[ReorderLevel]]*3,"Over Stock","Okay")</f>
        <v>Over Stock</v>
      </c>
      <c r="O2802" t="str">
        <f>IF(Table1[[#This Row],[CurrentStock]]&lt;Table1[[#This Row],[ReorderLevel]],"Reorder","Okay")</f>
        <v>Okay</v>
      </c>
    </row>
    <row r="2803" spans="1:15" x14ac:dyDescent="0.3">
      <c r="A2803">
        <v>87737</v>
      </c>
      <c r="B2803" t="s">
        <v>14</v>
      </c>
      <c r="C2803" t="s">
        <v>27</v>
      </c>
      <c r="D2803">
        <v>464</v>
      </c>
      <c r="E2803">
        <v>30</v>
      </c>
      <c r="F2803">
        <v>411.73</v>
      </c>
      <c r="G2803" t="s">
        <v>35</v>
      </c>
      <c r="H2803" s="1">
        <v>45453</v>
      </c>
      <c r="I2803" s="1">
        <v>45484</v>
      </c>
      <c r="J2803" t="s">
        <v>38</v>
      </c>
      <c r="K2803" t="b">
        <f>Table1[[#This Row],[CurrentStock]]&lt;Table1[[#This Row],[ReorderLevel]]</f>
        <v>0</v>
      </c>
      <c r="L2803" s="9">
        <f>Table1[[#This Row],[CurrentStock]]*Table1[[#This Row],[UnitPrice]]</f>
        <v>191042.72</v>
      </c>
      <c r="M2803" t="str">
        <f>IF(Table1[[#This Row],[ReorderLevel]]-Table1[[#This Row],[CurrentStock]]&gt;0,Table1[[#This Row],[ReorderLevel]]-Table1[[#This Row],[CurrentStock]],"")</f>
        <v/>
      </c>
      <c r="N2803" t="str">
        <f>IF(Table1[[#This Row],[CurrentStock]]&gt;Table1[[#This Row],[ReorderLevel]]*3,"Over Stock","Okay")</f>
        <v>Over Stock</v>
      </c>
      <c r="O2803" t="str">
        <f>IF(Table1[[#This Row],[CurrentStock]]&lt;Table1[[#This Row],[ReorderLevel]],"Reorder","Okay")</f>
        <v>Okay</v>
      </c>
    </row>
    <row r="2804" spans="1:15" x14ac:dyDescent="0.3">
      <c r="A2804">
        <v>94338</v>
      </c>
      <c r="B2804" t="s">
        <v>25</v>
      </c>
      <c r="C2804" t="s">
        <v>31</v>
      </c>
      <c r="D2804">
        <v>237</v>
      </c>
      <c r="E2804">
        <v>150</v>
      </c>
      <c r="F2804">
        <v>289.58</v>
      </c>
      <c r="G2804" t="s">
        <v>34</v>
      </c>
      <c r="H2804" s="1">
        <v>45526</v>
      </c>
      <c r="I2804" s="1">
        <v>45533</v>
      </c>
      <c r="J2804" t="s">
        <v>39</v>
      </c>
      <c r="K2804" t="b">
        <f>Table1[[#This Row],[CurrentStock]]&lt;Table1[[#This Row],[ReorderLevel]]</f>
        <v>0</v>
      </c>
      <c r="L2804" s="9">
        <f>Table1[[#This Row],[CurrentStock]]*Table1[[#This Row],[UnitPrice]]</f>
        <v>68630.459999999992</v>
      </c>
      <c r="M2804" t="str">
        <f>IF(Table1[[#This Row],[ReorderLevel]]-Table1[[#This Row],[CurrentStock]]&gt;0,Table1[[#This Row],[ReorderLevel]]-Table1[[#This Row],[CurrentStock]],"")</f>
        <v/>
      </c>
      <c r="N2804" t="str">
        <f>IF(Table1[[#This Row],[CurrentStock]]&gt;Table1[[#This Row],[ReorderLevel]]*3,"Over Stock","Okay")</f>
        <v>Okay</v>
      </c>
      <c r="O2804" t="str">
        <f>IF(Table1[[#This Row],[CurrentStock]]&lt;Table1[[#This Row],[ReorderLevel]],"Reorder","Okay")</f>
        <v>Okay</v>
      </c>
    </row>
    <row r="2805" spans="1:15" x14ac:dyDescent="0.3">
      <c r="A2805">
        <v>56095</v>
      </c>
      <c r="B2805" t="s">
        <v>11</v>
      </c>
      <c r="C2805" t="s">
        <v>27</v>
      </c>
      <c r="D2805">
        <v>269</v>
      </c>
      <c r="E2805">
        <v>50</v>
      </c>
      <c r="F2805">
        <v>220.89</v>
      </c>
      <c r="G2805" t="s">
        <v>34</v>
      </c>
      <c r="H2805" s="1">
        <v>45355</v>
      </c>
      <c r="I2805" s="1">
        <v>45371</v>
      </c>
      <c r="J2805" t="s">
        <v>38</v>
      </c>
      <c r="K2805" t="b">
        <f>Table1[[#This Row],[CurrentStock]]&lt;Table1[[#This Row],[ReorderLevel]]</f>
        <v>0</v>
      </c>
      <c r="L2805" s="9">
        <f>Table1[[#This Row],[CurrentStock]]*Table1[[#This Row],[UnitPrice]]</f>
        <v>59419.409999999996</v>
      </c>
      <c r="M2805" t="str">
        <f>IF(Table1[[#This Row],[ReorderLevel]]-Table1[[#This Row],[CurrentStock]]&gt;0,Table1[[#This Row],[ReorderLevel]]-Table1[[#This Row],[CurrentStock]],"")</f>
        <v/>
      </c>
      <c r="N2805" t="str">
        <f>IF(Table1[[#This Row],[CurrentStock]]&gt;Table1[[#This Row],[ReorderLevel]]*3,"Over Stock","Okay")</f>
        <v>Over Stock</v>
      </c>
      <c r="O2805" t="str">
        <f>IF(Table1[[#This Row],[CurrentStock]]&lt;Table1[[#This Row],[ReorderLevel]],"Reorder","Okay")</f>
        <v>Okay</v>
      </c>
    </row>
    <row r="2806" spans="1:15" x14ac:dyDescent="0.3">
      <c r="A2806">
        <v>42615</v>
      </c>
      <c r="B2806" t="s">
        <v>17</v>
      </c>
      <c r="C2806" t="s">
        <v>30</v>
      </c>
      <c r="D2806">
        <v>92</v>
      </c>
      <c r="E2806">
        <v>80</v>
      </c>
      <c r="F2806">
        <v>177.81</v>
      </c>
      <c r="G2806" t="s">
        <v>33</v>
      </c>
      <c r="H2806" s="1">
        <v>45308</v>
      </c>
      <c r="I2806" s="1">
        <v>45320</v>
      </c>
      <c r="J2806" t="s">
        <v>37</v>
      </c>
      <c r="K2806" t="b">
        <f>Table1[[#This Row],[CurrentStock]]&lt;Table1[[#This Row],[ReorderLevel]]</f>
        <v>0</v>
      </c>
      <c r="L2806" s="9">
        <f>Table1[[#This Row],[CurrentStock]]*Table1[[#This Row],[UnitPrice]]</f>
        <v>16358.52</v>
      </c>
      <c r="M2806" t="str">
        <f>IF(Table1[[#This Row],[ReorderLevel]]-Table1[[#This Row],[CurrentStock]]&gt;0,Table1[[#This Row],[ReorderLevel]]-Table1[[#This Row],[CurrentStock]],"")</f>
        <v/>
      </c>
      <c r="N2806" t="str">
        <f>IF(Table1[[#This Row],[CurrentStock]]&gt;Table1[[#This Row],[ReorderLevel]]*3,"Over Stock","Okay")</f>
        <v>Okay</v>
      </c>
      <c r="O2806" t="str">
        <f>IF(Table1[[#This Row],[CurrentStock]]&lt;Table1[[#This Row],[ReorderLevel]],"Reorder","Okay")</f>
        <v>Okay</v>
      </c>
    </row>
    <row r="2807" spans="1:15" x14ac:dyDescent="0.3">
      <c r="A2807">
        <v>14069</v>
      </c>
      <c r="B2807" t="s">
        <v>12</v>
      </c>
      <c r="C2807" t="s">
        <v>28</v>
      </c>
      <c r="D2807">
        <v>2</v>
      </c>
      <c r="E2807">
        <v>150</v>
      </c>
      <c r="F2807">
        <v>115.73</v>
      </c>
      <c r="G2807" t="s">
        <v>32</v>
      </c>
      <c r="H2807" s="1">
        <v>45447</v>
      </c>
      <c r="I2807" s="1">
        <v>45455</v>
      </c>
      <c r="J2807" t="s">
        <v>38</v>
      </c>
      <c r="K2807" t="b">
        <f>Table1[[#This Row],[CurrentStock]]&lt;Table1[[#This Row],[ReorderLevel]]</f>
        <v>1</v>
      </c>
      <c r="L2807" s="9">
        <f>Table1[[#This Row],[CurrentStock]]*Table1[[#This Row],[UnitPrice]]</f>
        <v>231.46</v>
      </c>
      <c r="M2807">
        <f>IF(Table1[[#This Row],[ReorderLevel]]-Table1[[#This Row],[CurrentStock]]&gt;0,Table1[[#This Row],[ReorderLevel]]-Table1[[#This Row],[CurrentStock]],"")</f>
        <v>148</v>
      </c>
      <c r="N2807" t="str">
        <f>IF(Table1[[#This Row],[CurrentStock]]&gt;Table1[[#This Row],[ReorderLevel]]*3,"Over Stock","Okay")</f>
        <v>Okay</v>
      </c>
      <c r="O2807" t="str">
        <f>IF(Table1[[#This Row],[CurrentStock]]&lt;Table1[[#This Row],[ReorderLevel]],"Reorder","Okay")</f>
        <v>Reorder</v>
      </c>
    </row>
    <row r="2808" spans="1:15" x14ac:dyDescent="0.3">
      <c r="A2808">
        <v>36727</v>
      </c>
      <c r="B2808" t="s">
        <v>23</v>
      </c>
      <c r="C2808" t="s">
        <v>30</v>
      </c>
      <c r="D2808">
        <v>139</v>
      </c>
      <c r="E2808">
        <v>100</v>
      </c>
      <c r="F2808">
        <v>405.16</v>
      </c>
      <c r="G2808" t="s">
        <v>32</v>
      </c>
      <c r="H2808" s="1">
        <v>45480</v>
      </c>
      <c r="I2808" s="1">
        <v>45496</v>
      </c>
      <c r="J2808" t="s">
        <v>39</v>
      </c>
      <c r="K2808" t="b">
        <f>Table1[[#This Row],[CurrentStock]]&lt;Table1[[#This Row],[ReorderLevel]]</f>
        <v>0</v>
      </c>
      <c r="L2808" s="9">
        <f>Table1[[#This Row],[CurrentStock]]*Table1[[#This Row],[UnitPrice]]</f>
        <v>56317.240000000005</v>
      </c>
      <c r="M2808" t="str">
        <f>IF(Table1[[#This Row],[ReorderLevel]]-Table1[[#This Row],[CurrentStock]]&gt;0,Table1[[#This Row],[ReorderLevel]]-Table1[[#This Row],[CurrentStock]],"")</f>
        <v/>
      </c>
      <c r="N2808" t="str">
        <f>IF(Table1[[#This Row],[CurrentStock]]&gt;Table1[[#This Row],[ReorderLevel]]*3,"Over Stock","Okay")</f>
        <v>Okay</v>
      </c>
      <c r="O2808" t="str">
        <f>IF(Table1[[#This Row],[CurrentStock]]&lt;Table1[[#This Row],[ReorderLevel]],"Reorder","Okay")</f>
        <v>Okay</v>
      </c>
    </row>
    <row r="2809" spans="1:15" x14ac:dyDescent="0.3">
      <c r="A2809">
        <v>34504</v>
      </c>
      <c r="B2809" t="s">
        <v>20</v>
      </c>
      <c r="C2809" t="s">
        <v>29</v>
      </c>
      <c r="D2809">
        <v>236</v>
      </c>
      <c r="E2809">
        <v>100</v>
      </c>
      <c r="F2809">
        <v>39.36</v>
      </c>
      <c r="G2809" t="s">
        <v>36</v>
      </c>
      <c r="H2809" s="1">
        <v>45303</v>
      </c>
      <c r="I2809" s="1">
        <v>45338</v>
      </c>
      <c r="J2809" t="s">
        <v>37</v>
      </c>
      <c r="K2809" t="b">
        <f>Table1[[#This Row],[CurrentStock]]&lt;Table1[[#This Row],[ReorderLevel]]</f>
        <v>0</v>
      </c>
      <c r="L2809" s="9">
        <f>Table1[[#This Row],[CurrentStock]]*Table1[[#This Row],[UnitPrice]]</f>
        <v>9288.9599999999991</v>
      </c>
      <c r="M2809" t="str">
        <f>IF(Table1[[#This Row],[ReorderLevel]]-Table1[[#This Row],[CurrentStock]]&gt;0,Table1[[#This Row],[ReorderLevel]]-Table1[[#This Row],[CurrentStock]],"")</f>
        <v/>
      </c>
      <c r="N2809" t="str">
        <f>IF(Table1[[#This Row],[CurrentStock]]&gt;Table1[[#This Row],[ReorderLevel]]*3,"Over Stock","Okay")</f>
        <v>Okay</v>
      </c>
      <c r="O2809" t="str">
        <f>IF(Table1[[#This Row],[CurrentStock]]&lt;Table1[[#This Row],[ReorderLevel]],"Reorder","Okay")</f>
        <v>Okay</v>
      </c>
    </row>
    <row r="2810" spans="1:15" x14ac:dyDescent="0.3">
      <c r="A2810">
        <v>76795</v>
      </c>
      <c r="B2810" t="s">
        <v>23</v>
      </c>
      <c r="C2810" t="s">
        <v>30</v>
      </c>
      <c r="D2810">
        <v>455</v>
      </c>
      <c r="E2810">
        <v>100</v>
      </c>
      <c r="F2810">
        <v>196.42</v>
      </c>
      <c r="G2810" t="s">
        <v>36</v>
      </c>
      <c r="H2810" s="1">
        <v>45349</v>
      </c>
      <c r="I2810" s="1">
        <v>45357</v>
      </c>
      <c r="J2810" t="s">
        <v>39</v>
      </c>
      <c r="K2810" t="b">
        <f>Table1[[#This Row],[CurrentStock]]&lt;Table1[[#This Row],[ReorderLevel]]</f>
        <v>0</v>
      </c>
      <c r="L2810" s="9">
        <f>Table1[[#This Row],[CurrentStock]]*Table1[[#This Row],[UnitPrice]]</f>
        <v>89371.099999999991</v>
      </c>
      <c r="M2810" t="str">
        <f>IF(Table1[[#This Row],[ReorderLevel]]-Table1[[#This Row],[CurrentStock]]&gt;0,Table1[[#This Row],[ReorderLevel]]-Table1[[#This Row],[CurrentStock]],"")</f>
        <v/>
      </c>
      <c r="N2810" t="str">
        <f>IF(Table1[[#This Row],[CurrentStock]]&gt;Table1[[#This Row],[ReorderLevel]]*3,"Over Stock","Okay")</f>
        <v>Over Stock</v>
      </c>
      <c r="O2810" t="str">
        <f>IF(Table1[[#This Row],[CurrentStock]]&lt;Table1[[#This Row],[ReorderLevel]],"Reorder","Okay")</f>
        <v>Okay</v>
      </c>
    </row>
    <row r="2811" spans="1:15" x14ac:dyDescent="0.3">
      <c r="A2811">
        <v>98611</v>
      </c>
      <c r="B2811" t="s">
        <v>13</v>
      </c>
      <c r="C2811" t="s">
        <v>29</v>
      </c>
      <c r="D2811">
        <v>236</v>
      </c>
      <c r="E2811">
        <v>40</v>
      </c>
      <c r="F2811">
        <v>137.53</v>
      </c>
      <c r="G2811" t="s">
        <v>35</v>
      </c>
      <c r="H2811" s="1">
        <v>45349</v>
      </c>
      <c r="I2811" s="1">
        <v>45371</v>
      </c>
      <c r="J2811" t="s">
        <v>37</v>
      </c>
      <c r="K2811" t="b">
        <f>Table1[[#This Row],[CurrentStock]]&lt;Table1[[#This Row],[ReorderLevel]]</f>
        <v>0</v>
      </c>
      <c r="L2811" s="9">
        <f>Table1[[#This Row],[CurrentStock]]*Table1[[#This Row],[UnitPrice]]</f>
        <v>32457.08</v>
      </c>
      <c r="M2811" t="str">
        <f>IF(Table1[[#This Row],[ReorderLevel]]-Table1[[#This Row],[CurrentStock]]&gt;0,Table1[[#This Row],[ReorderLevel]]-Table1[[#This Row],[CurrentStock]],"")</f>
        <v/>
      </c>
      <c r="N2811" t="str">
        <f>IF(Table1[[#This Row],[CurrentStock]]&gt;Table1[[#This Row],[ReorderLevel]]*3,"Over Stock","Okay")</f>
        <v>Over Stock</v>
      </c>
      <c r="O2811" t="str">
        <f>IF(Table1[[#This Row],[CurrentStock]]&lt;Table1[[#This Row],[ReorderLevel]],"Reorder","Okay")</f>
        <v>Okay</v>
      </c>
    </row>
    <row r="2812" spans="1:15" x14ac:dyDescent="0.3">
      <c r="A2812">
        <v>23303</v>
      </c>
      <c r="B2812" t="s">
        <v>22</v>
      </c>
      <c r="C2812" t="s">
        <v>27</v>
      </c>
      <c r="D2812">
        <v>145</v>
      </c>
      <c r="E2812">
        <v>20</v>
      </c>
      <c r="F2812">
        <v>430.49</v>
      </c>
      <c r="G2812" t="s">
        <v>32</v>
      </c>
      <c r="H2812" s="1">
        <v>45518</v>
      </c>
      <c r="I2812" s="1">
        <v>45537</v>
      </c>
      <c r="J2812" t="s">
        <v>38</v>
      </c>
      <c r="K2812" t="b">
        <f>Table1[[#This Row],[CurrentStock]]&lt;Table1[[#This Row],[ReorderLevel]]</f>
        <v>0</v>
      </c>
      <c r="L2812" s="9">
        <f>Table1[[#This Row],[CurrentStock]]*Table1[[#This Row],[UnitPrice]]</f>
        <v>62421.05</v>
      </c>
      <c r="M2812" t="str">
        <f>IF(Table1[[#This Row],[ReorderLevel]]-Table1[[#This Row],[CurrentStock]]&gt;0,Table1[[#This Row],[ReorderLevel]]-Table1[[#This Row],[CurrentStock]],"")</f>
        <v/>
      </c>
      <c r="N2812" t="str">
        <f>IF(Table1[[#This Row],[CurrentStock]]&gt;Table1[[#This Row],[ReorderLevel]]*3,"Over Stock","Okay")</f>
        <v>Over Stock</v>
      </c>
      <c r="O2812" t="str">
        <f>IF(Table1[[#This Row],[CurrentStock]]&lt;Table1[[#This Row],[ReorderLevel]],"Reorder","Okay")</f>
        <v>Okay</v>
      </c>
    </row>
    <row r="2813" spans="1:15" x14ac:dyDescent="0.3">
      <c r="A2813">
        <v>10337</v>
      </c>
      <c r="B2813" t="s">
        <v>12</v>
      </c>
      <c r="C2813" t="s">
        <v>28</v>
      </c>
      <c r="D2813">
        <v>436</v>
      </c>
      <c r="E2813">
        <v>20</v>
      </c>
      <c r="F2813">
        <v>231.49</v>
      </c>
      <c r="G2813" t="s">
        <v>36</v>
      </c>
      <c r="H2813" s="1">
        <v>45561</v>
      </c>
      <c r="I2813" s="1">
        <v>45567</v>
      </c>
      <c r="J2813" t="s">
        <v>37</v>
      </c>
      <c r="K2813" t="b">
        <f>Table1[[#This Row],[CurrentStock]]&lt;Table1[[#This Row],[ReorderLevel]]</f>
        <v>0</v>
      </c>
      <c r="L2813" s="9">
        <f>Table1[[#This Row],[CurrentStock]]*Table1[[#This Row],[UnitPrice]]</f>
        <v>100929.64</v>
      </c>
      <c r="M2813" t="str">
        <f>IF(Table1[[#This Row],[ReorderLevel]]-Table1[[#This Row],[CurrentStock]]&gt;0,Table1[[#This Row],[ReorderLevel]]-Table1[[#This Row],[CurrentStock]],"")</f>
        <v/>
      </c>
      <c r="N2813" t="str">
        <f>IF(Table1[[#This Row],[CurrentStock]]&gt;Table1[[#This Row],[ReorderLevel]]*3,"Over Stock","Okay")</f>
        <v>Over Stock</v>
      </c>
      <c r="O2813" t="str">
        <f>IF(Table1[[#This Row],[CurrentStock]]&lt;Table1[[#This Row],[ReorderLevel]],"Reorder","Okay")</f>
        <v>Okay</v>
      </c>
    </row>
    <row r="2814" spans="1:15" x14ac:dyDescent="0.3">
      <c r="A2814">
        <v>71088</v>
      </c>
      <c r="B2814" t="s">
        <v>26</v>
      </c>
      <c r="C2814" t="s">
        <v>30</v>
      </c>
      <c r="D2814">
        <v>467</v>
      </c>
      <c r="E2814">
        <v>40</v>
      </c>
      <c r="F2814">
        <v>132.97</v>
      </c>
      <c r="G2814" t="s">
        <v>35</v>
      </c>
      <c r="H2814" s="1">
        <v>45637</v>
      </c>
      <c r="I2814" s="1">
        <v>45645</v>
      </c>
      <c r="J2814" t="s">
        <v>39</v>
      </c>
      <c r="K2814" t="b">
        <f>Table1[[#This Row],[CurrentStock]]&lt;Table1[[#This Row],[ReorderLevel]]</f>
        <v>0</v>
      </c>
      <c r="L2814" s="9">
        <f>Table1[[#This Row],[CurrentStock]]*Table1[[#This Row],[UnitPrice]]</f>
        <v>62096.99</v>
      </c>
      <c r="M2814" t="str">
        <f>IF(Table1[[#This Row],[ReorderLevel]]-Table1[[#This Row],[CurrentStock]]&gt;0,Table1[[#This Row],[ReorderLevel]]-Table1[[#This Row],[CurrentStock]],"")</f>
        <v/>
      </c>
      <c r="N2814" t="str">
        <f>IF(Table1[[#This Row],[CurrentStock]]&gt;Table1[[#This Row],[ReorderLevel]]*3,"Over Stock","Okay")</f>
        <v>Over Stock</v>
      </c>
      <c r="O2814" t="str">
        <f>IF(Table1[[#This Row],[CurrentStock]]&lt;Table1[[#This Row],[ReorderLevel]],"Reorder","Okay")</f>
        <v>Okay</v>
      </c>
    </row>
    <row r="2815" spans="1:15" x14ac:dyDescent="0.3">
      <c r="A2815">
        <v>38359</v>
      </c>
      <c r="B2815" t="s">
        <v>14</v>
      </c>
      <c r="C2815" t="s">
        <v>27</v>
      </c>
      <c r="D2815">
        <v>76</v>
      </c>
      <c r="E2815">
        <v>100</v>
      </c>
      <c r="F2815">
        <v>292.44</v>
      </c>
      <c r="G2815" t="s">
        <v>36</v>
      </c>
      <c r="H2815" s="1">
        <v>45430</v>
      </c>
      <c r="I2815" s="1">
        <v>45469</v>
      </c>
      <c r="J2815" t="s">
        <v>38</v>
      </c>
      <c r="K2815" t="b">
        <f>Table1[[#This Row],[CurrentStock]]&lt;Table1[[#This Row],[ReorderLevel]]</f>
        <v>1</v>
      </c>
      <c r="L2815" s="9">
        <f>Table1[[#This Row],[CurrentStock]]*Table1[[#This Row],[UnitPrice]]</f>
        <v>22225.439999999999</v>
      </c>
      <c r="M2815">
        <f>IF(Table1[[#This Row],[ReorderLevel]]-Table1[[#This Row],[CurrentStock]]&gt;0,Table1[[#This Row],[ReorderLevel]]-Table1[[#This Row],[CurrentStock]],"")</f>
        <v>24</v>
      </c>
      <c r="N2815" t="str">
        <f>IF(Table1[[#This Row],[CurrentStock]]&gt;Table1[[#This Row],[ReorderLevel]]*3,"Over Stock","Okay")</f>
        <v>Okay</v>
      </c>
      <c r="O2815" t="str">
        <f>IF(Table1[[#This Row],[CurrentStock]]&lt;Table1[[#This Row],[ReorderLevel]],"Reorder","Okay")</f>
        <v>Reorder</v>
      </c>
    </row>
    <row r="2816" spans="1:15" x14ac:dyDescent="0.3">
      <c r="A2816">
        <v>94539</v>
      </c>
      <c r="B2816" t="s">
        <v>25</v>
      </c>
      <c r="C2816" t="s">
        <v>31</v>
      </c>
      <c r="D2816">
        <v>31</v>
      </c>
      <c r="E2816">
        <v>50</v>
      </c>
      <c r="F2816">
        <v>120.58</v>
      </c>
      <c r="G2816" t="s">
        <v>36</v>
      </c>
      <c r="H2816" s="1">
        <v>45607</v>
      </c>
      <c r="I2816" s="1">
        <v>45625</v>
      </c>
      <c r="J2816" t="s">
        <v>39</v>
      </c>
      <c r="K2816" t="b">
        <f>Table1[[#This Row],[CurrentStock]]&lt;Table1[[#This Row],[ReorderLevel]]</f>
        <v>1</v>
      </c>
      <c r="L2816" s="9">
        <f>Table1[[#This Row],[CurrentStock]]*Table1[[#This Row],[UnitPrice]]</f>
        <v>3737.98</v>
      </c>
      <c r="M2816">
        <f>IF(Table1[[#This Row],[ReorderLevel]]-Table1[[#This Row],[CurrentStock]]&gt;0,Table1[[#This Row],[ReorderLevel]]-Table1[[#This Row],[CurrentStock]],"")</f>
        <v>19</v>
      </c>
      <c r="N2816" t="str">
        <f>IF(Table1[[#This Row],[CurrentStock]]&gt;Table1[[#This Row],[ReorderLevel]]*3,"Over Stock","Okay")</f>
        <v>Okay</v>
      </c>
      <c r="O2816" t="str">
        <f>IF(Table1[[#This Row],[CurrentStock]]&lt;Table1[[#This Row],[ReorderLevel]],"Reorder","Okay")</f>
        <v>Reorder</v>
      </c>
    </row>
    <row r="2817" spans="1:15" x14ac:dyDescent="0.3">
      <c r="A2817">
        <v>44524</v>
      </c>
      <c r="B2817" t="s">
        <v>14</v>
      </c>
      <c r="C2817" t="s">
        <v>27</v>
      </c>
      <c r="D2817">
        <v>278</v>
      </c>
      <c r="E2817">
        <v>80</v>
      </c>
      <c r="F2817">
        <v>396.11</v>
      </c>
      <c r="G2817" t="s">
        <v>34</v>
      </c>
      <c r="H2817" s="1">
        <v>45364</v>
      </c>
      <c r="I2817" s="1">
        <v>45375</v>
      </c>
      <c r="J2817" t="s">
        <v>37</v>
      </c>
      <c r="K2817" t="b">
        <f>Table1[[#This Row],[CurrentStock]]&lt;Table1[[#This Row],[ReorderLevel]]</f>
        <v>0</v>
      </c>
      <c r="L2817" s="9">
        <f>Table1[[#This Row],[CurrentStock]]*Table1[[#This Row],[UnitPrice]]</f>
        <v>110118.58</v>
      </c>
      <c r="M2817" t="str">
        <f>IF(Table1[[#This Row],[ReorderLevel]]-Table1[[#This Row],[CurrentStock]]&gt;0,Table1[[#This Row],[ReorderLevel]]-Table1[[#This Row],[CurrentStock]],"")</f>
        <v/>
      </c>
      <c r="N2817" t="str">
        <f>IF(Table1[[#This Row],[CurrentStock]]&gt;Table1[[#This Row],[ReorderLevel]]*3,"Over Stock","Okay")</f>
        <v>Over Stock</v>
      </c>
      <c r="O2817" t="str">
        <f>IF(Table1[[#This Row],[CurrentStock]]&lt;Table1[[#This Row],[ReorderLevel]],"Reorder","Okay")</f>
        <v>Okay</v>
      </c>
    </row>
    <row r="2818" spans="1:15" x14ac:dyDescent="0.3">
      <c r="A2818">
        <v>23792</v>
      </c>
      <c r="B2818" t="s">
        <v>18</v>
      </c>
      <c r="C2818" t="s">
        <v>28</v>
      </c>
      <c r="D2818">
        <v>325</v>
      </c>
      <c r="E2818">
        <v>50</v>
      </c>
      <c r="F2818">
        <v>349.23</v>
      </c>
      <c r="G2818" t="s">
        <v>33</v>
      </c>
      <c r="H2818" s="1">
        <v>45620</v>
      </c>
      <c r="I2818" s="1">
        <v>45636</v>
      </c>
      <c r="J2818" t="s">
        <v>38</v>
      </c>
      <c r="K2818" t="b">
        <f>Table1[[#This Row],[CurrentStock]]&lt;Table1[[#This Row],[ReorderLevel]]</f>
        <v>0</v>
      </c>
      <c r="L2818" s="9">
        <f>Table1[[#This Row],[CurrentStock]]*Table1[[#This Row],[UnitPrice]]</f>
        <v>113499.75</v>
      </c>
      <c r="M2818" t="str">
        <f>IF(Table1[[#This Row],[ReorderLevel]]-Table1[[#This Row],[CurrentStock]]&gt;0,Table1[[#This Row],[ReorderLevel]]-Table1[[#This Row],[CurrentStock]],"")</f>
        <v/>
      </c>
      <c r="N2818" t="str">
        <f>IF(Table1[[#This Row],[CurrentStock]]&gt;Table1[[#This Row],[ReorderLevel]]*3,"Over Stock","Okay")</f>
        <v>Over Stock</v>
      </c>
      <c r="O2818" t="str">
        <f>IF(Table1[[#This Row],[CurrentStock]]&lt;Table1[[#This Row],[ReorderLevel]],"Reorder","Okay")</f>
        <v>Okay</v>
      </c>
    </row>
    <row r="2819" spans="1:15" x14ac:dyDescent="0.3">
      <c r="A2819">
        <v>83693</v>
      </c>
      <c r="B2819" t="s">
        <v>12</v>
      </c>
      <c r="C2819" t="s">
        <v>28</v>
      </c>
      <c r="D2819">
        <v>113</v>
      </c>
      <c r="E2819">
        <v>150</v>
      </c>
      <c r="F2819">
        <v>96.68</v>
      </c>
      <c r="G2819" t="s">
        <v>36</v>
      </c>
      <c r="H2819" s="1">
        <v>45601</v>
      </c>
      <c r="I2819" s="1">
        <v>45614</v>
      </c>
      <c r="J2819" t="s">
        <v>39</v>
      </c>
      <c r="K2819" t="b">
        <f>Table1[[#This Row],[CurrentStock]]&lt;Table1[[#This Row],[ReorderLevel]]</f>
        <v>1</v>
      </c>
      <c r="L2819" s="9">
        <f>Table1[[#This Row],[CurrentStock]]*Table1[[#This Row],[UnitPrice]]</f>
        <v>10924.84</v>
      </c>
      <c r="M2819">
        <f>IF(Table1[[#This Row],[ReorderLevel]]-Table1[[#This Row],[CurrentStock]]&gt;0,Table1[[#This Row],[ReorderLevel]]-Table1[[#This Row],[CurrentStock]],"")</f>
        <v>37</v>
      </c>
      <c r="N2819" t="str">
        <f>IF(Table1[[#This Row],[CurrentStock]]&gt;Table1[[#This Row],[ReorderLevel]]*3,"Over Stock","Okay")</f>
        <v>Okay</v>
      </c>
      <c r="O2819" t="str">
        <f>IF(Table1[[#This Row],[CurrentStock]]&lt;Table1[[#This Row],[ReorderLevel]],"Reorder","Okay")</f>
        <v>Reorder</v>
      </c>
    </row>
    <row r="2820" spans="1:15" x14ac:dyDescent="0.3">
      <c r="A2820">
        <v>48011</v>
      </c>
      <c r="B2820" t="s">
        <v>12</v>
      </c>
      <c r="C2820" t="s">
        <v>28</v>
      </c>
      <c r="D2820">
        <v>478</v>
      </c>
      <c r="E2820">
        <v>50</v>
      </c>
      <c r="F2820">
        <v>347.74</v>
      </c>
      <c r="G2820" t="s">
        <v>32</v>
      </c>
      <c r="H2820" s="1">
        <v>45406</v>
      </c>
      <c r="I2820" s="1">
        <v>45429</v>
      </c>
      <c r="J2820" t="s">
        <v>39</v>
      </c>
      <c r="K2820" t="b">
        <f>Table1[[#This Row],[CurrentStock]]&lt;Table1[[#This Row],[ReorderLevel]]</f>
        <v>0</v>
      </c>
      <c r="L2820" s="9">
        <f>Table1[[#This Row],[CurrentStock]]*Table1[[#This Row],[UnitPrice]]</f>
        <v>166219.72</v>
      </c>
      <c r="M2820" t="str">
        <f>IF(Table1[[#This Row],[ReorderLevel]]-Table1[[#This Row],[CurrentStock]]&gt;0,Table1[[#This Row],[ReorderLevel]]-Table1[[#This Row],[CurrentStock]],"")</f>
        <v/>
      </c>
      <c r="N2820" t="str">
        <f>IF(Table1[[#This Row],[CurrentStock]]&gt;Table1[[#This Row],[ReorderLevel]]*3,"Over Stock","Okay")</f>
        <v>Over Stock</v>
      </c>
      <c r="O2820" t="str">
        <f>IF(Table1[[#This Row],[CurrentStock]]&lt;Table1[[#This Row],[ReorderLevel]],"Reorder","Okay")</f>
        <v>Okay</v>
      </c>
    </row>
    <row r="2821" spans="1:15" x14ac:dyDescent="0.3">
      <c r="A2821">
        <v>96070</v>
      </c>
      <c r="B2821" t="s">
        <v>19</v>
      </c>
      <c r="C2821" t="s">
        <v>28</v>
      </c>
      <c r="D2821">
        <v>390</v>
      </c>
      <c r="E2821">
        <v>150</v>
      </c>
      <c r="F2821">
        <v>78.930000000000007</v>
      </c>
      <c r="G2821" t="s">
        <v>35</v>
      </c>
      <c r="H2821" s="1">
        <v>45322</v>
      </c>
      <c r="I2821" s="1">
        <v>45350</v>
      </c>
      <c r="J2821" t="s">
        <v>39</v>
      </c>
      <c r="K2821" t="b">
        <f>Table1[[#This Row],[CurrentStock]]&lt;Table1[[#This Row],[ReorderLevel]]</f>
        <v>0</v>
      </c>
      <c r="L2821" s="9">
        <f>Table1[[#This Row],[CurrentStock]]*Table1[[#This Row],[UnitPrice]]</f>
        <v>30782.700000000004</v>
      </c>
      <c r="M2821" t="str">
        <f>IF(Table1[[#This Row],[ReorderLevel]]-Table1[[#This Row],[CurrentStock]]&gt;0,Table1[[#This Row],[ReorderLevel]]-Table1[[#This Row],[CurrentStock]],"")</f>
        <v/>
      </c>
      <c r="N2821" t="str">
        <f>IF(Table1[[#This Row],[CurrentStock]]&gt;Table1[[#This Row],[ReorderLevel]]*3,"Over Stock","Okay")</f>
        <v>Okay</v>
      </c>
      <c r="O2821" t="str">
        <f>IF(Table1[[#This Row],[CurrentStock]]&lt;Table1[[#This Row],[ReorderLevel]],"Reorder","Okay")</f>
        <v>Okay</v>
      </c>
    </row>
    <row r="2822" spans="1:15" x14ac:dyDescent="0.3">
      <c r="A2822">
        <v>54837</v>
      </c>
      <c r="B2822" t="s">
        <v>14</v>
      </c>
      <c r="C2822" t="s">
        <v>27</v>
      </c>
      <c r="D2822">
        <v>397</v>
      </c>
      <c r="E2822">
        <v>80</v>
      </c>
      <c r="F2822">
        <v>151.49</v>
      </c>
      <c r="G2822" t="s">
        <v>32</v>
      </c>
      <c r="H2822" s="1">
        <v>45547</v>
      </c>
      <c r="I2822" s="1">
        <v>45585</v>
      </c>
      <c r="J2822" t="s">
        <v>37</v>
      </c>
      <c r="K2822" t="b">
        <f>Table1[[#This Row],[CurrentStock]]&lt;Table1[[#This Row],[ReorderLevel]]</f>
        <v>0</v>
      </c>
      <c r="L2822" s="9">
        <f>Table1[[#This Row],[CurrentStock]]*Table1[[#This Row],[UnitPrice]]</f>
        <v>60141.530000000006</v>
      </c>
      <c r="M2822" t="str">
        <f>IF(Table1[[#This Row],[ReorderLevel]]-Table1[[#This Row],[CurrentStock]]&gt;0,Table1[[#This Row],[ReorderLevel]]-Table1[[#This Row],[CurrentStock]],"")</f>
        <v/>
      </c>
      <c r="N2822" t="str">
        <f>IF(Table1[[#This Row],[CurrentStock]]&gt;Table1[[#This Row],[ReorderLevel]]*3,"Over Stock","Okay")</f>
        <v>Over Stock</v>
      </c>
      <c r="O2822" t="str">
        <f>IF(Table1[[#This Row],[CurrentStock]]&lt;Table1[[#This Row],[ReorderLevel]],"Reorder","Okay")</f>
        <v>Okay</v>
      </c>
    </row>
    <row r="2823" spans="1:15" x14ac:dyDescent="0.3">
      <c r="A2823">
        <v>78213</v>
      </c>
      <c r="B2823" t="s">
        <v>11</v>
      </c>
      <c r="C2823" t="s">
        <v>27</v>
      </c>
      <c r="D2823">
        <v>177</v>
      </c>
      <c r="E2823">
        <v>100</v>
      </c>
      <c r="F2823">
        <v>376</v>
      </c>
      <c r="G2823" t="s">
        <v>35</v>
      </c>
      <c r="H2823" s="1">
        <v>45411</v>
      </c>
      <c r="I2823" s="1">
        <v>45434</v>
      </c>
      <c r="J2823" t="s">
        <v>37</v>
      </c>
      <c r="K2823" t="b">
        <f>Table1[[#This Row],[CurrentStock]]&lt;Table1[[#This Row],[ReorderLevel]]</f>
        <v>0</v>
      </c>
      <c r="L2823" s="9">
        <f>Table1[[#This Row],[CurrentStock]]*Table1[[#This Row],[UnitPrice]]</f>
        <v>66552</v>
      </c>
      <c r="M2823" t="str">
        <f>IF(Table1[[#This Row],[ReorderLevel]]-Table1[[#This Row],[CurrentStock]]&gt;0,Table1[[#This Row],[ReorderLevel]]-Table1[[#This Row],[CurrentStock]],"")</f>
        <v/>
      </c>
      <c r="N2823" t="str">
        <f>IF(Table1[[#This Row],[CurrentStock]]&gt;Table1[[#This Row],[ReorderLevel]]*3,"Over Stock","Okay")</f>
        <v>Okay</v>
      </c>
      <c r="O2823" t="str">
        <f>IF(Table1[[#This Row],[CurrentStock]]&lt;Table1[[#This Row],[ReorderLevel]],"Reorder","Okay")</f>
        <v>Okay</v>
      </c>
    </row>
    <row r="2824" spans="1:15" x14ac:dyDescent="0.3">
      <c r="A2824">
        <v>93853</v>
      </c>
      <c r="B2824" t="s">
        <v>21</v>
      </c>
      <c r="C2824" t="s">
        <v>31</v>
      </c>
      <c r="D2824">
        <v>170</v>
      </c>
      <c r="E2824">
        <v>40</v>
      </c>
      <c r="F2824">
        <v>21.97</v>
      </c>
      <c r="G2824" t="s">
        <v>35</v>
      </c>
      <c r="H2824" s="1">
        <v>45398</v>
      </c>
      <c r="I2824" s="1">
        <v>45417</v>
      </c>
      <c r="J2824" t="s">
        <v>39</v>
      </c>
      <c r="K2824" t="b">
        <f>Table1[[#This Row],[CurrentStock]]&lt;Table1[[#This Row],[ReorderLevel]]</f>
        <v>0</v>
      </c>
      <c r="L2824" s="9">
        <f>Table1[[#This Row],[CurrentStock]]*Table1[[#This Row],[UnitPrice]]</f>
        <v>3734.8999999999996</v>
      </c>
      <c r="M2824" t="str">
        <f>IF(Table1[[#This Row],[ReorderLevel]]-Table1[[#This Row],[CurrentStock]]&gt;0,Table1[[#This Row],[ReorderLevel]]-Table1[[#This Row],[CurrentStock]],"")</f>
        <v/>
      </c>
      <c r="N2824" t="str">
        <f>IF(Table1[[#This Row],[CurrentStock]]&gt;Table1[[#This Row],[ReorderLevel]]*3,"Over Stock","Okay")</f>
        <v>Over Stock</v>
      </c>
      <c r="O2824" t="str">
        <f>IF(Table1[[#This Row],[CurrentStock]]&lt;Table1[[#This Row],[ReorderLevel]],"Reorder","Okay")</f>
        <v>Okay</v>
      </c>
    </row>
    <row r="2825" spans="1:15" x14ac:dyDescent="0.3">
      <c r="A2825">
        <v>49992</v>
      </c>
      <c r="B2825" t="s">
        <v>21</v>
      </c>
      <c r="C2825" t="s">
        <v>31</v>
      </c>
      <c r="D2825">
        <v>433</v>
      </c>
      <c r="E2825">
        <v>80</v>
      </c>
      <c r="F2825">
        <v>126.73</v>
      </c>
      <c r="G2825" t="s">
        <v>33</v>
      </c>
      <c r="H2825" s="1">
        <v>45303</v>
      </c>
      <c r="I2825" s="1">
        <v>45327</v>
      </c>
      <c r="J2825" t="s">
        <v>37</v>
      </c>
      <c r="K2825" t="b">
        <f>Table1[[#This Row],[CurrentStock]]&lt;Table1[[#This Row],[ReorderLevel]]</f>
        <v>0</v>
      </c>
      <c r="L2825" s="9">
        <f>Table1[[#This Row],[CurrentStock]]*Table1[[#This Row],[UnitPrice]]</f>
        <v>54874.090000000004</v>
      </c>
      <c r="M2825" t="str">
        <f>IF(Table1[[#This Row],[ReorderLevel]]-Table1[[#This Row],[CurrentStock]]&gt;0,Table1[[#This Row],[ReorderLevel]]-Table1[[#This Row],[CurrentStock]],"")</f>
        <v/>
      </c>
      <c r="N2825" t="str">
        <f>IF(Table1[[#This Row],[CurrentStock]]&gt;Table1[[#This Row],[ReorderLevel]]*3,"Over Stock","Okay")</f>
        <v>Over Stock</v>
      </c>
      <c r="O2825" t="str">
        <f>IF(Table1[[#This Row],[CurrentStock]]&lt;Table1[[#This Row],[ReorderLevel]],"Reorder","Okay")</f>
        <v>Okay</v>
      </c>
    </row>
    <row r="2826" spans="1:15" x14ac:dyDescent="0.3">
      <c r="A2826">
        <v>99786</v>
      </c>
      <c r="B2826" t="s">
        <v>25</v>
      </c>
      <c r="C2826" t="s">
        <v>31</v>
      </c>
      <c r="D2826">
        <v>307</v>
      </c>
      <c r="E2826">
        <v>30</v>
      </c>
      <c r="F2826">
        <v>150.97999999999999</v>
      </c>
      <c r="G2826" t="s">
        <v>34</v>
      </c>
      <c r="H2826" s="1">
        <v>45655</v>
      </c>
      <c r="I2826" s="1">
        <v>45682</v>
      </c>
      <c r="J2826" t="s">
        <v>37</v>
      </c>
      <c r="K2826" t="b">
        <f>Table1[[#This Row],[CurrentStock]]&lt;Table1[[#This Row],[ReorderLevel]]</f>
        <v>0</v>
      </c>
      <c r="L2826" s="9">
        <f>Table1[[#This Row],[CurrentStock]]*Table1[[#This Row],[UnitPrice]]</f>
        <v>46350.859999999993</v>
      </c>
      <c r="M2826" t="str">
        <f>IF(Table1[[#This Row],[ReorderLevel]]-Table1[[#This Row],[CurrentStock]]&gt;0,Table1[[#This Row],[ReorderLevel]]-Table1[[#This Row],[CurrentStock]],"")</f>
        <v/>
      </c>
      <c r="N2826" t="str">
        <f>IF(Table1[[#This Row],[CurrentStock]]&gt;Table1[[#This Row],[ReorderLevel]]*3,"Over Stock","Okay")</f>
        <v>Over Stock</v>
      </c>
      <c r="O2826" t="str">
        <f>IF(Table1[[#This Row],[CurrentStock]]&lt;Table1[[#This Row],[ReorderLevel]],"Reorder","Okay")</f>
        <v>Okay</v>
      </c>
    </row>
    <row r="2827" spans="1:15" x14ac:dyDescent="0.3">
      <c r="A2827">
        <v>79260</v>
      </c>
      <c r="B2827" t="s">
        <v>16</v>
      </c>
      <c r="C2827" t="s">
        <v>30</v>
      </c>
      <c r="D2827">
        <v>223</v>
      </c>
      <c r="E2827">
        <v>50</v>
      </c>
      <c r="F2827">
        <v>282.97000000000003</v>
      </c>
      <c r="G2827" t="s">
        <v>32</v>
      </c>
      <c r="H2827" s="1">
        <v>45403</v>
      </c>
      <c r="I2827" s="1">
        <v>45408</v>
      </c>
      <c r="J2827" t="s">
        <v>37</v>
      </c>
      <c r="K2827" t="b">
        <f>Table1[[#This Row],[CurrentStock]]&lt;Table1[[#This Row],[ReorderLevel]]</f>
        <v>0</v>
      </c>
      <c r="L2827" s="9">
        <f>Table1[[#This Row],[CurrentStock]]*Table1[[#This Row],[UnitPrice]]</f>
        <v>63102.310000000005</v>
      </c>
      <c r="M2827" t="str">
        <f>IF(Table1[[#This Row],[ReorderLevel]]-Table1[[#This Row],[CurrentStock]]&gt;0,Table1[[#This Row],[ReorderLevel]]-Table1[[#This Row],[CurrentStock]],"")</f>
        <v/>
      </c>
      <c r="N2827" t="str">
        <f>IF(Table1[[#This Row],[CurrentStock]]&gt;Table1[[#This Row],[ReorderLevel]]*3,"Over Stock","Okay")</f>
        <v>Over Stock</v>
      </c>
      <c r="O2827" t="str">
        <f>IF(Table1[[#This Row],[CurrentStock]]&lt;Table1[[#This Row],[ReorderLevel]],"Reorder","Okay")</f>
        <v>Okay</v>
      </c>
    </row>
    <row r="2828" spans="1:15" x14ac:dyDescent="0.3">
      <c r="A2828">
        <v>46979</v>
      </c>
      <c r="B2828" t="s">
        <v>16</v>
      </c>
      <c r="C2828" t="s">
        <v>30</v>
      </c>
      <c r="D2828">
        <v>40</v>
      </c>
      <c r="E2828">
        <v>50</v>
      </c>
      <c r="F2828">
        <v>232.57</v>
      </c>
      <c r="G2828" t="s">
        <v>36</v>
      </c>
      <c r="H2828" s="1">
        <v>45441</v>
      </c>
      <c r="I2828" s="1">
        <v>45476</v>
      </c>
      <c r="J2828" t="s">
        <v>39</v>
      </c>
      <c r="K2828" t="b">
        <f>Table1[[#This Row],[CurrentStock]]&lt;Table1[[#This Row],[ReorderLevel]]</f>
        <v>1</v>
      </c>
      <c r="L2828" s="9">
        <f>Table1[[#This Row],[CurrentStock]]*Table1[[#This Row],[UnitPrice]]</f>
        <v>9302.7999999999993</v>
      </c>
      <c r="M2828">
        <f>IF(Table1[[#This Row],[ReorderLevel]]-Table1[[#This Row],[CurrentStock]]&gt;0,Table1[[#This Row],[ReorderLevel]]-Table1[[#This Row],[CurrentStock]],"")</f>
        <v>10</v>
      </c>
      <c r="N2828" t="str">
        <f>IF(Table1[[#This Row],[CurrentStock]]&gt;Table1[[#This Row],[ReorderLevel]]*3,"Over Stock","Okay")</f>
        <v>Okay</v>
      </c>
      <c r="O2828" t="str">
        <f>IF(Table1[[#This Row],[CurrentStock]]&lt;Table1[[#This Row],[ReorderLevel]],"Reorder","Okay")</f>
        <v>Reorder</v>
      </c>
    </row>
    <row r="2829" spans="1:15" x14ac:dyDescent="0.3">
      <c r="A2829">
        <v>31016</v>
      </c>
      <c r="B2829" t="s">
        <v>16</v>
      </c>
      <c r="C2829" t="s">
        <v>30</v>
      </c>
      <c r="D2829">
        <v>433</v>
      </c>
      <c r="E2829">
        <v>20</v>
      </c>
      <c r="F2829">
        <v>115.74</v>
      </c>
      <c r="G2829" t="s">
        <v>35</v>
      </c>
      <c r="H2829" s="1">
        <v>45643</v>
      </c>
      <c r="I2829" s="1">
        <v>45674</v>
      </c>
      <c r="J2829" t="s">
        <v>37</v>
      </c>
      <c r="K2829" t="b">
        <f>Table1[[#This Row],[CurrentStock]]&lt;Table1[[#This Row],[ReorderLevel]]</f>
        <v>0</v>
      </c>
      <c r="L2829" s="9">
        <f>Table1[[#This Row],[CurrentStock]]*Table1[[#This Row],[UnitPrice]]</f>
        <v>50115.42</v>
      </c>
      <c r="M2829" t="str">
        <f>IF(Table1[[#This Row],[ReorderLevel]]-Table1[[#This Row],[CurrentStock]]&gt;0,Table1[[#This Row],[ReorderLevel]]-Table1[[#This Row],[CurrentStock]],"")</f>
        <v/>
      </c>
      <c r="N2829" t="str">
        <f>IF(Table1[[#This Row],[CurrentStock]]&gt;Table1[[#This Row],[ReorderLevel]]*3,"Over Stock","Okay")</f>
        <v>Over Stock</v>
      </c>
      <c r="O2829" t="str">
        <f>IF(Table1[[#This Row],[CurrentStock]]&lt;Table1[[#This Row],[ReorderLevel]],"Reorder","Okay")</f>
        <v>Okay</v>
      </c>
    </row>
    <row r="2830" spans="1:15" x14ac:dyDescent="0.3">
      <c r="A2830">
        <v>24705</v>
      </c>
      <c r="B2830" t="s">
        <v>19</v>
      </c>
      <c r="C2830" t="s">
        <v>28</v>
      </c>
      <c r="D2830">
        <v>100</v>
      </c>
      <c r="E2830">
        <v>20</v>
      </c>
      <c r="F2830">
        <v>270.05</v>
      </c>
      <c r="G2830" t="s">
        <v>33</v>
      </c>
      <c r="H2830" s="1">
        <v>45374</v>
      </c>
      <c r="I2830" s="1">
        <v>45398</v>
      </c>
      <c r="J2830" t="s">
        <v>37</v>
      </c>
      <c r="K2830" t="b">
        <f>Table1[[#This Row],[CurrentStock]]&lt;Table1[[#This Row],[ReorderLevel]]</f>
        <v>0</v>
      </c>
      <c r="L2830" s="9">
        <f>Table1[[#This Row],[CurrentStock]]*Table1[[#This Row],[UnitPrice]]</f>
        <v>27005</v>
      </c>
      <c r="M2830" t="str">
        <f>IF(Table1[[#This Row],[ReorderLevel]]-Table1[[#This Row],[CurrentStock]]&gt;0,Table1[[#This Row],[ReorderLevel]]-Table1[[#This Row],[CurrentStock]],"")</f>
        <v/>
      </c>
      <c r="N2830" t="str">
        <f>IF(Table1[[#This Row],[CurrentStock]]&gt;Table1[[#This Row],[ReorderLevel]]*3,"Over Stock","Okay")</f>
        <v>Over Stock</v>
      </c>
      <c r="O2830" t="str">
        <f>IF(Table1[[#This Row],[CurrentStock]]&lt;Table1[[#This Row],[ReorderLevel]],"Reorder","Okay")</f>
        <v>Okay</v>
      </c>
    </row>
    <row r="2831" spans="1:15" x14ac:dyDescent="0.3">
      <c r="A2831">
        <v>40541</v>
      </c>
      <c r="B2831" t="s">
        <v>17</v>
      </c>
      <c r="C2831" t="s">
        <v>30</v>
      </c>
      <c r="D2831">
        <v>220</v>
      </c>
      <c r="E2831">
        <v>150</v>
      </c>
      <c r="F2831">
        <v>205.17</v>
      </c>
      <c r="G2831" t="s">
        <v>35</v>
      </c>
      <c r="H2831" s="1">
        <v>45306</v>
      </c>
      <c r="I2831" s="1">
        <v>45314</v>
      </c>
      <c r="J2831" t="s">
        <v>37</v>
      </c>
      <c r="K2831" t="b">
        <f>Table1[[#This Row],[CurrentStock]]&lt;Table1[[#This Row],[ReorderLevel]]</f>
        <v>0</v>
      </c>
      <c r="L2831" s="9">
        <f>Table1[[#This Row],[CurrentStock]]*Table1[[#This Row],[UnitPrice]]</f>
        <v>45137.399999999994</v>
      </c>
      <c r="M2831" t="str">
        <f>IF(Table1[[#This Row],[ReorderLevel]]-Table1[[#This Row],[CurrentStock]]&gt;0,Table1[[#This Row],[ReorderLevel]]-Table1[[#This Row],[CurrentStock]],"")</f>
        <v/>
      </c>
      <c r="N2831" t="str">
        <f>IF(Table1[[#This Row],[CurrentStock]]&gt;Table1[[#This Row],[ReorderLevel]]*3,"Over Stock","Okay")</f>
        <v>Okay</v>
      </c>
      <c r="O2831" t="str">
        <f>IF(Table1[[#This Row],[CurrentStock]]&lt;Table1[[#This Row],[ReorderLevel]],"Reorder","Okay")</f>
        <v>Okay</v>
      </c>
    </row>
    <row r="2832" spans="1:15" x14ac:dyDescent="0.3">
      <c r="A2832">
        <v>53781</v>
      </c>
      <c r="B2832" t="s">
        <v>17</v>
      </c>
      <c r="C2832" t="s">
        <v>30</v>
      </c>
      <c r="D2832">
        <v>473</v>
      </c>
      <c r="E2832">
        <v>20</v>
      </c>
      <c r="F2832">
        <v>338.83</v>
      </c>
      <c r="G2832" t="s">
        <v>33</v>
      </c>
      <c r="H2832" s="1">
        <v>45507</v>
      </c>
      <c r="I2832" s="1">
        <v>45525</v>
      </c>
      <c r="J2832" t="s">
        <v>39</v>
      </c>
      <c r="K2832" t="b">
        <f>Table1[[#This Row],[CurrentStock]]&lt;Table1[[#This Row],[ReorderLevel]]</f>
        <v>0</v>
      </c>
      <c r="L2832" s="9">
        <f>Table1[[#This Row],[CurrentStock]]*Table1[[#This Row],[UnitPrice]]</f>
        <v>160266.59</v>
      </c>
      <c r="M2832" t="str">
        <f>IF(Table1[[#This Row],[ReorderLevel]]-Table1[[#This Row],[CurrentStock]]&gt;0,Table1[[#This Row],[ReorderLevel]]-Table1[[#This Row],[CurrentStock]],"")</f>
        <v/>
      </c>
      <c r="N2832" t="str">
        <f>IF(Table1[[#This Row],[CurrentStock]]&gt;Table1[[#This Row],[ReorderLevel]]*3,"Over Stock","Okay")</f>
        <v>Over Stock</v>
      </c>
      <c r="O2832" t="str">
        <f>IF(Table1[[#This Row],[CurrentStock]]&lt;Table1[[#This Row],[ReorderLevel]],"Reorder","Okay")</f>
        <v>Okay</v>
      </c>
    </row>
    <row r="2833" spans="1:15" x14ac:dyDescent="0.3">
      <c r="A2833">
        <v>43763</v>
      </c>
      <c r="B2833" t="s">
        <v>25</v>
      </c>
      <c r="C2833" t="s">
        <v>31</v>
      </c>
      <c r="D2833">
        <v>65</v>
      </c>
      <c r="E2833">
        <v>20</v>
      </c>
      <c r="F2833">
        <v>150.77000000000001</v>
      </c>
      <c r="G2833" t="s">
        <v>36</v>
      </c>
      <c r="H2833" s="1">
        <v>45300</v>
      </c>
      <c r="I2833" s="1">
        <v>45317</v>
      </c>
      <c r="J2833" t="s">
        <v>39</v>
      </c>
      <c r="K2833" t="b">
        <f>Table1[[#This Row],[CurrentStock]]&lt;Table1[[#This Row],[ReorderLevel]]</f>
        <v>0</v>
      </c>
      <c r="L2833" s="9">
        <f>Table1[[#This Row],[CurrentStock]]*Table1[[#This Row],[UnitPrice]]</f>
        <v>9800.0500000000011</v>
      </c>
      <c r="M2833" t="str">
        <f>IF(Table1[[#This Row],[ReorderLevel]]-Table1[[#This Row],[CurrentStock]]&gt;0,Table1[[#This Row],[ReorderLevel]]-Table1[[#This Row],[CurrentStock]],"")</f>
        <v/>
      </c>
      <c r="N2833" t="str">
        <f>IF(Table1[[#This Row],[CurrentStock]]&gt;Table1[[#This Row],[ReorderLevel]]*3,"Over Stock","Okay")</f>
        <v>Over Stock</v>
      </c>
      <c r="O2833" t="str">
        <f>IF(Table1[[#This Row],[CurrentStock]]&lt;Table1[[#This Row],[ReorderLevel]],"Reorder","Okay")</f>
        <v>Okay</v>
      </c>
    </row>
    <row r="2834" spans="1:15" x14ac:dyDescent="0.3">
      <c r="A2834">
        <v>28764</v>
      </c>
      <c r="B2834" t="s">
        <v>25</v>
      </c>
      <c r="C2834" t="s">
        <v>31</v>
      </c>
      <c r="D2834">
        <v>9</v>
      </c>
      <c r="E2834">
        <v>20</v>
      </c>
      <c r="F2834">
        <v>106.54</v>
      </c>
      <c r="G2834" t="s">
        <v>35</v>
      </c>
      <c r="H2834" s="1">
        <v>45637</v>
      </c>
      <c r="I2834" s="1">
        <v>45667</v>
      </c>
      <c r="J2834" t="s">
        <v>38</v>
      </c>
      <c r="K2834" t="b">
        <f>Table1[[#This Row],[CurrentStock]]&lt;Table1[[#This Row],[ReorderLevel]]</f>
        <v>1</v>
      </c>
      <c r="L2834" s="9">
        <f>Table1[[#This Row],[CurrentStock]]*Table1[[#This Row],[UnitPrice]]</f>
        <v>958.86</v>
      </c>
      <c r="M2834">
        <f>IF(Table1[[#This Row],[ReorderLevel]]-Table1[[#This Row],[CurrentStock]]&gt;0,Table1[[#This Row],[ReorderLevel]]-Table1[[#This Row],[CurrentStock]],"")</f>
        <v>11</v>
      </c>
      <c r="N2834" t="str">
        <f>IF(Table1[[#This Row],[CurrentStock]]&gt;Table1[[#This Row],[ReorderLevel]]*3,"Over Stock","Okay")</f>
        <v>Okay</v>
      </c>
      <c r="O2834" t="str">
        <f>IF(Table1[[#This Row],[CurrentStock]]&lt;Table1[[#This Row],[ReorderLevel]],"Reorder","Okay")</f>
        <v>Reorder</v>
      </c>
    </row>
    <row r="2835" spans="1:15" x14ac:dyDescent="0.3">
      <c r="A2835">
        <v>27905</v>
      </c>
      <c r="B2835" t="s">
        <v>13</v>
      </c>
      <c r="C2835" t="s">
        <v>29</v>
      </c>
      <c r="D2835">
        <v>459</v>
      </c>
      <c r="E2835">
        <v>20</v>
      </c>
      <c r="F2835">
        <v>357.77</v>
      </c>
      <c r="G2835" t="s">
        <v>32</v>
      </c>
      <c r="H2835" s="1">
        <v>45622</v>
      </c>
      <c r="I2835" s="1">
        <v>45635</v>
      </c>
      <c r="J2835" t="s">
        <v>37</v>
      </c>
      <c r="K2835" t="b">
        <f>Table1[[#This Row],[CurrentStock]]&lt;Table1[[#This Row],[ReorderLevel]]</f>
        <v>0</v>
      </c>
      <c r="L2835" s="9">
        <f>Table1[[#This Row],[CurrentStock]]*Table1[[#This Row],[UnitPrice]]</f>
        <v>164216.43</v>
      </c>
      <c r="M2835" t="str">
        <f>IF(Table1[[#This Row],[ReorderLevel]]-Table1[[#This Row],[CurrentStock]]&gt;0,Table1[[#This Row],[ReorderLevel]]-Table1[[#This Row],[CurrentStock]],"")</f>
        <v/>
      </c>
      <c r="N2835" t="str">
        <f>IF(Table1[[#This Row],[CurrentStock]]&gt;Table1[[#This Row],[ReorderLevel]]*3,"Over Stock","Okay")</f>
        <v>Over Stock</v>
      </c>
      <c r="O2835" t="str">
        <f>IF(Table1[[#This Row],[CurrentStock]]&lt;Table1[[#This Row],[ReorderLevel]],"Reorder","Okay")</f>
        <v>Okay</v>
      </c>
    </row>
    <row r="2836" spans="1:15" x14ac:dyDescent="0.3">
      <c r="A2836">
        <v>80298</v>
      </c>
      <c r="B2836" t="s">
        <v>18</v>
      </c>
      <c r="C2836" t="s">
        <v>28</v>
      </c>
      <c r="D2836">
        <v>233</v>
      </c>
      <c r="E2836">
        <v>50</v>
      </c>
      <c r="F2836">
        <v>434.57</v>
      </c>
      <c r="G2836" t="s">
        <v>33</v>
      </c>
      <c r="H2836" s="1">
        <v>45535</v>
      </c>
      <c r="I2836" s="1">
        <v>45552</v>
      </c>
      <c r="J2836" t="s">
        <v>38</v>
      </c>
      <c r="K2836" t="b">
        <f>Table1[[#This Row],[CurrentStock]]&lt;Table1[[#This Row],[ReorderLevel]]</f>
        <v>0</v>
      </c>
      <c r="L2836" s="9">
        <f>Table1[[#This Row],[CurrentStock]]*Table1[[#This Row],[UnitPrice]]</f>
        <v>101254.81</v>
      </c>
      <c r="M2836" t="str">
        <f>IF(Table1[[#This Row],[ReorderLevel]]-Table1[[#This Row],[CurrentStock]]&gt;0,Table1[[#This Row],[ReorderLevel]]-Table1[[#This Row],[CurrentStock]],"")</f>
        <v/>
      </c>
      <c r="N2836" t="str">
        <f>IF(Table1[[#This Row],[CurrentStock]]&gt;Table1[[#This Row],[ReorderLevel]]*3,"Over Stock","Okay")</f>
        <v>Over Stock</v>
      </c>
      <c r="O2836" t="str">
        <f>IF(Table1[[#This Row],[CurrentStock]]&lt;Table1[[#This Row],[ReorderLevel]],"Reorder","Okay")</f>
        <v>Okay</v>
      </c>
    </row>
    <row r="2837" spans="1:15" x14ac:dyDescent="0.3">
      <c r="A2837">
        <v>82956</v>
      </c>
      <c r="B2837" t="s">
        <v>26</v>
      </c>
      <c r="C2837" t="s">
        <v>30</v>
      </c>
      <c r="D2837">
        <v>149</v>
      </c>
      <c r="E2837">
        <v>20</v>
      </c>
      <c r="F2837">
        <v>210.6</v>
      </c>
      <c r="G2837" t="s">
        <v>32</v>
      </c>
      <c r="H2837" s="1">
        <v>45585</v>
      </c>
      <c r="I2837" s="1">
        <v>45620</v>
      </c>
      <c r="J2837" t="s">
        <v>39</v>
      </c>
      <c r="K2837" t="b">
        <f>Table1[[#This Row],[CurrentStock]]&lt;Table1[[#This Row],[ReorderLevel]]</f>
        <v>0</v>
      </c>
      <c r="L2837" s="9">
        <f>Table1[[#This Row],[CurrentStock]]*Table1[[#This Row],[UnitPrice]]</f>
        <v>31379.399999999998</v>
      </c>
      <c r="M2837" t="str">
        <f>IF(Table1[[#This Row],[ReorderLevel]]-Table1[[#This Row],[CurrentStock]]&gt;0,Table1[[#This Row],[ReorderLevel]]-Table1[[#This Row],[CurrentStock]],"")</f>
        <v/>
      </c>
      <c r="N2837" t="str">
        <f>IF(Table1[[#This Row],[CurrentStock]]&gt;Table1[[#This Row],[ReorderLevel]]*3,"Over Stock","Okay")</f>
        <v>Over Stock</v>
      </c>
      <c r="O2837" t="str">
        <f>IF(Table1[[#This Row],[CurrentStock]]&lt;Table1[[#This Row],[ReorderLevel]],"Reorder","Okay")</f>
        <v>Okay</v>
      </c>
    </row>
    <row r="2838" spans="1:15" x14ac:dyDescent="0.3">
      <c r="A2838">
        <v>50996</v>
      </c>
      <c r="B2838" t="s">
        <v>26</v>
      </c>
      <c r="C2838" t="s">
        <v>30</v>
      </c>
      <c r="D2838">
        <v>248</v>
      </c>
      <c r="E2838">
        <v>50</v>
      </c>
      <c r="F2838">
        <v>394.09</v>
      </c>
      <c r="G2838" t="s">
        <v>36</v>
      </c>
      <c r="H2838" s="1">
        <v>45326</v>
      </c>
      <c r="I2838" s="1">
        <v>45336</v>
      </c>
      <c r="J2838" t="s">
        <v>38</v>
      </c>
      <c r="K2838" t="b">
        <f>Table1[[#This Row],[CurrentStock]]&lt;Table1[[#This Row],[ReorderLevel]]</f>
        <v>0</v>
      </c>
      <c r="L2838" s="9">
        <f>Table1[[#This Row],[CurrentStock]]*Table1[[#This Row],[UnitPrice]]</f>
        <v>97734.319999999992</v>
      </c>
      <c r="M2838" t="str">
        <f>IF(Table1[[#This Row],[ReorderLevel]]-Table1[[#This Row],[CurrentStock]]&gt;0,Table1[[#This Row],[ReorderLevel]]-Table1[[#This Row],[CurrentStock]],"")</f>
        <v/>
      </c>
      <c r="N2838" t="str">
        <f>IF(Table1[[#This Row],[CurrentStock]]&gt;Table1[[#This Row],[ReorderLevel]]*3,"Over Stock","Okay")</f>
        <v>Over Stock</v>
      </c>
      <c r="O2838" t="str">
        <f>IF(Table1[[#This Row],[CurrentStock]]&lt;Table1[[#This Row],[ReorderLevel]],"Reorder","Okay")</f>
        <v>Okay</v>
      </c>
    </row>
    <row r="2839" spans="1:15" x14ac:dyDescent="0.3">
      <c r="A2839">
        <v>18527</v>
      </c>
      <c r="B2839" t="s">
        <v>24</v>
      </c>
      <c r="C2839" t="s">
        <v>31</v>
      </c>
      <c r="D2839">
        <v>8</v>
      </c>
      <c r="E2839">
        <v>40</v>
      </c>
      <c r="F2839">
        <v>486.29</v>
      </c>
      <c r="G2839" t="s">
        <v>33</v>
      </c>
      <c r="H2839" s="1">
        <v>45396</v>
      </c>
      <c r="I2839" s="1">
        <v>45428</v>
      </c>
      <c r="J2839" t="s">
        <v>39</v>
      </c>
      <c r="K2839" t="b">
        <f>Table1[[#This Row],[CurrentStock]]&lt;Table1[[#This Row],[ReorderLevel]]</f>
        <v>1</v>
      </c>
      <c r="L2839" s="9">
        <f>Table1[[#This Row],[CurrentStock]]*Table1[[#This Row],[UnitPrice]]</f>
        <v>3890.32</v>
      </c>
      <c r="M2839">
        <f>IF(Table1[[#This Row],[ReorderLevel]]-Table1[[#This Row],[CurrentStock]]&gt;0,Table1[[#This Row],[ReorderLevel]]-Table1[[#This Row],[CurrentStock]],"")</f>
        <v>32</v>
      </c>
      <c r="N2839" t="str">
        <f>IF(Table1[[#This Row],[CurrentStock]]&gt;Table1[[#This Row],[ReorderLevel]]*3,"Over Stock","Okay")</f>
        <v>Okay</v>
      </c>
      <c r="O2839" t="str">
        <f>IF(Table1[[#This Row],[CurrentStock]]&lt;Table1[[#This Row],[ReorderLevel]],"Reorder","Okay")</f>
        <v>Reorder</v>
      </c>
    </row>
    <row r="2840" spans="1:15" x14ac:dyDescent="0.3">
      <c r="A2840">
        <v>68005</v>
      </c>
      <c r="B2840" t="s">
        <v>19</v>
      </c>
      <c r="C2840" t="s">
        <v>28</v>
      </c>
      <c r="D2840">
        <v>373</v>
      </c>
      <c r="E2840">
        <v>80</v>
      </c>
      <c r="F2840">
        <v>487.73</v>
      </c>
      <c r="G2840" t="s">
        <v>36</v>
      </c>
      <c r="H2840" s="1">
        <v>45636</v>
      </c>
      <c r="I2840" s="1">
        <v>45641</v>
      </c>
      <c r="J2840" t="s">
        <v>39</v>
      </c>
      <c r="K2840" t="b">
        <f>Table1[[#This Row],[CurrentStock]]&lt;Table1[[#This Row],[ReorderLevel]]</f>
        <v>0</v>
      </c>
      <c r="L2840" s="9">
        <f>Table1[[#This Row],[CurrentStock]]*Table1[[#This Row],[UnitPrice]]</f>
        <v>181923.29</v>
      </c>
      <c r="M2840" t="str">
        <f>IF(Table1[[#This Row],[ReorderLevel]]-Table1[[#This Row],[CurrentStock]]&gt;0,Table1[[#This Row],[ReorderLevel]]-Table1[[#This Row],[CurrentStock]],"")</f>
        <v/>
      </c>
      <c r="N2840" t="str">
        <f>IF(Table1[[#This Row],[CurrentStock]]&gt;Table1[[#This Row],[ReorderLevel]]*3,"Over Stock","Okay")</f>
        <v>Over Stock</v>
      </c>
      <c r="O2840" t="str">
        <f>IF(Table1[[#This Row],[CurrentStock]]&lt;Table1[[#This Row],[ReorderLevel]],"Reorder","Okay")</f>
        <v>Okay</v>
      </c>
    </row>
    <row r="2841" spans="1:15" x14ac:dyDescent="0.3">
      <c r="A2841">
        <v>94454</v>
      </c>
      <c r="B2841" t="s">
        <v>11</v>
      </c>
      <c r="C2841" t="s">
        <v>27</v>
      </c>
      <c r="D2841">
        <v>122</v>
      </c>
      <c r="E2841">
        <v>100</v>
      </c>
      <c r="F2841">
        <v>299.02</v>
      </c>
      <c r="G2841" t="s">
        <v>34</v>
      </c>
      <c r="H2841" s="1">
        <v>45653</v>
      </c>
      <c r="I2841" s="1">
        <v>45668</v>
      </c>
      <c r="J2841" t="s">
        <v>37</v>
      </c>
      <c r="K2841" t="b">
        <f>Table1[[#This Row],[CurrentStock]]&lt;Table1[[#This Row],[ReorderLevel]]</f>
        <v>0</v>
      </c>
      <c r="L2841" s="9">
        <f>Table1[[#This Row],[CurrentStock]]*Table1[[#This Row],[UnitPrice]]</f>
        <v>36480.439999999995</v>
      </c>
      <c r="M2841" t="str">
        <f>IF(Table1[[#This Row],[ReorderLevel]]-Table1[[#This Row],[CurrentStock]]&gt;0,Table1[[#This Row],[ReorderLevel]]-Table1[[#This Row],[CurrentStock]],"")</f>
        <v/>
      </c>
      <c r="N2841" t="str">
        <f>IF(Table1[[#This Row],[CurrentStock]]&gt;Table1[[#This Row],[ReorderLevel]]*3,"Over Stock","Okay")</f>
        <v>Okay</v>
      </c>
      <c r="O2841" t="str">
        <f>IF(Table1[[#This Row],[CurrentStock]]&lt;Table1[[#This Row],[ReorderLevel]],"Reorder","Okay")</f>
        <v>Okay</v>
      </c>
    </row>
    <row r="2842" spans="1:15" x14ac:dyDescent="0.3">
      <c r="A2842">
        <v>59223</v>
      </c>
      <c r="B2842" t="s">
        <v>24</v>
      </c>
      <c r="C2842" t="s">
        <v>31</v>
      </c>
      <c r="D2842">
        <v>464</v>
      </c>
      <c r="E2842">
        <v>40</v>
      </c>
      <c r="F2842">
        <v>205.39</v>
      </c>
      <c r="G2842" t="s">
        <v>33</v>
      </c>
      <c r="H2842" s="1">
        <v>45362</v>
      </c>
      <c r="I2842" s="1">
        <v>45391</v>
      </c>
      <c r="J2842" t="s">
        <v>37</v>
      </c>
      <c r="K2842" t="b">
        <f>Table1[[#This Row],[CurrentStock]]&lt;Table1[[#This Row],[ReorderLevel]]</f>
        <v>0</v>
      </c>
      <c r="L2842" s="9">
        <f>Table1[[#This Row],[CurrentStock]]*Table1[[#This Row],[UnitPrice]]</f>
        <v>95300.959999999992</v>
      </c>
      <c r="M2842" t="str">
        <f>IF(Table1[[#This Row],[ReorderLevel]]-Table1[[#This Row],[CurrentStock]]&gt;0,Table1[[#This Row],[ReorderLevel]]-Table1[[#This Row],[CurrentStock]],"")</f>
        <v/>
      </c>
      <c r="N2842" t="str">
        <f>IF(Table1[[#This Row],[CurrentStock]]&gt;Table1[[#This Row],[ReorderLevel]]*3,"Over Stock","Okay")</f>
        <v>Over Stock</v>
      </c>
      <c r="O2842" t="str">
        <f>IF(Table1[[#This Row],[CurrentStock]]&lt;Table1[[#This Row],[ReorderLevel]],"Reorder","Okay")</f>
        <v>Okay</v>
      </c>
    </row>
    <row r="2843" spans="1:15" x14ac:dyDescent="0.3">
      <c r="A2843">
        <v>10576</v>
      </c>
      <c r="B2843" t="s">
        <v>11</v>
      </c>
      <c r="C2843" t="s">
        <v>27</v>
      </c>
      <c r="D2843">
        <v>313</v>
      </c>
      <c r="E2843">
        <v>150</v>
      </c>
      <c r="F2843">
        <v>141.12</v>
      </c>
      <c r="G2843" t="s">
        <v>33</v>
      </c>
      <c r="H2843" s="1">
        <v>45655</v>
      </c>
      <c r="I2843" s="1">
        <v>45681</v>
      </c>
      <c r="J2843" t="s">
        <v>37</v>
      </c>
      <c r="K2843" t="b">
        <f>Table1[[#This Row],[CurrentStock]]&lt;Table1[[#This Row],[ReorderLevel]]</f>
        <v>0</v>
      </c>
      <c r="L2843" s="9">
        <f>Table1[[#This Row],[CurrentStock]]*Table1[[#This Row],[UnitPrice]]</f>
        <v>44170.560000000005</v>
      </c>
      <c r="M2843" t="str">
        <f>IF(Table1[[#This Row],[ReorderLevel]]-Table1[[#This Row],[CurrentStock]]&gt;0,Table1[[#This Row],[ReorderLevel]]-Table1[[#This Row],[CurrentStock]],"")</f>
        <v/>
      </c>
      <c r="N2843" t="str">
        <f>IF(Table1[[#This Row],[CurrentStock]]&gt;Table1[[#This Row],[ReorderLevel]]*3,"Over Stock","Okay")</f>
        <v>Okay</v>
      </c>
      <c r="O2843" t="str">
        <f>IF(Table1[[#This Row],[CurrentStock]]&lt;Table1[[#This Row],[ReorderLevel]],"Reorder","Okay")</f>
        <v>Okay</v>
      </c>
    </row>
    <row r="2844" spans="1:15" x14ac:dyDescent="0.3">
      <c r="A2844">
        <v>88501</v>
      </c>
      <c r="B2844" t="s">
        <v>11</v>
      </c>
      <c r="C2844" t="s">
        <v>27</v>
      </c>
      <c r="D2844">
        <v>357</v>
      </c>
      <c r="E2844">
        <v>50</v>
      </c>
      <c r="F2844">
        <v>491.38</v>
      </c>
      <c r="G2844" t="s">
        <v>36</v>
      </c>
      <c r="H2844" s="1">
        <v>45590</v>
      </c>
      <c r="I2844" s="1">
        <v>45598</v>
      </c>
      <c r="J2844" t="s">
        <v>37</v>
      </c>
      <c r="K2844" t="b">
        <f>Table1[[#This Row],[CurrentStock]]&lt;Table1[[#This Row],[ReorderLevel]]</f>
        <v>0</v>
      </c>
      <c r="L2844" s="9">
        <f>Table1[[#This Row],[CurrentStock]]*Table1[[#This Row],[UnitPrice]]</f>
        <v>175422.66</v>
      </c>
      <c r="M2844" t="str">
        <f>IF(Table1[[#This Row],[ReorderLevel]]-Table1[[#This Row],[CurrentStock]]&gt;0,Table1[[#This Row],[ReorderLevel]]-Table1[[#This Row],[CurrentStock]],"")</f>
        <v/>
      </c>
      <c r="N2844" t="str">
        <f>IF(Table1[[#This Row],[CurrentStock]]&gt;Table1[[#This Row],[ReorderLevel]]*3,"Over Stock","Okay")</f>
        <v>Over Stock</v>
      </c>
      <c r="O2844" t="str">
        <f>IF(Table1[[#This Row],[CurrentStock]]&lt;Table1[[#This Row],[ReorderLevel]],"Reorder","Okay")</f>
        <v>Okay</v>
      </c>
    </row>
    <row r="2845" spans="1:15" x14ac:dyDescent="0.3">
      <c r="A2845">
        <v>72063</v>
      </c>
      <c r="B2845" t="s">
        <v>13</v>
      </c>
      <c r="C2845" t="s">
        <v>29</v>
      </c>
      <c r="D2845">
        <v>95</v>
      </c>
      <c r="E2845">
        <v>150</v>
      </c>
      <c r="F2845">
        <v>167.91</v>
      </c>
      <c r="G2845" t="s">
        <v>32</v>
      </c>
      <c r="H2845" s="1">
        <v>45633</v>
      </c>
      <c r="I2845" s="1">
        <v>45650</v>
      </c>
      <c r="J2845" t="s">
        <v>39</v>
      </c>
      <c r="K2845" t="b">
        <f>Table1[[#This Row],[CurrentStock]]&lt;Table1[[#This Row],[ReorderLevel]]</f>
        <v>1</v>
      </c>
      <c r="L2845" s="9">
        <f>Table1[[#This Row],[CurrentStock]]*Table1[[#This Row],[UnitPrice]]</f>
        <v>15951.449999999999</v>
      </c>
      <c r="M2845">
        <f>IF(Table1[[#This Row],[ReorderLevel]]-Table1[[#This Row],[CurrentStock]]&gt;0,Table1[[#This Row],[ReorderLevel]]-Table1[[#This Row],[CurrentStock]],"")</f>
        <v>55</v>
      </c>
      <c r="N2845" t="str">
        <f>IF(Table1[[#This Row],[CurrentStock]]&gt;Table1[[#This Row],[ReorderLevel]]*3,"Over Stock","Okay")</f>
        <v>Okay</v>
      </c>
      <c r="O2845" t="str">
        <f>IF(Table1[[#This Row],[CurrentStock]]&lt;Table1[[#This Row],[ReorderLevel]],"Reorder","Okay")</f>
        <v>Reorder</v>
      </c>
    </row>
    <row r="2846" spans="1:15" x14ac:dyDescent="0.3">
      <c r="A2846">
        <v>19849</v>
      </c>
      <c r="B2846" t="s">
        <v>19</v>
      </c>
      <c r="C2846" t="s">
        <v>28</v>
      </c>
      <c r="D2846">
        <v>125</v>
      </c>
      <c r="E2846">
        <v>80</v>
      </c>
      <c r="F2846">
        <v>131.41999999999999</v>
      </c>
      <c r="G2846" t="s">
        <v>36</v>
      </c>
      <c r="H2846" s="1">
        <v>45490</v>
      </c>
      <c r="I2846" s="1">
        <v>45499</v>
      </c>
      <c r="J2846" t="s">
        <v>39</v>
      </c>
      <c r="K2846" t="b">
        <f>Table1[[#This Row],[CurrentStock]]&lt;Table1[[#This Row],[ReorderLevel]]</f>
        <v>0</v>
      </c>
      <c r="L2846" s="9">
        <f>Table1[[#This Row],[CurrentStock]]*Table1[[#This Row],[UnitPrice]]</f>
        <v>16427.5</v>
      </c>
      <c r="M2846" t="str">
        <f>IF(Table1[[#This Row],[ReorderLevel]]-Table1[[#This Row],[CurrentStock]]&gt;0,Table1[[#This Row],[ReorderLevel]]-Table1[[#This Row],[CurrentStock]],"")</f>
        <v/>
      </c>
      <c r="N2846" t="str">
        <f>IF(Table1[[#This Row],[CurrentStock]]&gt;Table1[[#This Row],[ReorderLevel]]*3,"Over Stock","Okay")</f>
        <v>Okay</v>
      </c>
      <c r="O2846" t="str">
        <f>IF(Table1[[#This Row],[CurrentStock]]&lt;Table1[[#This Row],[ReorderLevel]],"Reorder","Okay")</f>
        <v>Okay</v>
      </c>
    </row>
    <row r="2847" spans="1:15" x14ac:dyDescent="0.3">
      <c r="A2847">
        <v>78125</v>
      </c>
      <c r="B2847" t="s">
        <v>20</v>
      </c>
      <c r="C2847" t="s">
        <v>29</v>
      </c>
      <c r="D2847">
        <v>358</v>
      </c>
      <c r="E2847">
        <v>150</v>
      </c>
      <c r="F2847">
        <v>5.68</v>
      </c>
      <c r="G2847" t="s">
        <v>32</v>
      </c>
      <c r="H2847" s="1">
        <v>45323</v>
      </c>
      <c r="I2847" s="1">
        <v>45331</v>
      </c>
      <c r="J2847" t="s">
        <v>39</v>
      </c>
      <c r="K2847" t="b">
        <f>Table1[[#This Row],[CurrentStock]]&lt;Table1[[#This Row],[ReorderLevel]]</f>
        <v>0</v>
      </c>
      <c r="L2847" s="9">
        <f>Table1[[#This Row],[CurrentStock]]*Table1[[#This Row],[UnitPrice]]</f>
        <v>2033.4399999999998</v>
      </c>
      <c r="M2847" t="str">
        <f>IF(Table1[[#This Row],[ReorderLevel]]-Table1[[#This Row],[CurrentStock]]&gt;0,Table1[[#This Row],[ReorderLevel]]-Table1[[#This Row],[CurrentStock]],"")</f>
        <v/>
      </c>
      <c r="N2847" t="str">
        <f>IF(Table1[[#This Row],[CurrentStock]]&gt;Table1[[#This Row],[ReorderLevel]]*3,"Over Stock","Okay")</f>
        <v>Okay</v>
      </c>
      <c r="O2847" t="str">
        <f>IF(Table1[[#This Row],[CurrentStock]]&lt;Table1[[#This Row],[ReorderLevel]],"Reorder","Okay")</f>
        <v>Okay</v>
      </c>
    </row>
    <row r="2848" spans="1:15" x14ac:dyDescent="0.3">
      <c r="A2848">
        <v>98860</v>
      </c>
      <c r="B2848" t="s">
        <v>16</v>
      </c>
      <c r="C2848" t="s">
        <v>30</v>
      </c>
      <c r="D2848">
        <v>21</v>
      </c>
      <c r="E2848">
        <v>50</v>
      </c>
      <c r="F2848">
        <v>226.3</v>
      </c>
      <c r="G2848" t="s">
        <v>32</v>
      </c>
      <c r="H2848" s="1">
        <v>45505</v>
      </c>
      <c r="I2848" s="1">
        <v>45543</v>
      </c>
      <c r="J2848" t="s">
        <v>39</v>
      </c>
      <c r="K2848" t="b">
        <f>Table1[[#This Row],[CurrentStock]]&lt;Table1[[#This Row],[ReorderLevel]]</f>
        <v>1</v>
      </c>
      <c r="L2848" s="9">
        <f>Table1[[#This Row],[CurrentStock]]*Table1[[#This Row],[UnitPrice]]</f>
        <v>4752.3</v>
      </c>
      <c r="M2848">
        <f>IF(Table1[[#This Row],[ReorderLevel]]-Table1[[#This Row],[CurrentStock]]&gt;0,Table1[[#This Row],[ReorderLevel]]-Table1[[#This Row],[CurrentStock]],"")</f>
        <v>29</v>
      </c>
      <c r="N2848" t="str">
        <f>IF(Table1[[#This Row],[CurrentStock]]&gt;Table1[[#This Row],[ReorderLevel]]*3,"Over Stock","Okay")</f>
        <v>Okay</v>
      </c>
      <c r="O2848" t="str">
        <f>IF(Table1[[#This Row],[CurrentStock]]&lt;Table1[[#This Row],[ReorderLevel]],"Reorder","Okay")</f>
        <v>Reorder</v>
      </c>
    </row>
    <row r="2849" spans="1:15" x14ac:dyDescent="0.3">
      <c r="A2849">
        <v>84581</v>
      </c>
      <c r="B2849" t="s">
        <v>22</v>
      </c>
      <c r="C2849" t="s">
        <v>27</v>
      </c>
      <c r="D2849">
        <v>76</v>
      </c>
      <c r="E2849">
        <v>150</v>
      </c>
      <c r="F2849">
        <v>254.99</v>
      </c>
      <c r="G2849" t="s">
        <v>34</v>
      </c>
      <c r="H2849" s="1">
        <v>45478</v>
      </c>
      <c r="I2849" s="1">
        <v>45514</v>
      </c>
      <c r="J2849" t="s">
        <v>39</v>
      </c>
      <c r="K2849" t="b">
        <f>Table1[[#This Row],[CurrentStock]]&lt;Table1[[#This Row],[ReorderLevel]]</f>
        <v>1</v>
      </c>
      <c r="L2849" s="9">
        <f>Table1[[#This Row],[CurrentStock]]*Table1[[#This Row],[UnitPrice]]</f>
        <v>19379.240000000002</v>
      </c>
      <c r="M2849">
        <f>IF(Table1[[#This Row],[ReorderLevel]]-Table1[[#This Row],[CurrentStock]]&gt;0,Table1[[#This Row],[ReorderLevel]]-Table1[[#This Row],[CurrentStock]],"")</f>
        <v>74</v>
      </c>
      <c r="N2849" t="str">
        <f>IF(Table1[[#This Row],[CurrentStock]]&gt;Table1[[#This Row],[ReorderLevel]]*3,"Over Stock","Okay")</f>
        <v>Okay</v>
      </c>
      <c r="O2849" t="str">
        <f>IF(Table1[[#This Row],[CurrentStock]]&lt;Table1[[#This Row],[ReorderLevel]],"Reorder","Okay")</f>
        <v>Reorder</v>
      </c>
    </row>
    <row r="2850" spans="1:15" x14ac:dyDescent="0.3">
      <c r="A2850">
        <v>11223</v>
      </c>
      <c r="B2850" t="s">
        <v>18</v>
      </c>
      <c r="C2850" t="s">
        <v>28</v>
      </c>
      <c r="D2850">
        <v>30</v>
      </c>
      <c r="E2850">
        <v>150</v>
      </c>
      <c r="F2850">
        <v>164.02</v>
      </c>
      <c r="G2850" t="s">
        <v>32</v>
      </c>
      <c r="H2850" s="1">
        <v>45505</v>
      </c>
      <c r="I2850" s="1">
        <v>45533</v>
      </c>
      <c r="J2850" t="s">
        <v>37</v>
      </c>
      <c r="K2850" t="b">
        <f>Table1[[#This Row],[CurrentStock]]&lt;Table1[[#This Row],[ReorderLevel]]</f>
        <v>1</v>
      </c>
      <c r="L2850" s="9">
        <f>Table1[[#This Row],[CurrentStock]]*Table1[[#This Row],[UnitPrice]]</f>
        <v>4920.6000000000004</v>
      </c>
      <c r="M2850">
        <f>IF(Table1[[#This Row],[ReorderLevel]]-Table1[[#This Row],[CurrentStock]]&gt;0,Table1[[#This Row],[ReorderLevel]]-Table1[[#This Row],[CurrentStock]],"")</f>
        <v>120</v>
      </c>
      <c r="N2850" t="str">
        <f>IF(Table1[[#This Row],[CurrentStock]]&gt;Table1[[#This Row],[ReorderLevel]]*3,"Over Stock","Okay")</f>
        <v>Okay</v>
      </c>
      <c r="O2850" t="str">
        <f>IF(Table1[[#This Row],[CurrentStock]]&lt;Table1[[#This Row],[ReorderLevel]],"Reorder","Okay")</f>
        <v>Reorder</v>
      </c>
    </row>
    <row r="2851" spans="1:15" x14ac:dyDescent="0.3">
      <c r="A2851">
        <v>37167</v>
      </c>
      <c r="B2851" t="s">
        <v>19</v>
      </c>
      <c r="C2851" t="s">
        <v>28</v>
      </c>
      <c r="D2851">
        <v>429</v>
      </c>
      <c r="E2851">
        <v>80</v>
      </c>
      <c r="F2851">
        <v>10.44</v>
      </c>
      <c r="G2851" t="s">
        <v>35</v>
      </c>
      <c r="H2851" s="1">
        <v>45364</v>
      </c>
      <c r="I2851" s="1">
        <v>45381</v>
      </c>
      <c r="J2851" t="s">
        <v>38</v>
      </c>
      <c r="K2851" t="b">
        <f>Table1[[#This Row],[CurrentStock]]&lt;Table1[[#This Row],[ReorderLevel]]</f>
        <v>0</v>
      </c>
      <c r="L2851" s="9">
        <f>Table1[[#This Row],[CurrentStock]]*Table1[[#This Row],[UnitPrice]]</f>
        <v>4478.76</v>
      </c>
      <c r="M2851" t="str">
        <f>IF(Table1[[#This Row],[ReorderLevel]]-Table1[[#This Row],[CurrentStock]]&gt;0,Table1[[#This Row],[ReorderLevel]]-Table1[[#This Row],[CurrentStock]],"")</f>
        <v/>
      </c>
      <c r="N2851" t="str">
        <f>IF(Table1[[#This Row],[CurrentStock]]&gt;Table1[[#This Row],[ReorderLevel]]*3,"Over Stock","Okay")</f>
        <v>Over Stock</v>
      </c>
      <c r="O2851" t="str">
        <f>IF(Table1[[#This Row],[CurrentStock]]&lt;Table1[[#This Row],[ReorderLevel]],"Reorder","Okay")</f>
        <v>Okay</v>
      </c>
    </row>
    <row r="2852" spans="1:15" x14ac:dyDescent="0.3">
      <c r="A2852">
        <v>40261</v>
      </c>
      <c r="B2852" t="s">
        <v>26</v>
      </c>
      <c r="C2852" t="s">
        <v>30</v>
      </c>
      <c r="D2852">
        <v>64</v>
      </c>
      <c r="E2852">
        <v>20</v>
      </c>
      <c r="F2852">
        <v>94.79</v>
      </c>
      <c r="G2852" t="s">
        <v>35</v>
      </c>
      <c r="H2852" s="1">
        <v>45309</v>
      </c>
      <c r="I2852" s="1">
        <v>45344</v>
      </c>
      <c r="J2852" t="s">
        <v>38</v>
      </c>
      <c r="K2852" t="b">
        <f>Table1[[#This Row],[CurrentStock]]&lt;Table1[[#This Row],[ReorderLevel]]</f>
        <v>0</v>
      </c>
      <c r="L2852" s="9">
        <f>Table1[[#This Row],[CurrentStock]]*Table1[[#This Row],[UnitPrice]]</f>
        <v>6066.56</v>
      </c>
      <c r="M2852" t="str">
        <f>IF(Table1[[#This Row],[ReorderLevel]]-Table1[[#This Row],[CurrentStock]]&gt;0,Table1[[#This Row],[ReorderLevel]]-Table1[[#This Row],[CurrentStock]],"")</f>
        <v/>
      </c>
      <c r="N2852" t="str">
        <f>IF(Table1[[#This Row],[CurrentStock]]&gt;Table1[[#This Row],[ReorderLevel]]*3,"Over Stock","Okay")</f>
        <v>Over Stock</v>
      </c>
      <c r="O2852" t="str">
        <f>IF(Table1[[#This Row],[CurrentStock]]&lt;Table1[[#This Row],[ReorderLevel]],"Reorder","Okay")</f>
        <v>Okay</v>
      </c>
    </row>
    <row r="2853" spans="1:15" x14ac:dyDescent="0.3">
      <c r="A2853">
        <v>69763</v>
      </c>
      <c r="B2853" t="s">
        <v>11</v>
      </c>
      <c r="C2853" t="s">
        <v>27</v>
      </c>
      <c r="D2853">
        <v>440</v>
      </c>
      <c r="E2853">
        <v>20</v>
      </c>
      <c r="F2853">
        <v>191.66</v>
      </c>
      <c r="G2853" t="s">
        <v>33</v>
      </c>
      <c r="H2853" s="1">
        <v>45639</v>
      </c>
      <c r="I2853" s="1">
        <v>45669</v>
      </c>
      <c r="J2853" t="s">
        <v>38</v>
      </c>
      <c r="K2853" t="b">
        <f>Table1[[#This Row],[CurrentStock]]&lt;Table1[[#This Row],[ReorderLevel]]</f>
        <v>0</v>
      </c>
      <c r="L2853" s="9">
        <f>Table1[[#This Row],[CurrentStock]]*Table1[[#This Row],[UnitPrice]]</f>
        <v>84330.4</v>
      </c>
      <c r="M2853" t="str">
        <f>IF(Table1[[#This Row],[ReorderLevel]]-Table1[[#This Row],[CurrentStock]]&gt;0,Table1[[#This Row],[ReorderLevel]]-Table1[[#This Row],[CurrentStock]],"")</f>
        <v/>
      </c>
      <c r="N2853" t="str">
        <f>IF(Table1[[#This Row],[CurrentStock]]&gt;Table1[[#This Row],[ReorderLevel]]*3,"Over Stock","Okay")</f>
        <v>Over Stock</v>
      </c>
      <c r="O2853" t="str">
        <f>IF(Table1[[#This Row],[CurrentStock]]&lt;Table1[[#This Row],[ReorderLevel]],"Reorder","Okay")</f>
        <v>Okay</v>
      </c>
    </row>
    <row r="2854" spans="1:15" x14ac:dyDescent="0.3">
      <c r="A2854">
        <v>12026</v>
      </c>
      <c r="B2854" t="s">
        <v>15</v>
      </c>
      <c r="C2854" t="s">
        <v>29</v>
      </c>
      <c r="D2854">
        <v>53</v>
      </c>
      <c r="E2854">
        <v>80</v>
      </c>
      <c r="F2854">
        <v>466.03</v>
      </c>
      <c r="G2854" t="s">
        <v>34</v>
      </c>
      <c r="H2854" s="1">
        <v>45644</v>
      </c>
      <c r="I2854" s="1">
        <v>45680</v>
      </c>
      <c r="J2854" t="s">
        <v>39</v>
      </c>
      <c r="K2854" t="b">
        <f>Table1[[#This Row],[CurrentStock]]&lt;Table1[[#This Row],[ReorderLevel]]</f>
        <v>1</v>
      </c>
      <c r="L2854" s="9">
        <f>Table1[[#This Row],[CurrentStock]]*Table1[[#This Row],[UnitPrice]]</f>
        <v>24699.59</v>
      </c>
      <c r="M2854">
        <f>IF(Table1[[#This Row],[ReorderLevel]]-Table1[[#This Row],[CurrentStock]]&gt;0,Table1[[#This Row],[ReorderLevel]]-Table1[[#This Row],[CurrentStock]],"")</f>
        <v>27</v>
      </c>
      <c r="N2854" t="str">
        <f>IF(Table1[[#This Row],[CurrentStock]]&gt;Table1[[#This Row],[ReorderLevel]]*3,"Over Stock","Okay")</f>
        <v>Okay</v>
      </c>
      <c r="O2854" t="str">
        <f>IF(Table1[[#This Row],[CurrentStock]]&lt;Table1[[#This Row],[ReorderLevel]],"Reorder","Okay")</f>
        <v>Reorder</v>
      </c>
    </row>
    <row r="2855" spans="1:15" x14ac:dyDescent="0.3">
      <c r="A2855">
        <v>28356</v>
      </c>
      <c r="B2855" t="s">
        <v>13</v>
      </c>
      <c r="C2855" t="s">
        <v>29</v>
      </c>
      <c r="D2855">
        <v>367</v>
      </c>
      <c r="E2855">
        <v>30</v>
      </c>
      <c r="F2855">
        <v>310.07</v>
      </c>
      <c r="G2855" t="s">
        <v>35</v>
      </c>
      <c r="H2855" s="1">
        <v>45381</v>
      </c>
      <c r="I2855" s="1">
        <v>45401</v>
      </c>
      <c r="J2855" t="s">
        <v>37</v>
      </c>
      <c r="K2855" t="b">
        <f>Table1[[#This Row],[CurrentStock]]&lt;Table1[[#This Row],[ReorderLevel]]</f>
        <v>0</v>
      </c>
      <c r="L2855" s="9">
        <f>Table1[[#This Row],[CurrentStock]]*Table1[[#This Row],[UnitPrice]]</f>
        <v>113795.69</v>
      </c>
      <c r="M2855" t="str">
        <f>IF(Table1[[#This Row],[ReorderLevel]]-Table1[[#This Row],[CurrentStock]]&gt;0,Table1[[#This Row],[ReorderLevel]]-Table1[[#This Row],[CurrentStock]],"")</f>
        <v/>
      </c>
      <c r="N2855" t="str">
        <f>IF(Table1[[#This Row],[CurrentStock]]&gt;Table1[[#This Row],[ReorderLevel]]*3,"Over Stock","Okay")</f>
        <v>Over Stock</v>
      </c>
      <c r="O2855" t="str">
        <f>IF(Table1[[#This Row],[CurrentStock]]&lt;Table1[[#This Row],[ReorderLevel]],"Reorder","Okay")</f>
        <v>Okay</v>
      </c>
    </row>
    <row r="2856" spans="1:15" x14ac:dyDescent="0.3">
      <c r="A2856">
        <v>32158</v>
      </c>
      <c r="B2856" t="s">
        <v>22</v>
      </c>
      <c r="C2856" t="s">
        <v>27</v>
      </c>
      <c r="D2856">
        <v>270</v>
      </c>
      <c r="E2856">
        <v>80</v>
      </c>
      <c r="F2856">
        <v>295.66000000000003</v>
      </c>
      <c r="G2856" t="s">
        <v>33</v>
      </c>
      <c r="H2856" s="1">
        <v>45363</v>
      </c>
      <c r="I2856" s="1">
        <v>45377</v>
      </c>
      <c r="J2856" t="s">
        <v>39</v>
      </c>
      <c r="K2856" t="b">
        <f>Table1[[#This Row],[CurrentStock]]&lt;Table1[[#This Row],[ReorderLevel]]</f>
        <v>0</v>
      </c>
      <c r="L2856" s="9">
        <f>Table1[[#This Row],[CurrentStock]]*Table1[[#This Row],[UnitPrice]]</f>
        <v>79828.200000000012</v>
      </c>
      <c r="M2856" t="str">
        <f>IF(Table1[[#This Row],[ReorderLevel]]-Table1[[#This Row],[CurrentStock]]&gt;0,Table1[[#This Row],[ReorderLevel]]-Table1[[#This Row],[CurrentStock]],"")</f>
        <v/>
      </c>
      <c r="N2856" t="str">
        <f>IF(Table1[[#This Row],[CurrentStock]]&gt;Table1[[#This Row],[ReorderLevel]]*3,"Over Stock","Okay")</f>
        <v>Over Stock</v>
      </c>
      <c r="O2856" t="str">
        <f>IF(Table1[[#This Row],[CurrentStock]]&lt;Table1[[#This Row],[ReorderLevel]],"Reorder","Okay")</f>
        <v>Okay</v>
      </c>
    </row>
    <row r="2857" spans="1:15" x14ac:dyDescent="0.3">
      <c r="A2857">
        <v>10705</v>
      </c>
      <c r="B2857" t="s">
        <v>26</v>
      </c>
      <c r="C2857" t="s">
        <v>30</v>
      </c>
      <c r="D2857">
        <v>108</v>
      </c>
      <c r="E2857">
        <v>80</v>
      </c>
      <c r="F2857">
        <v>14.61</v>
      </c>
      <c r="G2857" t="s">
        <v>36</v>
      </c>
      <c r="H2857" s="1">
        <v>45334</v>
      </c>
      <c r="I2857" s="1">
        <v>45373</v>
      </c>
      <c r="J2857" t="s">
        <v>38</v>
      </c>
      <c r="K2857" t="b">
        <f>Table1[[#This Row],[CurrentStock]]&lt;Table1[[#This Row],[ReorderLevel]]</f>
        <v>0</v>
      </c>
      <c r="L2857" s="9">
        <f>Table1[[#This Row],[CurrentStock]]*Table1[[#This Row],[UnitPrice]]</f>
        <v>1577.8799999999999</v>
      </c>
      <c r="M2857" t="str">
        <f>IF(Table1[[#This Row],[ReorderLevel]]-Table1[[#This Row],[CurrentStock]]&gt;0,Table1[[#This Row],[ReorderLevel]]-Table1[[#This Row],[CurrentStock]],"")</f>
        <v/>
      </c>
      <c r="N2857" t="str">
        <f>IF(Table1[[#This Row],[CurrentStock]]&gt;Table1[[#This Row],[ReorderLevel]]*3,"Over Stock","Okay")</f>
        <v>Okay</v>
      </c>
      <c r="O2857" t="str">
        <f>IF(Table1[[#This Row],[CurrentStock]]&lt;Table1[[#This Row],[ReorderLevel]],"Reorder","Okay")</f>
        <v>Okay</v>
      </c>
    </row>
    <row r="2858" spans="1:15" x14ac:dyDescent="0.3">
      <c r="A2858">
        <v>14834</v>
      </c>
      <c r="B2858" t="s">
        <v>10</v>
      </c>
      <c r="C2858" t="s">
        <v>27</v>
      </c>
      <c r="D2858">
        <v>184</v>
      </c>
      <c r="E2858">
        <v>150</v>
      </c>
      <c r="F2858">
        <v>91.64</v>
      </c>
      <c r="G2858" t="s">
        <v>35</v>
      </c>
      <c r="H2858" s="1">
        <v>45604</v>
      </c>
      <c r="I2858" s="1">
        <v>45626</v>
      </c>
      <c r="J2858" t="s">
        <v>39</v>
      </c>
      <c r="K2858" t="b">
        <f>Table1[[#This Row],[CurrentStock]]&lt;Table1[[#This Row],[ReorderLevel]]</f>
        <v>0</v>
      </c>
      <c r="L2858" s="9">
        <f>Table1[[#This Row],[CurrentStock]]*Table1[[#This Row],[UnitPrice]]</f>
        <v>16861.759999999998</v>
      </c>
      <c r="M2858" t="str">
        <f>IF(Table1[[#This Row],[ReorderLevel]]-Table1[[#This Row],[CurrentStock]]&gt;0,Table1[[#This Row],[ReorderLevel]]-Table1[[#This Row],[CurrentStock]],"")</f>
        <v/>
      </c>
      <c r="N2858" t="str">
        <f>IF(Table1[[#This Row],[CurrentStock]]&gt;Table1[[#This Row],[ReorderLevel]]*3,"Over Stock","Okay")</f>
        <v>Okay</v>
      </c>
      <c r="O2858" t="str">
        <f>IF(Table1[[#This Row],[CurrentStock]]&lt;Table1[[#This Row],[ReorderLevel]],"Reorder","Okay")</f>
        <v>Okay</v>
      </c>
    </row>
    <row r="2859" spans="1:15" x14ac:dyDescent="0.3">
      <c r="A2859">
        <v>40545</v>
      </c>
      <c r="B2859" t="s">
        <v>20</v>
      </c>
      <c r="C2859" t="s">
        <v>29</v>
      </c>
      <c r="D2859">
        <v>417</v>
      </c>
      <c r="E2859">
        <v>150</v>
      </c>
      <c r="F2859">
        <v>445.76</v>
      </c>
      <c r="G2859" t="s">
        <v>36</v>
      </c>
      <c r="H2859" s="1">
        <v>45478</v>
      </c>
      <c r="I2859" s="1">
        <v>45497</v>
      </c>
      <c r="J2859" t="s">
        <v>37</v>
      </c>
      <c r="K2859" t="b">
        <f>Table1[[#This Row],[CurrentStock]]&lt;Table1[[#This Row],[ReorderLevel]]</f>
        <v>0</v>
      </c>
      <c r="L2859" s="9">
        <f>Table1[[#This Row],[CurrentStock]]*Table1[[#This Row],[UnitPrice]]</f>
        <v>185881.91999999998</v>
      </c>
      <c r="M2859" t="str">
        <f>IF(Table1[[#This Row],[ReorderLevel]]-Table1[[#This Row],[CurrentStock]]&gt;0,Table1[[#This Row],[ReorderLevel]]-Table1[[#This Row],[CurrentStock]],"")</f>
        <v/>
      </c>
      <c r="N2859" t="str">
        <f>IF(Table1[[#This Row],[CurrentStock]]&gt;Table1[[#This Row],[ReorderLevel]]*3,"Over Stock","Okay")</f>
        <v>Okay</v>
      </c>
      <c r="O2859" t="str">
        <f>IF(Table1[[#This Row],[CurrentStock]]&lt;Table1[[#This Row],[ReorderLevel]],"Reorder","Okay")</f>
        <v>Okay</v>
      </c>
    </row>
    <row r="2860" spans="1:15" x14ac:dyDescent="0.3">
      <c r="A2860">
        <v>78109</v>
      </c>
      <c r="B2860" t="s">
        <v>18</v>
      </c>
      <c r="C2860" t="s">
        <v>28</v>
      </c>
      <c r="D2860">
        <v>81</v>
      </c>
      <c r="E2860">
        <v>20</v>
      </c>
      <c r="F2860">
        <v>408.28</v>
      </c>
      <c r="G2860" t="s">
        <v>34</v>
      </c>
      <c r="H2860" s="1">
        <v>45553</v>
      </c>
      <c r="I2860" s="1">
        <v>45574</v>
      </c>
      <c r="J2860" t="s">
        <v>39</v>
      </c>
      <c r="K2860" t="b">
        <f>Table1[[#This Row],[CurrentStock]]&lt;Table1[[#This Row],[ReorderLevel]]</f>
        <v>0</v>
      </c>
      <c r="L2860" s="9">
        <f>Table1[[#This Row],[CurrentStock]]*Table1[[#This Row],[UnitPrice]]</f>
        <v>33070.68</v>
      </c>
      <c r="M2860" t="str">
        <f>IF(Table1[[#This Row],[ReorderLevel]]-Table1[[#This Row],[CurrentStock]]&gt;0,Table1[[#This Row],[ReorderLevel]]-Table1[[#This Row],[CurrentStock]],"")</f>
        <v/>
      </c>
      <c r="N2860" t="str">
        <f>IF(Table1[[#This Row],[CurrentStock]]&gt;Table1[[#This Row],[ReorderLevel]]*3,"Over Stock","Okay")</f>
        <v>Over Stock</v>
      </c>
      <c r="O2860" t="str">
        <f>IF(Table1[[#This Row],[CurrentStock]]&lt;Table1[[#This Row],[ReorderLevel]],"Reorder","Okay")</f>
        <v>Okay</v>
      </c>
    </row>
    <row r="2861" spans="1:15" x14ac:dyDescent="0.3">
      <c r="A2861">
        <v>29951</v>
      </c>
      <c r="B2861" t="s">
        <v>24</v>
      </c>
      <c r="C2861" t="s">
        <v>31</v>
      </c>
      <c r="D2861">
        <v>387</v>
      </c>
      <c r="E2861">
        <v>30</v>
      </c>
      <c r="F2861">
        <v>46.81</v>
      </c>
      <c r="G2861" t="s">
        <v>33</v>
      </c>
      <c r="H2861" s="1">
        <v>45344</v>
      </c>
      <c r="I2861" s="1">
        <v>45383</v>
      </c>
      <c r="J2861" t="s">
        <v>38</v>
      </c>
      <c r="K2861" t="b">
        <f>Table1[[#This Row],[CurrentStock]]&lt;Table1[[#This Row],[ReorderLevel]]</f>
        <v>0</v>
      </c>
      <c r="L2861" s="9">
        <f>Table1[[#This Row],[CurrentStock]]*Table1[[#This Row],[UnitPrice]]</f>
        <v>18115.47</v>
      </c>
      <c r="M2861" t="str">
        <f>IF(Table1[[#This Row],[ReorderLevel]]-Table1[[#This Row],[CurrentStock]]&gt;0,Table1[[#This Row],[ReorderLevel]]-Table1[[#This Row],[CurrentStock]],"")</f>
        <v/>
      </c>
      <c r="N2861" t="str">
        <f>IF(Table1[[#This Row],[CurrentStock]]&gt;Table1[[#This Row],[ReorderLevel]]*3,"Over Stock","Okay")</f>
        <v>Over Stock</v>
      </c>
      <c r="O2861" t="str">
        <f>IF(Table1[[#This Row],[CurrentStock]]&lt;Table1[[#This Row],[ReorderLevel]],"Reorder","Okay")</f>
        <v>Okay</v>
      </c>
    </row>
    <row r="2862" spans="1:15" x14ac:dyDescent="0.3">
      <c r="A2862">
        <v>46530</v>
      </c>
      <c r="B2862" t="s">
        <v>10</v>
      </c>
      <c r="C2862" t="s">
        <v>27</v>
      </c>
      <c r="D2862">
        <v>405</v>
      </c>
      <c r="E2862">
        <v>40</v>
      </c>
      <c r="F2862">
        <v>409.23</v>
      </c>
      <c r="G2862" t="s">
        <v>35</v>
      </c>
      <c r="H2862" s="1">
        <v>45313</v>
      </c>
      <c r="I2862" s="1">
        <v>45326</v>
      </c>
      <c r="J2862" t="s">
        <v>39</v>
      </c>
      <c r="K2862" t="b">
        <f>Table1[[#This Row],[CurrentStock]]&lt;Table1[[#This Row],[ReorderLevel]]</f>
        <v>0</v>
      </c>
      <c r="L2862" s="9">
        <f>Table1[[#This Row],[CurrentStock]]*Table1[[#This Row],[UnitPrice]]</f>
        <v>165738.15</v>
      </c>
      <c r="M2862" t="str">
        <f>IF(Table1[[#This Row],[ReorderLevel]]-Table1[[#This Row],[CurrentStock]]&gt;0,Table1[[#This Row],[ReorderLevel]]-Table1[[#This Row],[CurrentStock]],"")</f>
        <v/>
      </c>
      <c r="N2862" t="str">
        <f>IF(Table1[[#This Row],[CurrentStock]]&gt;Table1[[#This Row],[ReorderLevel]]*3,"Over Stock","Okay")</f>
        <v>Over Stock</v>
      </c>
      <c r="O2862" t="str">
        <f>IF(Table1[[#This Row],[CurrentStock]]&lt;Table1[[#This Row],[ReorderLevel]],"Reorder","Okay")</f>
        <v>Okay</v>
      </c>
    </row>
    <row r="2863" spans="1:15" x14ac:dyDescent="0.3">
      <c r="A2863">
        <v>98830</v>
      </c>
      <c r="B2863" t="s">
        <v>13</v>
      </c>
      <c r="C2863" t="s">
        <v>29</v>
      </c>
      <c r="D2863">
        <v>178</v>
      </c>
      <c r="E2863">
        <v>80</v>
      </c>
      <c r="F2863">
        <v>168.07</v>
      </c>
      <c r="G2863" t="s">
        <v>36</v>
      </c>
      <c r="H2863" s="1">
        <v>45340</v>
      </c>
      <c r="I2863" s="1">
        <v>45354</v>
      </c>
      <c r="J2863" t="s">
        <v>37</v>
      </c>
      <c r="K2863" t="b">
        <f>Table1[[#This Row],[CurrentStock]]&lt;Table1[[#This Row],[ReorderLevel]]</f>
        <v>0</v>
      </c>
      <c r="L2863" s="9">
        <f>Table1[[#This Row],[CurrentStock]]*Table1[[#This Row],[UnitPrice]]</f>
        <v>29916.46</v>
      </c>
      <c r="M2863" t="str">
        <f>IF(Table1[[#This Row],[ReorderLevel]]-Table1[[#This Row],[CurrentStock]]&gt;0,Table1[[#This Row],[ReorderLevel]]-Table1[[#This Row],[CurrentStock]],"")</f>
        <v/>
      </c>
      <c r="N2863" t="str">
        <f>IF(Table1[[#This Row],[CurrentStock]]&gt;Table1[[#This Row],[ReorderLevel]]*3,"Over Stock","Okay")</f>
        <v>Okay</v>
      </c>
      <c r="O2863" t="str">
        <f>IF(Table1[[#This Row],[CurrentStock]]&lt;Table1[[#This Row],[ReorderLevel]],"Reorder","Okay")</f>
        <v>Okay</v>
      </c>
    </row>
    <row r="2864" spans="1:15" x14ac:dyDescent="0.3">
      <c r="A2864">
        <v>29589</v>
      </c>
      <c r="B2864" t="s">
        <v>24</v>
      </c>
      <c r="C2864" t="s">
        <v>31</v>
      </c>
      <c r="D2864">
        <v>97</v>
      </c>
      <c r="E2864">
        <v>30</v>
      </c>
      <c r="F2864">
        <v>105.44</v>
      </c>
      <c r="G2864" t="s">
        <v>33</v>
      </c>
      <c r="H2864" s="1">
        <v>45632</v>
      </c>
      <c r="I2864" s="1">
        <v>45656</v>
      </c>
      <c r="J2864" t="s">
        <v>39</v>
      </c>
      <c r="K2864" t="b">
        <f>Table1[[#This Row],[CurrentStock]]&lt;Table1[[#This Row],[ReorderLevel]]</f>
        <v>0</v>
      </c>
      <c r="L2864" s="9">
        <f>Table1[[#This Row],[CurrentStock]]*Table1[[#This Row],[UnitPrice]]</f>
        <v>10227.68</v>
      </c>
      <c r="M2864" t="str">
        <f>IF(Table1[[#This Row],[ReorderLevel]]-Table1[[#This Row],[CurrentStock]]&gt;0,Table1[[#This Row],[ReorderLevel]]-Table1[[#This Row],[CurrentStock]],"")</f>
        <v/>
      </c>
      <c r="N2864" t="str">
        <f>IF(Table1[[#This Row],[CurrentStock]]&gt;Table1[[#This Row],[ReorderLevel]]*3,"Over Stock","Okay")</f>
        <v>Over Stock</v>
      </c>
      <c r="O2864" t="str">
        <f>IF(Table1[[#This Row],[CurrentStock]]&lt;Table1[[#This Row],[ReorderLevel]],"Reorder","Okay")</f>
        <v>Okay</v>
      </c>
    </row>
    <row r="2865" spans="1:15" x14ac:dyDescent="0.3">
      <c r="A2865">
        <v>80143</v>
      </c>
      <c r="B2865" t="s">
        <v>17</v>
      </c>
      <c r="C2865" t="s">
        <v>30</v>
      </c>
      <c r="D2865">
        <v>62</v>
      </c>
      <c r="E2865">
        <v>50</v>
      </c>
      <c r="F2865">
        <v>72.099999999999994</v>
      </c>
      <c r="G2865" t="s">
        <v>35</v>
      </c>
      <c r="H2865" s="1">
        <v>45549</v>
      </c>
      <c r="I2865" s="1">
        <v>45569</v>
      </c>
      <c r="J2865" t="s">
        <v>38</v>
      </c>
      <c r="K2865" t="b">
        <f>Table1[[#This Row],[CurrentStock]]&lt;Table1[[#This Row],[ReorderLevel]]</f>
        <v>0</v>
      </c>
      <c r="L2865" s="9">
        <f>Table1[[#This Row],[CurrentStock]]*Table1[[#This Row],[UnitPrice]]</f>
        <v>4470.2</v>
      </c>
      <c r="M2865" t="str">
        <f>IF(Table1[[#This Row],[ReorderLevel]]-Table1[[#This Row],[CurrentStock]]&gt;0,Table1[[#This Row],[ReorderLevel]]-Table1[[#This Row],[CurrentStock]],"")</f>
        <v/>
      </c>
      <c r="N2865" t="str">
        <f>IF(Table1[[#This Row],[CurrentStock]]&gt;Table1[[#This Row],[ReorderLevel]]*3,"Over Stock","Okay")</f>
        <v>Okay</v>
      </c>
      <c r="O2865" t="str">
        <f>IF(Table1[[#This Row],[CurrentStock]]&lt;Table1[[#This Row],[ReorderLevel]],"Reorder","Okay")</f>
        <v>Okay</v>
      </c>
    </row>
    <row r="2866" spans="1:15" x14ac:dyDescent="0.3">
      <c r="A2866">
        <v>57543</v>
      </c>
      <c r="B2866" t="s">
        <v>10</v>
      </c>
      <c r="C2866" t="s">
        <v>27</v>
      </c>
      <c r="D2866">
        <v>51</v>
      </c>
      <c r="E2866">
        <v>150</v>
      </c>
      <c r="F2866">
        <v>343.32</v>
      </c>
      <c r="G2866" t="s">
        <v>35</v>
      </c>
      <c r="H2866" s="1">
        <v>45597</v>
      </c>
      <c r="I2866" s="1">
        <v>45632</v>
      </c>
      <c r="J2866" t="s">
        <v>37</v>
      </c>
      <c r="K2866" t="b">
        <f>Table1[[#This Row],[CurrentStock]]&lt;Table1[[#This Row],[ReorderLevel]]</f>
        <v>1</v>
      </c>
      <c r="L2866" s="9">
        <f>Table1[[#This Row],[CurrentStock]]*Table1[[#This Row],[UnitPrice]]</f>
        <v>17509.32</v>
      </c>
      <c r="M2866">
        <f>IF(Table1[[#This Row],[ReorderLevel]]-Table1[[#This Row],[CurrentStock]]&gt;0,Table1[[#This Row],[ReorderLevel]]-Table1[[#This Row],[CurrentStock]],"")</f>
        <v>99</v>
      </c>
      <c r="N2866" t="str">
        <f>IF(Table1[[#This Row],[CurrentStock]]&gt;Table1[[#This Row],[ReorderLevel]]*3,"Over Stock","Okay")</f>
        <v>Okay</v>
      </c>
      <c r="O2866" t="str">
        <f>IF(Table1[[#This Row],[CurrentStock]]&lt;Table1[[#This Row],[ReorderLevel]],"Reorder","Okay")</f>
        <v>Reorder</v>
      </c>
    </row>
    <row r="2867" spans="1:15" x14ac:dyDescent="0.3">
      <c r="A2867">
        <v>74863</v>
      </c>
      <c r="B2867" t="s">
        <v>14</v>
      </c>
      <c r="C2867" t="s">
        <v>27</v>
      </c>
      <c r="D2867">
        <v>299</v>
      </c>
      <c r="E2867">
        <v>30</v>
      </c>
      <c r="F2867">
        <v>381.47</v>
      </c>
      <c r="G2867" t="s">
        <v>35</v>
      </c>
      <c r="H2867" s="1">
        <v>45335</v>
      </c>
      <c r="I2867" s="1">
        <v>45359</v>
      </c>
      <c r="J2867" t="s">
        <v>39</v>
      </c>
      <c r="K2867" t="b">
        <f>Table1[[#This Row],[CurrentStock]]&lt;Table1[[#This Row],[ReorderLevel]]</f>
        <v>0</v>
      </c>
      <c r="L2867" s="9">
        <f>Table1[[#This Row],[CurrentStock]]*Table1[[#This Row],[UnitPrice]]</f>
        <v>114059.53000000001</v>
      </c>
      <c r="M2867" t="str">
        <f>IF(Table1[[#This Row],[ReorderLevel]]-Table1[[#This Row],[CurrentStock]]&gt;0,Table1[[#This Row],[ReorderLevel]]-Table1[[#This Row],[CurrentStock]],"")</f>
        <v/>
      </c>
      <c r="N2867" t="str">
        <f>IF(Table1[[#This Row],[CurrentStock]]&gt;Table1[[#This Row],[ReorderLevel]]*3,"Over Stock","Okay")</f>
        <v>Over Stock</v>
      </c>
      <c r="O2867" t="str">
        <f>IF(Table1[[#This Row],[CurrentStock]]&lt;Table1[[#This Row],[ReorderLevel]],"Reorder","Okay")</f>
        <v>Okay</v>
      </c>
    </row>
    <row r="2868" spans="1:15" x14ac:dyDescent="0.3">
      <c r="A2868">
        <v>96704</v>
      </c>
      <c r="B2868" t="s">
        <v>10</v>
      </c>
      <c r="C2868" t="s">
        <v>27</v>
      </c>
      <c r="D2868">
        <v>124</v>
      </c>
      <c r="E2868">
        <v>150</v>
      </c>
      <c r="F2868">
        <v>443.94</v>
      </c>
      <c r="G2868" t="s">
        <v>36</v>
      </c>
      <c r="H2868" s="1">
        <v>45374</v>
      </c>
      <c r="I2868" s="1">
        <v>45387</v>
      </c>
      <c r="J2868" t="s">
        <v>39</v>
      </c>
      <c r="K2868" t="b">
        <f>Table1[[#This Row],[CurrentStock]]&lt;Table1[[#This Row],[ReorderLevel]]</f>
        <v>1</v>
      </c>
      <c r="L2868" s="9">
        <f>Table1[[#This Row],[CurrentStock]]*Table1[[#This Row],[UnitPrice]]</f>
        <v>55048.56</v>
      </c>
      <c r="M2868">
        <f>IF(Table1[[#This Row],[ReorderLevel]]-Table1[[#This Row],[CurrentStock]]&gt;0,Table1[[#This Row],[ReorderLevel]]-Table1[[#This Row],[CurrentStock]],"")</f>
        <v>26</v>
      </c>
      <c r="N2868" t="str">
        <f>IF(Table1[[#This Row],[CurrentStock]]&gt;Table1[[#This Row],[ReorderLevel]]*3,"Over Stock","Okay")</f>
        <v>Okay</v>
      </c>
      <c r="O2868" t="str">
        <f>IF(Table1[[#This Row],[CurrentStock]]&lt;Table1[[#This Row],[ReorderLevel]],"Reorder","Okay")</f>
        <v>Reorder</v>
      </c>
    </row>
    <row r="2869" spans="1:15" x14ac:dyDescent="0.3">
      <c r="A2869">
        <v>25788</v>
      </c>
      <c r="B2869" t="s">
        <v>10</v>
      </c>
      <c r="C2869" t="s">
        <v>27</v>
      </c>
      <c r="D2869">
        <v>353</v>
      </c>
      <c r="E2869">
        <v>40</v>
      </c>
      <c r="F2869">
        <v>165.87</v>
      </c>
      <c r="G2869" t="s">
        <v>34</v>
      </c>
      <c r="H2869" s="1">
        <v>45584</v>
      </c>
      <c r="I2869" s="1">
        <v>45620</v>
      </c>
      <c r="J2869" t="s">
        <v>37</v>
      </c>
      <c r="K2869" t="b">
        <f>Table1[[#This Row],[CurrentStock]]&lt;Table1[[#This Row],[ReorderLevel]]</f>
        <v>0</v>
      </c>
      <c r="L2869" s="9">
        <f>Table1[[#This Row],[CurrentStock]]*Table1[[#This Row],[UnitPrice]]</f>
        <v>58552.11</v>
      </c>
      <c r="M2869" t="str">
        <f>IF(Table1[[#This Row],[ReorderLevel]]-Table1[[#This Row],[CurrentStock]]&gt;0,Table1[[#This Row],[ReorderLevel]]-Table1[[#This Row],[CurrentStock]],"")</f>
        <v/>
      </c>
      <c r="N2869" t="str">
        <f>IF(Table1[[#This Row],[CurrentStock]]&gt;Table1[[#This Row],[ReorderLevel]]*3,"Over Stock","Okay")</f>
        <v>Over Stock</v>
      </c>
      <c r="O2869" t="str">
        <f>IF(Table1[[#This Row],[CurrentStock]]&lt;Table1[[#This Row],[ReorderLevel]],"Reorder","Okay")</f>
        <v>Okay</v>
      </c>
    </row>
    <row r="2870" spans="1:15" x14ac:dyDescent="0.3">
      <c r="A2870">
        <v>27949</v>
      </c>
      <c r="B2870" t="s">
        <v>19</v>
      </c>
      <c r="C2870" t="s">
        <v>28</v>
      </c>
      <c r="D2870">
        <v>57</v>
      </c>
      <c r="E2870">
        <v>80</v>
      </c>
      <c r="F2870">
        <v>12.34</v>
      </c>
      <c r="G2870" t="s">
        <v>34</v>
      </c>
      <c r="H2870" s="1">
        <v>45539</v>
      </c>
      <c r="I2870" s="1">
        <v>45565</v>
      </c>
      <c r="J2870" t="s">
        <v>38</v>
      </c>
      <c r="K2870" t="b">
        <f>Table1[[#This Row],[CurrentStock]]&lt;Table1[[#This Row],[ReorderLevel]]</f>
        <v>1</v>
      </c>
      <c r="L2870" s="9">
        <f>Table1[[#This Row],[CurrentStock]]*Table1[[#This Row],[UnitPrice]]</f>
        <v>703.38</v>
      </c>
      <c r="M2870">
        <f>IF(Table1[[#This Row],[ReorderLevel]]-Table1[[#This Row],[CurrentStock]]&gt;0,Table1[[#This Row],[ReorderLevel]]-Table1[[#This Row],[CurrentStock]],"")</f>
        <v>23</v>
      </c>
      <c r="N2870" t="str">
        <f>IF(Table1[[#This Row],[CurrentStock]]&gt;Table1[[#This Row],[ReorderLevel]]*3,"Over Stock","Okay")</f>
        <v>Okay</v>
      </c>
      <c r="O2870" t="str">
        <f>IF(Table1[[#This Row],[CurrentStock]]&lt;Table1[[#This Row],[ReorderLevel]],"Reorder","Okay")</f>
        <v>Reorder</v>
      </c>
    </row>
    <row r="2871" spans="1:15" x14ac:dyDescent="0.3">
      <c r="A2871">
        <v>98154</v>
      </c>
      <c r="B2871" t="s">
        <v>18</v>
      </c>
      <c r="C2871" t="s">
        <v>28</v>
      </c>
      <c r="D2871">
        <v>397</v>
      </c>
      <c r="E2871">
        <v>150</v>
      </c>
      <c r="F2871">
        <v>408.02</v>
      </c>
      <c r="G2871" t="s">
        <v>36</v>
      </c>
      <c r="H2871" s="1">
        <v>45393</v>
      </c>
      <c r="I2871" s="1">
        <v>45423</v>
      </c>
      <c r="J2871" t="s">
        <v>37</v>
      </c>
      <c r="K2871" t="b">
        <f>Table1[[#This Row],[CurrentStock]]&lt;Table1[[#This Row],[ReorderLevel]]</f>
        <v>0</v>
      </c>
      <c r="L2871" s="9">
        <f>Table1[[#This Row],[CurrentStock]]*Table1[[#This Row],[UnitPrice]]</f>
        <v>161983.94</v>
      </c>
      <c r="M2871" t="str">
        <f>IF(Table1[[#This Row],[ReorderLevel]]-Table1[[#This Row],[CurrentStock]]&gt;0,Table1[[#This Row],[ReorderLevel]]-Table1[[#This Row],[CurrentStock]],"")</f>
        <v/>
      </c>
      <c r="N2871" t="str">
        <f>IF(Table1[[#This Row],[CurrentStock]]&gt;Table1[[#This Row],[ReorderLevel]]*3,"Over Stock","Okay")</f>
        <v>Okay</v>
      </c>
      <c r="O2871" t="str">
        <f>IF(Table1[[#This Row],[CurrentStock]]&lt;Table1[[#This Row],[ReorderLevel]],"Reorder","Okay")</f>
        <v>Okay</v>
      </c>
    </row>
    <row r="2872" spans="1:15" x14ac:dyDescent="0.3">
      <c r="A2872">
        <v>13901</v>
      </c>
      <c r="B2872" t="s">
        <v>26</v>
      </c>
      <c r="C2872" t="s">
        <v>30</v>
      </c>
      <c r="D2872">
        <v>94</v>
      </c>
      <c r="E2872">
        <v>150</v>
      </c>
      <c r="F2872">
        <v>430.99</v>
      </c>
      <c r="G2872" t="s">
        <v>34</v>
      </c>
      <c r="H2872" s="1">
        <v>45497</v>
      </c>
      <c r="I2872" s="1">
        <v>45526</v>
      </c>
      <c r="J2872" t="s">
        <v>38</v>
      </c>
      <c r="K2872" t="b">
        <f>Table1[[#This Row],[CurrentStock]]&lt;Table1[[#This Row],[ReorderLevel]]</f>
        <v>1</v>
      </c>
      <c r="L2872" s="9">
        <f>Table1[[#This Row],[CurrentStock]]*Table1[[#This Row],[UnitPrice]]</f>
        <v>40513.06</v>
      </c>
      <c r="M2872">
        <f>IF(Table1[[#This Row],[ReorderLevel]]-Table1[[#This Row],[CurrentStock]]&gt;0,Table1[[#This Row],[ReorderLevel]]-Table1[[#This Row],[CurrentStock]],"")</f>
        <v>56</v>
      </c>
      <c r="N2872" t="str">
        <f>IF(Table1[[#This Row],[CurrentStock]]&gt;Table1[[#This Row],[ReorderLevel]]*3,"Over Stock","Okay")</f>
        <v>Okay</v>
      </c>
      <c r="O2872" t="str">
        <f>IF(Table1[[#This Row],[CurrentStock]]&lt;Table1[[#This Row],[ReorderLevel]],"Reorder","Okay")</f>
        <v>Reorder</v>
      </c>
    </row>
    <row r="2873" spans="1:15" x14ac:dyDescent="0.3">
      <c r="A2873">
        <v>69888</v>
      </c>
      <c r="B2873" t="s">
        <v>15</v>
      </c>
      <c r="C2873" t="s">
        <v>29</v>
      </c>
      <c r="D2873">
        <v>466</v>
      </c>
      <c r="E2873">
        <v>40</v>
      </c>
      <c r="F2873">
        <v>256.23</v>
      </c>
      <c r="G2873" t="s">
        <v>35</v>
      </c>
      <c r="H2873" s="1">
        <v>45592</v>
      </c>
      <c r="I2873" s="1">
        <v>45603</v>
      </c>
      <c r="J2873" t="s">
        <v>37</v>
      </c>
      <c r="K2873" t="b">
        <f>Table1[[#This Row],[CurrentStock]]&lt;Table1[[#This Row],[ReorderLevel]]</f>
        <v>0</v>
      </c>
      <c r="L2873" s="9">
        <f>Table1[[#This Row],[CurrentStock]]*Table1[[#This Row],[UnitPrice]]</f>
        <v>119403.18000000001</v>
      </c>
      <c r="M2873" t="str">
        <f>IF(Table1[[#This Row],[ReorderLevel]]-Table1[[#This Row],[CurrentStock]]&gt;0,Table1[[#This Row],[ReorderLevel]]-Table1[[#This Row],[CurrentStock]],"")</f>
        <v/>
      </c>
      <c r="N2873" t="str">
        <f>IF(Table1[[#This Row],[CurrentStock]]&gt;Table1[[#This Row],[ReorderLevel]]*3,"Over Stock","Okay")</f>
        <v>Over Stock</v>
      </c>
      <c r="O2873" t="str">
        <f>IF(Table1[[#This Row],[CurrentStock]]&lt;Table1[[#This Row],[ReorderLevel]],"Reorder","Okay")</f>
        <v>Okay</v>
      </c>
    </row>
    <row r="2874" spans="1:15" x14ac:dyDescent="0.3">
      <c r="A2874">
        <v>27747</v>
      </c>
      <c r="B2874" t="s">
        <v>15</v>
      </c>
      <c r="C2874" t="s">
        <v>29</v>
      </c>
      <c r="D2874">
        <v>356</v>
      </c>
      <c r="E2874">
        <v>100</v>
      </c>
      <c r="F2874">
        <v>56.22</v>
      </c>
      <c r="G2874" t="s">
        <v>33</v>
      </c>
      <c r="H2874" s="1">
        <v>45399</v>
      </c>
      <c r="I2874" s="1">
        <v>45432</v>
      </c>
      <c r="J2874" t="s">
        <v>38</v>
      </c>
      <c r="K2874" t="b">
        <f>Table1[[#This Row],[CurrentStock]]&lt;Table1[[#This Row],[ReorderLevel]]</f>
        <v>0</v>
      </c>
      <c r="L2874" s="9">
        <f>Table1[[#This Row],[CurrentStock]]*Table1[[#This Row],[UnitPrice]]</f>
        <v>20014.32</v>
      </c>
      <c r="M2874" t="str">
        <f>IF(Table1[[#This Row],[ReorderLevel]]-Table1[[#This Row],[CurrentStock]]&gt;0,Table1[[#This Row],[ReorderLevel]]-Table1[[#This Row],[CurrentStock]],"")</f>
        <v/>
      </c>
      <c r="N2874" t="str">
        <f>IF(Table1[[#This Row],[CurrentStock]]&gt;Table1[[#This Row],[ReorderLevel]]*3,"Over Stock","Okay")</f>
        <v>Over Stock</v>
      </c>
      <c r="O2874" t="str">
        <f>IF(Table1[[#This Row],[CurrentStock]]&lt;Table1[[#This Row],[ReorderLevel]],"Reorder","Okay")</f>
        <v>Okay</v>
      </c>
    </row>
    <row r="2875" spans="1:15" x14ac:dyDescent="0.3">
      <c r="A2875">
        <v>45249</v>
      </c>
      <c r="B2875" t="s">
        <v>19</v>
      </c>
      <c r="C2875" t="s">
        <v>28</v>
      </c>
      <c r="D2875">
        <v>243</v>
      </c>
      <c r="E2875">
        <v>100</v>
      </c>
      <c r="F2875">
        <v>145.54</v>
      </c>
      <c r="G2875" t="s">
        <v>32</v>
      </c>
      <c r="H2875" s="1">
        <v>45640</v>
      </c>
      <c r="I2875" s="1">
        <v>45669</v>
      </c>
      <c r="J2875" t="s">
        <v>39</v>
      </c>
      <c r="K2875" t="b">
        <f>Table1[[#This Row],[CurrentStock]]&lt;Table1[[#This Row],[ReorderLevel]]</f>
        <v>0</v>
      </c>
      <c r="L2875" s="9">
        <f>Table1[[#This Row],[CurrentStock]]*Table1[[#This Row],[UnitPrice]]</f>
        <v>35366.22</v>
      </c>
      <c r="M2875" t="str">
        <f>IF(Table1[[#This Row],[ReorderLevel]]-Table1[[#This Row],[CurrentStock]]&gt;0,Table1[[#This Row],[ReorderLevel]]-Table1[[#This Row],[CurrentStock]],"")</f>
        <v/>
      </c>
      <c r="N2875" t="str">
        <f>IF(Table1[[#This Row],[CurrentStock]]&gt;Table1[[#This Row],[ReorderLevel]]*3,"Over Stock","Okay")</f>
        <v>Okay</v>
      </c>
      <c r="O2875" t="str">
        <f>IF(Table1[[#This Row],[CurrentStock]]&lt;Table1[[#This Row],[ReorderLevel]],"Reorder","Okay")</f>
        <v>Okay</v>
      </c>
    </row>
    <row r="2876" spans="1:15" x14ac:dyDescent="0.3">
      <c r="A2876">
        <v>82540</v>
      </c>
      <c r="B2876" t="s">
        <v>12</v>
      </c>
      <c r="C2876" t="s">
        <v>28</v>
      </c>
      <c r="D2876">
        <v>207</v>
      </c>
      <c r="E2876">
        <v>100</v>
      </c>
      <c r="F2876">
        <v>415.64</v>
      </c>
      <c r="G2876" t="s">
        <v>36</v>
      </c>
      <c r="H2876" s="1">
        <v>45442</v>
      </c>
      <c r="I2876" s="1">
        <v>45451</v>
      </c>
      <c r="J2876" t="s">
        <v>39</v>
      </c>
      <c r="K2876" t="b">
        <f>Table1[[#This Row],[CurrentStock]]&lt;Table1[[#This Row],[ReorderLevel]]</f>
        <v>0</v>
      </c>
      <c r="L2876" s="9">
        <f>Table1[[#This Row],[CurrentStock]]*Table1[[#This Row],[UnitPrice]]</f>
        <v>86037.48</v>
      </c>
      <c r="M2876" t="str">
        <f>IF(Table1[[#This Row],[ReorderLevel]]-Table1[[#This Row],[CurrentStock]]&gt;0,Table1[[#This Row],[ReorderLevel]]-Table1[[#This Row],[CurrentStock]],"")</f>
        <v/>
      </c>
      <c r="N2876" t="str">
        <f>IF(Table1[[#This Row],[CurrentStock]]&gt;Table1[[#This Row],[ReorderLevel]]*3,"Over Stock","Okay")</f>
        <v>Okay</v>
      </c>
      <c r="O2876" t="str">
        <f>IF(Table1[[#This Row],[CurrentStock]]&lt;Table1[[#This Row],[ReorderLevel]],"Reorder","Okay")</f>
        <v>Okay</v>
      </c>
    </row>
    <row r="2877" spans="1:15" x14ac:dyDescent="0.3">
      <c r="A2877">
        <v>80148</v>
      </c>
      <c r="B2877" t="s">
        <v>15</v>
      </c>
      <c r="C2877" t="s">
        <v>29</v>
      </c>
      <c r="D2877">
        <v>342</v>
      </c>
      <c r="E2877">
        <v>100</v>
      </c>
      <c r="F2877">
        <v>139.53</v>
      </c>
      <c r="G2877" t="s">
        <v>35</v>
      </c>
      <c r="H2877" s="1">
        <v>45373</v>
      </c>
      <c r="I2877" s="1">
        <v>45407</v>
      </c>
      <c r="J2877" t="s">
        <v>38</v>
      </c>
      <c r="K2877" t="b">
        <f>Table1[[#This Row],[CurrentStock]]&lt;Table1[[#This Row],[ReorderLevel]]</f>
        <v>0</v>
      </c>
      <c r="L2877" s="9">
        <f>Table1[[#This Row],[CurrentStock]]*Table1[[#This Row],[UnitPrice]]</f>
        <v>47719.26</v>
      </c>
      <c r="M2877" t="str">
        <f>IF(Table1[[#This Row],[ReorderLevel]]-Table1[[#This Row],[CurrentStock]]&gt;0,Table1[[#This Row],[ReorderLevel]]-Table1[[#This Row],[CurrentStock]],"")</f>
        <v/>
      </c>
      <c r="N2877" t="str">
        <f>IF(Table1[[#This Row],[CurrentStock]]&gt;Table1[[#This Row],[ReorderLevel]]*3,"Over Stock","Okay")</f>
        <v>Over Stock</v>
      </c>
      <c r="O2877" t="str">
        <f>IF(Table1[[#This Row],[CurrentStock]]&lt;Table1[[#This Row],[ReorderLevel]],"Reorder","Okay")</f>
        <v>Okay</v>
      </c>
    </row>
    <row r="2878" spans="1:15" x14ac:dyDescent="0.3">
      <c r="A2878">
        <v>63815</v>
      </c>
      <c r="B2878" t="s">
        <v>12</v>
      </c>
      <c r="C2878" t="s">
        <v>28</v>
      </c>
      <c r="D2878">
        <v>296</v>
      </c>
      <c r="E2878">
        <v>50</v>
      </c>
      <c r="F2878">
        <v>398.47</v>
      </c>
      <c r="G2878" t="s">
        <v>33</v>
      </c>
      <c r="H2878" s="1">
        <v>45580</v>
      </c>
      <c r="I2878" s="1">
        <v>45611</v>
      </c>
      <c r="J2878" t="s">
        <v>39</v>
      </c>
      <c r="K2878" t="b">
        <f>Table1[[#This Row],[CurrentStock]]&lt;Table1[[#This Row],[ReorderLevel]]</f>
        <v>0</v>
      </c>
      <c r="L2878" s="9">
        <f>Table1[[#This Row],[CurrentStock]]*Table1[[#This Row],[UnitPrice]]</f>
        <v>117947.12000000001</v>
      </c>
      <c r="M2878" t="str">
        <f>IF(Table1[[#This Row],[ReorderLevel]]-Table1[[#This Row],[CurrentStock]]&gt;0,Table1[[#This Row],[ReorderLevel]]-Table1[[#This Row],[CurrentStock]],"")</f>
        <v/>
      </c>
      <c r="N2878" t="str">
        <f>IF(Table1[[#This Row],[CurrentStock]]&gt;Table1[[#This Row],[ReorderLevel]]*3,"Over Stock","Okay")</f>
        <v>Over Stock</v>
      </c>
      <c r="O2878" t="str">
        <f>IF(Table1[[#This Row],[CurrentStock]]&lt;Table1[[#This Row],[ReorderLevel]],"Reorder","Okay")</f>
        <v>Okay</v>
      </c>
    </row>
    <row r="2879" spans="1:15" x14ac:dyDescent="0.3">
      <c r="A2879">
        <v>68451</v>
      </c>
      <c r="B2879" t="s">
        <v>18</v>
      </c>
      <c r="C2879" t="s">
        <v>28</v>
      </c>
      <c r="D2879">
        <v>376</v>
      </c>
      <c r="E2879">
        <v>80</v>
      </c>
      <c r="F2879">
        <v>161.69</v>
      </c>
      <c r="G2879" t="s">
        <v>34</v>
      </c>
      <c r="H2879" s="1">
        <v>45394</v>
      </c>
      <c r="I2879" s="1">
        <v>45419</v>
      </c>
      <c r="J2879" t="s">
        <v>39</v>
      </c>
      <c r="K2879" t="b">
        <f>Table1[[#This Row],[CurrentStock]]&lt;Table1[[#This Row],[ReorderLevel]]</f>
        <v>0</v>
      </c>
      <c r="L2879" s="9">
        <f>Table1[[#This Row],[CurrentStock]]*Table1[[#This Row],[UnitPrice]]</f>
        <v>60795.44</v>
      </c>
      <c r="M2879" t="str">
        <f>IF(Table1[[#This Row],[ReorderLevel]]-Table1[[#This Row],[CurrentStock]]&gt;0,Table1[[#This Row],[ReorderLevel]]-Table1[[#This Row],[CurrentStock]],"")</f>
        <v/>
      </c>
      <c r="N2879" t="str">
        <f>IF(Table1[[#This Row],[CurrentStock]]&gt;Table1[[#This Row],[ReorderLevel]]*3,"Over Stock","Okay")</f>
        <v>Over Stock</v>
      </c>
      <c r="O2879" t="str">
        <f>IF(Table1[[#This Row],[CurrentStock]]&lt;Table1[[#This Row],[ReorderLevel]],"Reorder","Okay")</f>
        <v>Okay</v>
      </c>
    </row>
    <row r="2880" spans="1:15" x14ac:dyDescent="0.3">
      <c r="A2880">
        <v>72270</v>
      </c>
      <c r="B2880" t="s">
        <v>12</v>
      </c>
      <c r="C2880" t="s">
        <v>28</v>
      </c>
      <c r="D2880">
        <v>141</v>
      </c>
      <c r="E2880">
        <v>30</v>
      </c>
      <c r="F2880">
        <v>455.23</v>
      </c>
      <c r="G2880" t="s">
        <v>32</v>
      </c>
      <c r="H2880" s="1">
        <v>45426</v>
      </c>
      <c r="I2880" s="1">
        <v>45442</v>
      </c>
      <c r="J2880" t="s">
        <v>37</v>
      </c>
      <c r="K2880" t="b">
        <f>Table1[[#This Row],[CurrentStock]]&lt;Table1[[#This Row],[ReorderLevel]]</f>
        <v>0</v>
      </c>
      <c r="L2880" s="9">
        <f>Table1[[#This Row],[CurrentStock]]*Table1[[#This Row],[UnitPrice]]</f>
        <v>64187.43</v>
      </c>
      <c r="M2880" t="str">
        <f>IF(Table1[[#This Row],[ReorderLevel]]-Table1[[#This Row],[CurrentStock]]&gt;0,Table1[[#This Row],[ReorderLevel]]-Table1[[#This Row],[CurrentStock]],"")</f>
        <v/>
      </c>
      <c r="N2880" t="str">
        <f>IF(Table1[[#This Row],[CurrentStock]]&gt;Table1[[#This Row],[ReorderLevel]]*3,"Over Stock","Okay")</f>
        <v>Over Stock</v>
      </c>
      <c r="O2880" t="str">
        <f>IF(Table1[[#This Row],[CurrentStock]]&lt;Table1[[#This Row],[ReorderLevel]],"Reorder","Okay")</f>
        <v>Okay</v>
      </c>
    </row>
    <row r="2881" spans="1:15" x14ac:dyDescent="0.3">
      <c r="A2881">
        <v>23490</v>
      </c>
      <c r="B2881" t="s">
        <v>20</v>
      </c>
      <c r="C2881" t="s">
        <v>29</v>
      </c>
      <c r="D2881">
        <v>41</v>
      </c>
      <c r="E2881">
        <v>100</v>
      </c>
      <c r="F2881">
        <v>212.71</v>
      </c>
      <c r="G2881" t="s">
        <v>36</v>
      </c>
      <c r="H2881" s="1">
        <v>45417</v>
      </c>
      <c r="I2881" s="1">
        <v>45449</v>
      </c>
      <c r="J2881" t="s">
        <v>39</v>
      </c>
      <c r="K2881" t="b">
        <f>Table1[[#This Row],[CurrentStock]]&lt;Table1[[#This Row],[ReorderLevel]]</f>
        <v>1</v>
      </c>
      <c r="L2881" s="9">
        <f>Table1[[#This Row],[CurrentStock]]*Table1[[#This Row],[UnitPrice]]</f>
        <v>8721.11</v>
      </c>
      <c r="M2881">
        <f>IF(Table1[[#This Row],[ReorderLevel]]-Table1[[#This Row],[CurrentStock]]&gt;0,Table1[[#This Row],[ReorderLevel]]-Table1[[#This Row],[CurrentStock]],"")</f>
        <v>59</v>
      </c>
      <c r="N2881" t="str">
        <f>IF(Table1[[#This Row],[CurrentStock]]&gt;Table1[[#This Row],[ReorderLevel]]*3,"Over Stock","Okay")</f>
        <v>Okay</v>
      </c>
      <c r="O2881" t="str">
        <f>IF(Table1[[#This Row],[CurrentStock]]&lt;Table1[[#This Row],[ReorderLevel]],"Reorder","Okay")</f>
        <v>Reorder</v>
      </c>
    </row>
    <row r="2882" spans="1:15" x14ac:dyDescent="0.3">
      <c r="A2882">
        <v>45228</v>
      </c>
      <c r="B2882" t="s">
        <v>26</v>
      </c>
      <c r="C2882" t="s">
        <v>30</v>
      </c>
      <c r="D2882">
        <v>100</v>
      </c>
      <c r="E2882">
        <v>20</v>
      </c>
      <c r="F2882">
        <v>403.74</v>
      </c>
      <c r="G2882" t="s">
        <v>34</v>
      </c>
      <c r="H2882" s="1">
        <v>45588</v>
      </c>
      <c r="I2882" s="1">
        <v>45601</v>
      </c>
      <c r="J2882" t="s">
        <v>39</v>
      </c>
      <c r="K2882" t="b">
        <f>Table1[[#This Row],[CurrentStock]]&lt;Table1[[#This Row],[ReorderLevel]]</f>
        <v>0</v>
      </c>
      <c r="L2882" s="9">
        <f>Table1[[#This Row],[CurrentStock]]*Table1[[#This Row],[UnitPrice]]</f>
        <v>40374</v>
      </c>
      <c r="M2882" t="str">
        <f>IF(Table1[[#This Row],[ReorderLevel]]-Table1[[#This Row],[CurrentStock]]&gt;0,Table1[[#This Row],[ReorderLevel]]-Table1[[#This Row],[CurrentStock]],"")</f>
        <v/>
      </c>
      <c r="N2882" t="str">
        <f>IF(Table1[[#This Row],[CurrentStock]]&gt;Table1[[#This Row],[ReorderLevel]]*3,"Over Stock","Okay")</f>
        <v>Over Stock</v>
      </c>
      <c r="O2882" t="str">
        <f>IF(Table1[[#This Row],[CurrentStock]]&lt;Table1[[#This Row],[ReorderLevel]],"Reorder","Okay")</f>
        <v>Okay</v>
      </c>
    </row>
    <row r="2883" spans="1:15" x14ac:dyDescent="0.3">
      <c r="A2883">
        <v>89459</v>
      </c>
      <c r="B2883" t="s">
        <v>24</v>
      </c>
      <c r="C2883" t="s">
        <v>31</v>
      </c>
      <c r="D2883">
        <v>432</v>
      </c>
      <c r="E2883">
        <v>30</v>
      </c>
      <c r="F2883">
        <v>350.41</v>
      </c>
      <c r="G2883" t="s">
        <v>36</v>
      </c>
      <c r="H2883" s="1">
        <v>45580</v>
      </c>
      <c r="I2883" s="1">
        <v>45618</v>
      </c>
      <c r="J2883" t="s">
        <v>37</v>
      </c>
      <c r="K2883" t="b">
        <f>Table1[[#This Row],[CurrentStock]]&lt;Table1[[#This Row],[ReorderLevel]]</f>
        <v>0</v>
      </c>
      <c r="L2883" s="9">
        <f>Table1[[#This Row],[CurrentStock]]*Table1[[#This Row],[UnitPrice]]</f>
        <v>151377.12000000002</v>
      </c>
      <c r="M2883" t="str">
        <f>IF(Table1[[#This Row],[ReorderLevel]]-Table1[[#This Row],[CurrentStock]]&gt;0,Table1[[#This Row],[ReorderLevel]]-Table1[[#This Row],[CurrentStock]],"")</f>
        <v/>
      </c>
      <c r="N2883" t="str">
        <f>IF(Table1[[#This Row],[CurrentStock]]&gt;Table1[[#This Row],[ReorderLevel]]*3,"Over Stock","Okay")</f>
        <v>Over Stock</v>
      </c>
      <c r="O2883" t="str">
        <f>IF(Table1[[#This Row],[CurrentStock]]&lt;Table1[[#This Row],[ReorderLevel]],"Reorder","Okay")</f>
        <v>Okay</v>
      </c>
    </row>
    <row r="2884" spans="1:15" x14ac:dyDescent="0.3">
      <c r="A2884">
        <v>89369</v>
      </c>
      <c r="B2884" t="s">
        <v>24</v>
      </c>
      <c r="C2884" t="s">
        <v>31</v>
      </c>
      <c r="D2884">
        <v>123</v>
      </c>
      <c r="E2884">
        <v>40</v>
      </c>
      <c r="F2884">
        <v>298.02999999999997</v>
      </c>
      <c r="G2884" t="s">
        <v>34</v>
      </c>
      <c r="H2884" s="1">
        <v>45330</v>
      </c>
      <c r="I2884" s="1">
        <v>45364</v>
      </c>
      <c r="J2884" t="s">
        <v>39</v>
      </c>
      <c r="K2884" t="b">
        <f>Table1[[#This Row],[CurrentStock]]&lt;Table1[[#This Row],[ReorderLevel]]</f>
        <v>0</v>
      </c>
      <c r="L2884" s="9">
        <f>Table1[[#This Row],[CurrentStock]]*Table1[[#This Row],[UnitPrice]]</f>
        <v>36657.689999999995</v>
      </c>
      <c r="M2884" t="str">
        <f>IF(Table1[[#This Row],[ReorderLevel]]-Table1[[#This Row],[CurrentStock]]&gt;0,Table1[[#This Row],[ReorderLevel]]-Table1[[#This Row],[CurrentStock]],"")</f>
        <v/>
      </c>
      <c r="N2884" t="str">
        <f>IF(Table1[[#This Row],[CurrentStock]]&gt;Table1[[#This Row],[ReorderLevel]]*3,"Over Stock","Okay")</f>
        <v>Over Stock</v>
      </c>
      <c r="O2884" t="str">
        <f>IF(Table1[[#This Row],[CurrentStock]]&lt;Table1[[#This Row],[ReorderLevel]],"Reorder","Okay")</f>
        <v>Okay</v>
      </c>
    </row>
    <row r="2885" spans="1:15" x14ac:dyDescent="0.3">
      <c r="A2885">
        <v>55580</v>
      </c>
      <c r="B2885" t="s">
        <v>26</v>
      </c>
      <c r="C2885" t="s">
        <v>30</v>
      </c>
      <c r="D2885">
        <v>490</v>
      </c>
      <c r="E2885">
        <v>40</v>
      </c>
      <c r="F2885">
        <v>473.81</v>
      </c>
      <c r="G2885" t="s">
        <v>36</v>
      </c>
      <c r="H2885" s="1">
        <v>45427</v>
      </c>
      <c r="I2885" s="1">
        <v>45438</v>
      </c>
      <c r="J2885" t="s">
        <v>38</v>
      </c>
      <c r="K2885" t="b">
        <f>Table1[[#This Row],[CurrentStock]]&lt;Table1[[#This Row],[ReorderLevel]]</f>
        <v>0</v>
      </c>
      <c r="L2885" s="9">
        <f>Table1[[#This Row],[CurrentStock]]*Table1[[#This Row],[UnitPrice]]</f>
        <v>232166.9</v>
      </c>
      <c r="M2885" t="str">
        <f>IF(Table1[[#This Row],[ReorderLevel]]-Table1[[#This Row],[CurrentStock]]&gt;0,Table1[[#This Row],[ReorderLevel]]-Table1[[#This Row],[CurrentStock]],"")</f>
        <v/>
      </c>
      <c r="N2885" t="str">
        <f>IF(Table1[[#This Row],[CurrentStock]]&gt;Table1[[#This Row],[ReorderLevel]]*3,"Over Stock","Okay")</f>
        <v>Over Stock</v>
      </c>
      <c r="O2885" t="str">
        <f>IF(Table1[[#This Row],[CurrentStock]]&lt;Table1[[#This Row],[ReorderLevel]],"Reorder","Okay")</f>
        <v>Okay</v>
      </c>
    </row>
    <row r="2886" spans="1:15" x14ac:dyDescent="0.3">
      <c r="A2886">
        <v>78140</v>
      </c>
      <c r="B2886" t="s">
        <v>24</v>
      </c>
      <c r="C2886" t="s">
        <v>31</v>
      </c>
      <c r="D2886">
        <v>129</v>
      </c>
      <c r="E2886">
        <v>100</v>
      </c>
      <c r="F2886">
        <v>84.06</v>
      </c>
      <c r="G2886" t="s">
        <v>34</v>
      </c>
      <c r="H2886" s="1">
        <v>45351</v>
      </c>
      <c r="I2886" s="1">
        <v>45361</v>
      </c>
      <c r="J2886" t="s">
        <v>37</v>
      </c>
      <c r="K2886" t="b">
        <f>Table1[[#This Row],[CurrentStock]]&lt;Table1[[#This Row],[ReorderLevel]]</f>
        <v>0</v>
      </c>
      <c r="L2886" s="9">
        <f>Table1[[#This Row],[CurrentStock]]*Table1[[#This Row],[UnitPrice]]</f>
        <v>10843.74</v>
      </c>
      <c r="M2886" t="str">
        <f>IF(Table1[[#This Row],[ReorderLevel]]-Table1[[#This Row],[CurrentStock]]&gt;0,Table1[[#This Row],[ReorderLevel]]-Table1[[#This Row],[CurrentStock]],"")</f>
        <v/>
      </c>
      <c r="N2886" t="str">
        <f>IF(Table1[[#This Row],[CurrentStock]]&gt;Table1[[#This Row],[ReorderLevel]]*3,"Over Stock","Okay")</f>
        <v>Okay</v>
      </c>
      <c r="O2886" t="str">
        <f>IF(Table1[[#This Row],[CurrentStock]]&lt;Table1[[#This Row],[ReorderLevel]],"Reorder","Okay")</f>
        <v>Okay</v>
      </c>
    </row>
    <row r="2887" spans="1:15" x14ac:dyDescent="0.3">
      <c r="A2887">
        <v>37467</v>
      </c>
      <c r="B2887" t="s">
        <v>23</v>
      </c>
      <c r="C2887" t="s">
        <v>30</v>
      </c>
      <c r="D2887">
        <v>443</v>
      </c>
      <c r="E2887">
        <v>100</v>
      </c>
      <c r="F2887">
        <v>264.48</v>
      </c>
      <c r="G2887" t="s">
        <v>35</v>
      </c>
      <c r="H2887" s="1">
        <v>45518</v>
      </c>
      <c r="I2887" s="1">
        <v>45545</v>
      </c>
      <c r="J2887" t="s">
        <v>37</v>
      </c>
      <c r="K2887" t="b">
        <f>Table1[[#This Row],[CurrentStock]]&lt;Table1[[#This Row],[ReorderLevel]]</f>
        <v>0</v>
      </c>
      <c r="L2887" s="9">
        <f>Table1[[#This Row],[CurrentStock]]*Table1[[#This Row],[UnitPrice]]</f>
        <v>117164.64000000001</v>
      </c>
      <c r="M2887" t="str">
        <f>IF(Table1[[#This Row],[ReorderLevel]]-Table1[[#This Row],[CurrentStock]]&gt;0,Table1[[#This Row],[ReorderLevel]]-Table1[[#This Row],[CurrentStock]],"")</f>
        <v/>
      </c>
      <c r="N2887" t="str">
        <f>IF(Table1[[#This Row],[CurrentStock]]&gt;Table1[[#This Row],[ReorderLevel]]*3,"Over Stock","Okay")</f>
        <v>Over Stock</v>
      </c>
      <c r="O2887" t="str">
        <f>IF(Table1[[#This Row],[CurrentStock]]&lt;Table1[[#This Row],[ReorderLevel]],"Reorder","Okay")</f>
        <v>Okay</v>
      </c>
    </row>
    <row r="2888" spans="1:15" x14ac:dyDescent="0.3">
      <c r="A2888">
        <v>46036</v>
      </c>
      <c r="B2888" t="s">
        <v>15</v>
      </c>
      <c r="C2888" t="s">
        <v>29</v>
      </c>
      <c r="D2888">
        <v>148</v>
      </c>
      <c r="E2888">
        <v>150</v>
      </c>
      <c r="F2888">
        <v>132.62</v>
      </c>
      <c r="G2888" t="s">
        <v>32</v>
      </c>
      <c r="H2888" s="1">
        <v>45424</v>
      </c>
      <c r="I2888" s="1">
        <v>45443</v>
      </c>
      <c r="J2888" t="s">
        <v>37</v>
      </c>
      <c r="K2888" t="b">
        <f>Table1[[#This Row],[CurrentStock]]&lt;Table1[[#This Row],[ReorderLevel]]</f>
        <v>1</v>
      </c>
      <c r="L2888" s="9">
        <f>Table1[[#This Row],[CurrentStock]]*Table1[[#This Row],[UnitPrice]]</f>
        <v>19627.760000000002</v>
      </c>
      <c r="M2888">
        <f>IF(Table1[[#This Row],[ReorderLevel]]-Table1[[#This Row],[CurrentStock]]&gt;0,Table1[[#This Row],[ReorderLevel]]-Table1[[#This Row],[CurrentStock]],"")</f>
        <v>2</v>
      </c>
      <c r="N2888" t="str">
        <f>IF(Table1[[#This Row],[CurrentStock]]&gt;Table1[[#This Row],[ReorderLevel]]*3,"Over Stock","Okay")</f>
        <v>Okay</v>
      </c>
      <c r="O2888" t="str">
        <f>IF(Table1[[#This Row],[CurrentStock]]&lt;Table1[[#This Row],[ReorderLevel]],"Reorder","Okay")</f>
        <v>Reorder</v>
      </c>
    </row>
    <row r="2889" spans="1:15" x14ac:dyDescent="0.3">
      <c r="A2889">
        <v>69807</v>
      </c>
      <c r="B2889" t="s">
        <v>14</v>
      </c>
      <c r="C2889" t="s">
        <v>27</v>
      </c>
      <c r="D2889">
        <v>375</v>
      </c>
      <c r="E2889">
        <v>20</v>
      </c>
      <c r="F2889">
        <v>105.83</v>
      </c>
      <c r="G2889" t="s">
        <v>35</v>
      </c>
      <c r="H2889" s="1">
        <v>45633</v>
      </c>
      <c r="I2889" s="1">
        <v>45668</v>
      </c>
      <c r="J2889" t="s">
        <v>39</v>
      </c>
      <c r="K2889" t="b">
        <f>Table1[[#This Row],[CurrentStock]]&lt;Table1[[#This Row],[ReorderLevel]]</f>
        <v>0</v>
      </c>
      <c r="L2889" s="9">
        <f>Table1[[#This Row],[CurrentStock]]*Table1[[#This Row],[UnitPrice]]</f>
        <v>39686.25</v>
      </c>
      <c r="M2889" t="str">
        <f>IF(Table1[[#This Row],[ReorderLevel]]-Table1[[#This Row],[CurrentStock]]&gt;0,Table1[[#This Row],[ReorderLevel]]-Table1[[#This Row],[CurrentStock]],"")</f>
        <v/>
      </c>
      <c r="N2889" t="str">
        <f>IF(Table1[[#This Row],[CurrentStock]]&gt;Table1[[#This Row],[ReorderLevel]]*3,"Over Stock","Okay")</f>
        <v>Over Stock</v>
      </c>
      <c r="O2889" t="str">
        <f>IF(Table1[[#This Row],[CurrentStock]]&lt;Table1[[#This Row],[ReorderLevel]],"Reorder","Okay")</f>
        <v>Okay</v>
      </c>
    </row>
    <row r="2890" spans="1:15" x14ac:dyDescent="0.3">
      <c r="A2890">
        <v>97782</v>
      </c>
      <c r="B2890" t="s">
        <v>20</v>
      </c>
      <c r="C2890" t="s">
        <v>29</v>
      </c>
      <c r="D2890">
        <v>494</v>
      </c>
      <c r="E2890">
        <v>40</v>
      </c>
      <c r="F2890">
        <v>435.42</v>
      </c>
      <c r="G2890" t="s">
        <v>35</v>
      </c>
      <c r="H2890" s="1">
        <v>45589</v>
      </c>
      <c r="I2890" s="1">
        <v>45600</v>
      </c>
      <c r="J2890" t="s">
        <v>39</v>
      </c>
      <c r="K2890" t="b">
        <f>Table1[[#This Row],[CurrentStock]]&lt;Table1[[#This Row],[ReorderLevel]]</f>
        <v>0</v>
      </c>
      <c r="L2890" s="9">
        <f>Table1[[#This Row],[CurrentStock]]*Table1[[#This Row],[UnitPrice]]</f>
        <v>215097.48</v>
      </c>
      <c r="M2890" t="str">
        <f>IF(Table1[[#This Row],[ReorderLevel]]-Table1[[#This Row],[CurrentStock]]&gt;0,Table1[[#This Row],[ReorderLevel]]-Table1[[#This Row],[CurrentStock]],"")</f>
        <v/>
      </c>
      <c r="N2890" t="str">
        <f>IF(Table1[[#This Row],[CurrentStock]]&gt;Table1[[#This Row],[ReorderLevel]]*3,"Over Stock","Okay")</f>
        <v>Over Stock</v>
      </c>
      <c r="O2890" t="str">
        <f>IF(Table1[[#This Row],[CurrentStock]]&lt;Table1[[#This Row],[ReorderLevel]],"Reorder","Okay")</f>
        <v>Okay</v>
      </c>
    </row>
    <row r="2891" spans="1:15" x14ac:dyDescent="0.3">
      <c r="A2891">
        <v>99898</v>
      </c>
      <c r="B2891" t="s">
        <v>20</v>
      </c>
      <c r="C2891" t="s">
        <v>29</v>
      </c>
      <c r="D2891">
        <v>174</v>
      </c>
      <c r="E2891">
        <v>100</v>
      </c>
      <c r="F2891">
        <v>281.14999999999998</v>
      </c>
      <c r="G2891" t="s">
        <v>34</v>
      </c>
      <c r="H2891" s="1">
        <v>45351</v>
      </c>
      <c r="I2891" s="1">
        <v>45363</v>
      </c>
      <c r="J2891" t="s">
        <v>38</v>
      </c>
      <c r="K2891" t="b">
        <f>Table1[[#This Row],[CurrentStock]]&lt;Table1[[#This Row],[ReorderLevel]]</f>
        <v>0</v>
      </c>
      <c r="L2891" s="9">
        <f>Table1[[#This Row],[CurrentStock]]*Table1[[#This Row],[UnitPrice]]</f>
        <v>48920.1</v>
      </c>
      <c r="M2891" t="str">
        <f>IF(Table1[[#This Row],[ReorderLevel]]-Table1[[#This Row],[CurrentStock]]&gt;0,Table1[[#This Row],[ReorderLevel]]-Table1[[#This Row],[CurrentStock]],"")</f>
        <v/>
      </c>
      <c r="N2891" t="str">
        <f>IF(Table1[[#This Row],[CurrentStock]]&gt;Table1[[#This Row],[ReorderLevel]]*3,"Over Stock","Okay")</f>
        <v>Okay</v>
      </c>
      <c r="O2891" t="str">
        <f>IF(Table1[[#This Row],[CurrentStock]]&lt;Table1[[#This Row],[ReorderLevel]],"Reorder","Okay")</f>
        <v>Okay</v>
      </c>
    </row>
    <row r="2892" spans="1:15" x14ac:dyDescent="0.3">
      <c r="A2892">
        <v>62073</v>
      </c>
      <c r="B2892" t="s">
        <v>16</v>
      </c>
      <c r="C2892" t="s">
        <v>30</v>
      </c>
      <c r="D2892">
        <v>239</v>
      </c>
      <c r="E2892">
        <v>20</v>
      </c>
      <c r="F2892">
        <v>237.85</v>
      </c>
      <c r="G2892" t="s">
        <v>35</v>
      </c>
      <c r="H2892" s="1">
        <v>45432</v>
      </c>
      <c r="I2892" s="1">
        <v>45440</v>
      </c>
      <c r="J2892" t="s">
        <v>37</v>
      </c>
      <c r="K2892" t="b">
        <f>Table1[[#This Row],[CurrentStock]]&lt;Table1[[#This Row],[ReorderLevel]]</f>
        <v>0</v>
      </c>
      <c r="L2892" s="9">
        <f>Table1[[#This Row],[CurrentStock]]*Table1[[#This Row],[UnitPrice]]</f>
        <v>56846.15</v>
      </c>
      <c r="M2892" t="str">
        <f>IF(Table1[[#This Row],[ReorderLevel]]-Table1[[#This Row],[CurrentStock]]&gt;0,Table1[[#This Row],[ReorderLevel]]-Table1[[#This Row],[CurrentStock]],"")</f>
        <v/>
      </c>
      <c r="N2892" t="str">
        <f>IF(Table1[[#This Row],[CurrentStock]]&gt;Table1[[#This Row],[ReorderLevel]]*3,"Over Stock","Okay")</f>
        <v>Over Stock</v>
      </c>
      <c r="O2892" t="str">
        <f>IF(Table1[[#This Row],[CurrentStock]]&lt;Table1[[#This Row],[ReorderLevel]],"Reorder","Okay")</f>
        <v>Okay</v>
      </c>
    </row>
    <row r="2893" spans="1:15" x14ac:dyDescent="0.3">
      <c r="A2893">
        <v>90468</v>
      </c>
      <c r="B2893" t="s">
        <v>11</v>
      </c>
      <c r="C2893" t="s">
        <v>27</v>
      </c>
      <c r="D2893">
        <v>316</v>
      </c>
      <c r="E2893">
        <v>20</v>
      </c>
      <c r="F2893">
        <v>161.34</v>
      </c>
      <c r="G2893" t="s">
        <v>33</v>
      </c>
      <c r="H2893" s="1">
        <v>45636</v>
      </c>
      <c r="I2893" s="1">
        <v>45645</v>
      </c>
      <c r="J2893" t="s">
        <v>37</v>
      </c>
      <c r="K2893" t="b">
        <f>Table1[[#This Row],[CurrentStock]]&lt;Table1[[#This Row],[ReorderLevel]]</f>
        <v>0</v>
      </c>
      <c r="L2893" s="9">
        <f>Table1[[#This Row],[CurrentStock]]*Table1[[#This Row],[UnitPrice]]</f>
        <v>50983.44</v>
      </c>
      <c r="M2893" t="str">
        <f>IF(Table1[[#This Row],[ReorderLevel]]-Table1[[#This Row],[CurrentStock]]&gt;0,Table1[[#This Row],[ReorderLevel]]-Table1[[#This Row],[CurrentStock]],"")</f>
        <v/>
      </c>
      <c r="N2893" t="str">
        <f>IF(Table1[[#This Row],[CurrentStock]]&gt;Table1[[#This Row],[ReorderLevel]]*3,"Over Stock","Okay")</f>
        <v>Over Stock</v>
      </c>
      <c r="O2893" t="str">
        <f>IF(Table1[[#This Row],[CurrentStock]]&lt;Table1[[#This Row],[ReorderLevel]],"Reorder","Okay")</f>
        <v>Okay</v>
      </c>
    </row>
    <row r="2894" spans="1:15" x14ac:dyDescent="0.3">
      <c r="A2894">
        <v>56760</v>
      </c>
      <c r="B2894" t="s">
        <v>14</v>
      </c>
      <c r="C2894" t="s">
        <v>27</v>
      </c>
      <c r="D2894">
        <v>249</v>
      </c>
      <c r="E2894">
        <v>80</v>
      </c>
      <c r="F2894">
        <v>126.48</v>
      </c>
      <c r="G2894" t="s">
        <v>36</v>
      </c>
      <c r="H2894" s="1">
        <v>45592</v>
      </c>
      <c r="I2894" s="1">
        <v>45613</v>
      </c>
      <c r="J2894" t="s">
        <v>37</v>
      </c>
      <c r="K2894" t="b">
        <f>Table1[[#This Row],[CurrentStock]]&lt;Table1[[#This Row],[ReorderLevel]]</f>
        <v>0</v>
      </c>
      <c r="L2894" s="9">
        <f>Table1[[#This Row],[CurrentStock]]*Table1[[#This Row],[UnitPrice]]</f>
        <v>31493.52</v>
      </c>
      <c r="M2894" t="str">
        <f>IF(Table1[[#This Row],[ReorderLevel]]-Table1[[#This Row],[CurrentStock]]&gt;0,Table1[[#This Row],[ReorderLevel]]-Table1[[#This Row],[CurrentStock]],"")</f>
        <v/>
      </c>
      <c r="N2894" t="str">
        <f>IF(Table1[[#This Row],[CurrentStock]]&gt;Table1[[#This Row],[ReorderLevel]]*3,"Over Stock","Okay")</f>
        <v>Over Stock</v>
      </c>
      <c r="O2894" t="str">
        <f>IF(Table1[[#This Row],[CurrentStock]]&lt;Table1[[#This Row],[ReorderLevel]],"Reorder","Okay")</f>
        <v>Okay</v>
      </c>
    </row>
    <row r="2895" spans="1:15" x14ac:dyDescent="0.3">
      <c r="A2895">
        <v>34610</v>
      </c>
      <c r="B2895" t="s">
        <v>15</v>
      </c>
      <c r="C2895" t="s">
        <v>29</v>
      </c>
      <c r="D2895">
        <v>100</v>
      </c>
      <c r="E2895">
        <v>150</v>
      </c>
      <c r="F2895">
        <v>156.19</v>
      </c>
      <c r="G2895" t="s">
        <v>36</v>
      </c>
      <c r="H2895" s="1">
        <v>45620</v>
      </c>
      <c r="I2895" s="1">
        <v>45635</v>
      </c>
      <c r="J2895" t="s">
        <v>37</v>
      </c>
      <c r="K2895" t="b">
        <f>Table1[[#This Row],[CurrentStock]]&lt;Table1[[#This Row],[ReorderLevel]]</f>
        <v>1</v>
      </c>
      <c r="L2895" s="9">
        <f>Table1[[#This Row],[CurrentStock]]*Table1[[#This Row],[UnitPrice]]</f>
        <v>15619</v>
      </c>
      <c r="M2895">
        <f>IF(Table1[[#This Row],[ReorderLevel]]-Table1[[#This Row],[CurrentStock]]&gt;0,Table1[[#This Row],[ReorderLevel]]-Table1[[#This Row],[CurrentStock]],"")</f>
        <v>50</v>
      </c>
      <c r="N2895" t="str">
        <f>IF(Table1[[#This Row],[CurrentStock]]&gt;Table1[[#This Row],[ReorderLevel]]*3,"Over Stock","Okay")</f>
        <v>Okay</v>
      </c>
      <c r="O2895" t="str">
        <f>IF(Table1[[#This Row],[CurrentStock]]&lt;Table1[[#This Row],[ReorderLevel]],"Reorder","Okay")</f>
        <v>Reorder</v>
      </c>
    </row>
    <row r="2896" spans="1:15" x14ac:dyDescent="0.3">
      <c r="A2896">
        <v>35380</v>
      </c>
      <c r="B2896" t="s">
        <v>11</v>
      </c>
      <c r="C2896" t="s">
        <v>27</v>
      </c>
      <c r="D2896">
        <v>206</v>
      </c>
      <c r="E2896">
        <v>80</v>
      </c>
      <c r="F2896">
        <v>39.47</v>
      </c>
      <c r="G2896" t="s">
        <v>34</v>
      </c>
      <c r="H2896" s="1">
        <v>45597</v>
      </c>
      <c r="I2896" s="1">
        <v>45625</v>
      </c>
      <c r="J2896" t="s">
        <v>38</v>
      </c>
      <c r="K2896" t="b">
        <f>Table1[[#This Row],[CurrentStock]]&lt;Table1[[#This Row],[ReorderLevel]]</f>
        <v>0</v>
      </c>
      <c r="L2896" s="9">
        <f>Table1[[#This Row],[CurrentStock]]*Table1[[#This Row],[UnitPrice]]</f>
        <v>8130.82</v>
      </c>
      <c r="M2896" t="str">
        <f>IF(Table1[[#This Row],[ReorderLevel]]-Table1[[#This Row],[CurrentStock]]&gt;0,Table1[[#This Row],[ReorderLevel]]-Table1[[#This Row],[CurrentStock]],"")</f>
        <v/>
      </c>
      <c r="N2896" t="str">
        <f>IF(Table1[[#This Row],[CurrentStock]]&gt;Table1[[#This Row],[ReorderLevel]]*3,"Over Stock","Okay")</f>
        <v>Okay</v>
      </c>
      <c r="O2896" t="str">
        <f>IF(Table1[[#This Row],[CurrentStock]]&lt;Table1[[#This Row],[ReorderLevel]],"Reorder","Okay")</f>
        <v>Okay</v>
      </c>
    </row>
    <row r="2897" spans="1:15" x14ac:dyDescent="0.3">
      <c r="A2897">
        <v>59108</v>
      </c>
      <c r="B2897" t="s">
        <v>20</v>
      </c>
      <c r="C2897" t="s">
        <v>29</v>
      </c>
      <c r="D2897">
        <v>442</v>
      </c>
      <c r="E2897">
        <v>150</v>
      </c>
      <c r="F2897">
        <v>392.34</v>
      </c>
      <c r="G2897" t="s">
        <v>33</v>
      </c>
      <c r="H2897" s="1">
        <v>45614</v>
      </c>
      <c r="I2897" s="1">
        <v>45620</v>
      </c>
      <c r="J2897" t="s">
        <v>39</v>
      </c>
      <c r="K2897" t="b">
        <f>Table1[[#This Row],[CurrentStock]]&lt;Table1[[#This Row],[ReorderLevel]]</f>
        <v>0</v>
      </c>
      <c r="L2897" s="9">
        <f>Table1[[#This Row],[CurrentStock]]*Table1[[#This Row],[UnitPrice]]</f>
        <v>173414.28</v>
      </c>
      <c r="M2897" t="str">
        <f>IF(Table1[[#This Row],[ReorderLevel]]-Table1[[#This Row],[CurrentStock]]&gt;0,Table1[[#This Row],[ReorderLevel]]-Table1[[#This Row],[CurrentStock]],"")</f>
        <v/>
      </c>
      <c r="N2897" t="str">
        <f>IF(Table1[[#This Row],[CurrentStock]]&gt;Table1[[#This Row],[ReorderLevel]]*3,"Over Stock","Okay")</f>
        <v>Okay</v>
      </c>
      <c r="O2897" t="str">
        <f>IF(Table1[[#This Row],[CurrentStock]]&lt;Table1[[#This Row],[ReorderLevel]],"Reorder","Okay")</f>
        <v>Okay</v>
      </c>
    </row>
    <row r="2898" spans="1:15" x14ac:dyDescent="0.3">
      <c r="A2898">
        <v>70548</v>
      </c>
      <c r="B2898" t="s">
        <v>15</v>
      </c>
      <c r="C2898" t="s">
        <v>29</v>
      </c>
      <c r="D2898">
        <v>155</v>
      </c>
      <c r="E2898">
        <v>80</v>
      </c>
      <c r="F2898">
        <v>228.44</v>
      </c>
      <c r="G2898" t="s">
        <v>35</v>
      </c>
      <c r="H2898" s="1">
        <v>45575</v>
      </c>
      <c r="I2898" s="1">
        <v>45605</v>
      </c>
      <c r="J2898" t="s">
        <v>39</v>
      </c>
      <c r="K2898" t="b">
        <f>Table1[[#This Row],[CurrentStock]]&lt;Table1[[#This Row],[ReorderLevel]]</f>
        <v>0</v>
      </c>
      <c r="L2898" s="9">
        <f>Table1[[#This Row],[CurrentStock]]*Table1[[#This Row],[UnitPrice]]</f>
        <v>35408.199999999997</v>
      </c>
      <c r="M2898" t="str">
        <f>IF(Table1[[#This Row],[ReorderLevel]]-Table1[[#This Row],[CurrentStock]]&gt;0,Table1[[#This Row],[ReorderLevel]]-Table1[[#This Row],[CurrentStock]],"")</f>
        <v/>
      </c>
      <c r="N2898" t="str">
        <f>IF(Table1[[#This Row],[CurrentStock]]&gt;Table1[[#This Row],[ReorderLevel]]*3,"Over Stock","Okay")</f>
        <v>Okay</v>
      </c>
      <c r="O2898" t="str">
        <f>IF(Table1[[#This Row],[CurrentStock]]&lt;Table1[[#This Row],[ReorderLevel]],"Reorder","Okay")</f>
        <v>Okay</v>
      </c>
    </row>
    <row r="2899" spans="1:15" x14ac:dyDescent="0.3">
      <c r="A2899">
        <v>81739</v>
      </c>
      <c r="B2899" t="s">
        <v>16</v>
      </c>
      <c r="C2899" t="s">
        <v>30</v>
      </c>
      <c r="D2899">
        <v>424</v>
      </c>
      <c r="E2899">
        <v>50</v>
      </c>
      <c r="F2899">
        <v>79.569999999999993</v>
      </c>
      <c r="G2899" t="s">
        <v>35</v>
      </c>
      <c r="H2899" s="1">
        <v>45631</v>
      </c>
      <c r="I2899" s="1">
        <v>45662</v>
      </c>
      <c r="J2899" t="s">
        <v>38</v>
      </c>
      <c r="K2899" t="b">
        <f>Table1[[#This Row],[CurrentStock]]&lt;Table1[[#This Row],[ReorderLevel]]</f>
        <v>0</v>
      </c>
      <c r="L2899" s="9">
        <f>Table1[[#This Row],[CurrentStock]]*Table1[[#This Row],[UnitPrice]]</f>
        <v>33737.68</v>
      </c>
      <c r="M2899" t="str">
        <f>IF(Table1[[#This Row],[ReorderLevel]]-Table1[[#This Row],[CurrentStock]]&gt;0,Table1[[#This Row],[ReorderLevel]]-Table1[[#This Row],[CurrentStock]],"")</f>
        <v/>
      </c>
      <c r="N2899" t="str">
        <f>IF(Table1[[#This Row],[CurrentStock]]&gt;Table1[[#This Row],[ReorderLevel]]*3,"Over Stock","Okay")</f>
        <v>Over Stock</v>
      </c>
      <c r="O2899" t="str">
        <f>IF(Table1[[#This Row],[CurrentStock]]&lt;Table1[[#This Row],[ReorderLevel]],"Reorder","Okay")</f>
        <v>Okay</v>
      </c>
    </row>
    <row r="2900" spans="1:15" x14ac:dyDescent="0.3">
      <c r="A2900">
        <v>66257</v>
      </c>
      <c r="B2900" t="s">
        <v>25</v>
      </c>
      <c r="C2900" t="s">
        <v>31</v>
      </c>
      <c r="D2900">
        <v>125</v>
      </c>
      <c r="E2900">
        <v>40</v>
      </c>
      <c r="F2900">
        <v>245.7</v>
      </c>
      <c r="G2900" t="s">
        <v>32</v>
      </c>
      <c r="H2900" s="1">
        <v>45574</v>
      </c>
      <c r="I2900" s="1">
        <v>45591</v>
      </c>
      <c r="J2900" t="s">
        <v>38</v>
      </c>
      <c r="K2900" t="b">
        <f>Table1[[#This Row],[CurrentStock]]&lt;Table1[[#This Row],[ReorderLevel]]</f>
        <v>0</v>
      </c>
      <c r="L2900" s="9">
        <f>Table1[[#This Row],[CurrentStock]]*Table1[[#This Row],[UnitPrice]]</f>
        <v>30712.5</v>
      </c>
      <c r="M2900" t="str">
        <f>IF(Table1[[#This Row],[ReorderLevel]]-Table1[[#This Row],[CurrentStock]]&gt;0,Table1[[#This Row],[ReorderLevel]]-Table1[[#This Row],[CurrentStock]],"")</f>
        <v/>
      </c>
      <c r="N2900" t="str">
        <f>IF(Table1[[#This Row],[CurrentStock]]&gt;Table1[[#This Row],[ReorderLevel]]*3,"Over Stock","Okay")</f>
        <v>Over Stock</v>
      </c>
      <c r="O2900" t="str">
        <f>IF(Table1[[#This Row],[CurrentStock]]&lt;Table1[[#This Row],[ReorderLevel]],"Reorder","Okay")</f>
        <v>Okay</v>
      </c>
    </row>
    <row r="2901" spans="1:15" x14ac:dyDescent="0.3">
      <c r="A2901">
        <v>89029</v>
      </c>
      <c r="B2901" t="s">
        <v>20</v>
      </c>
      <c r="C2901" t="s">
        <v>29</v>
      </c>
      <c r="D2901">
        <v>318</v>
      </c>
      <c r="E2901">
        <v>100</v>
      </c>
      <c r="F2901">
        <v>136.78</v>
      </c>
      <c r="G2901" t="s">
        <v>34</v>
      </c>
      <c r="H2901" s="1">
        <v>45518</v>
      </c>
      <c r="I2901" s="1">
        <v>45525</v>
      </c>
      <c r="J2901" t="s">
        <v>38</v>
      </c>
      <c r="K2901" t="b">
        <f>Table1[[#This Row],[CurrentStock]]&lt;Table1[[#This Row],[ReorderLevel]]</f>
        <v>0</v>
      </c>
      <c r="L2901" s="9">
        <f>Table1[[#This Row],[CurrentStock]]*Table1[[#This Row],[UnitPrice]]</f>
        <v>43496.04</v>
      </c>
      <c r="M2901" t="str">
        <f>IF(Table1[[#This Row],[ReorderLevel]]-Table1[[#This Row],[CurrentStock]]&gt;0,Table1[[#This Row],[ReorderLevel]]-Table1[[#This Row],[CurrentStock]],"")</f>
        <v/>
      </c>
      <c r="N2901" t="str">
        <f>IF(Table1[[#This Row],[CurrentStock]]&gt;Table1[[#This Row],[ReorderLevel]]*3,"Over Stock","Okay")</f>
        <v>Over Stock</v>
      </c>
      <c r="O2901" t="str">
        <f>IF(Table1[[#This Row],[CurrentStock]]&lt;Table1[[#This Row],[ReorderLevel]],"Reorder","Okay")</f>
        <v>Okay</v>
      </c>
    </row>
    <row r="2902" spans="1:15" x14ac:dyDescent="0.3">
      <c r="A2902">
        <v>51849</v>
      </c>
      <c r="B2902" t="s">
        <v>16</v>
      </c>
      <c r="C2902" t="s">
        <v>30</v>
      </c>
      <c r="D2902">
        <v>202</v>
      </c>
      <c r="E2902">
        <v>30</v>
      </c>
      <c r="F2902">
        <v>309.56</v>
      </c>
      <c r="G2902" t="s">
        <v>32</v>
      </c>
      <c r="H2902" s="1">
        <v>45558</v>
      </c>
      <c r="I2902" s="1">
        <v>45568</v>
      </c>
      <c r="J2902" t="s">
        <v>39</v>
      </c>
      <c r="K2902" t="b">
        <f>Table1[[#This Row],[CurrentStock]]&lt;Table1[[#This Row],[ReorderLevel]]</f>
        <v>0</v>
      </c>
      <c r="L2902" s="9">
        <f>Table1[[#This Row],[CurrentStock]]*Table1[[#This Row],[UnitPrice]]</f>
        <v>62531.12</v>
      </c>
      <c r="M2902" t="str">
        <f>IF(Table1[[#This Row],[ReorderLevel]]-Table1[[#This Row],[CurrentStock]]&gt;0,Table1[[#This Row],[ReorderLevel]]-Table1[[#This Row],[CurrentStock]],"")</f>
        <v/>
      </c>
      <c r="N2902" t="str">
        <f>IF(Table1[[#This Row],[CurrentStock]]&gt;Table1[[#This Row],[ReorderLevel]]*3,"Over Stock","Okay")</f>
        <v>Over Stock</v>
      </c>
      <c r="O2902" t="str">
        <f>IF(Table1[[#This Row],[CurrentStock]]&lt;Table1[[#This Row],[ReorderLevel]],"Reorder","Okay")</f>
        <v>Okay</v>
      </c>
    </row>
    <row r="2903" spans="1:15" x14ac:dyDescent="0.3">
      <c r="A2903">
        <v>85772</v>
      </c>
      <c r="B2903" t="s">
        <v>14</v>
      </c>
      <c r="C2903" t="s">
        <v>27</v>
      </c>
      <c r="D2903">
        <v>462</v>
      </c>
      <c r="E2903">
        <v>40</v>
      </c>
      <c r="F2903">
        <v>289.54000000000002</v>
      </c>
      <c r="G2903" t="s">
        <v>35</v>
      </c>
      <c r="H2903" s="1">
        <v>45325</v>
      </c>
      <c r="I2903" s="1">
        <v>45359</v>
      </c>
      <c r="J2903" t="s">
        <v>38</v>
      </c>
      <c r="K2903" t="b">
        <f>Table1[[#This Row],[CurrentStock]]&lt;Table1[[#This Row],[ReorderLevel]]</f>
        <v>0</v>
      </c>
      <c r="L2903" s="9">
        <f>Table1[[#This Row],[CurrentStock]]*Table1[[#This Row],[UnitPrice]]</f>
        <v>133767.48000000001</v>
      </c>
      <c r="M2903" t="str">
        <f>IF(Table1[[#This Row],[ReorderLevel]]-Table1[[#This Row],[CurrentStock]]&gt;0,Table1[[#This Row],[ReorderLevel]]-Table1[[#This Row],[CurrentStock]],"")</f>
        <v/>
      </c>
      <c r="N2903" t="str">
        <f>IF(Table1[[#This Row],[CurrentStock]]&gt;Table1[[#This Row],[ReorderLevel]]*3,"Over Stock","Okay")</f>
        <v>Over Stock</v>
      </c>
      <c r="O2903" t="str">
        <f>IF(Table1[[#This Row],[CurrentStock]]&lt;Table1[[#This Row],[ReorderLevel]],"Reorder","Okay")</f>
        <v>Okay</v>
      </c>
    </row>
    <row r="2904" spans="1:15" x14ac:dyDescent="0.3">
      <c r="A2904">
        <v>88132</v>
      </c>
      <c r="B2904" t="s">
        <v>13</v>
      </c>
      <c r="C2904" t="s">
        <v>29</v>
      </c>
      <c r="D2904">
        <v>110</v>
      </c>
      <c r="E2904">
        <v>20</v>
      </c>
      <c r="F2904">
        <v>353</v>
      </c>
      <c r="G2904" t="s">
        <v>34</v>
      </c>
      <c r="H2904" s="1">
        <v>45600</v>
      </c>
      <c r="I2904" s="1">
        <v>45611</v>
      </c>
      <c r="J2904" t="s">
        <v>37</v>
      </c>
      <c r="K2904" t="b">
        <f>Table1[[#This Row],[CurrentStock]]&lt;Table1[[#This Row],[ReorderLevel]]</f>
        <v>0</v>
      </c>
      <c r="L2904" s="9">
        <f>Table1[[#This Row],[CurrentStock]]*Table1[[#This Row],[UnitPrice]]</f>
        <v>38830</v>
      </c>
      <c r="M2904" t="str">
        <f>IF(Table1[[#This Row],[ReorderLevel]]-Table1[[#This Row],[CurrentStock]]&gt;0,Table1[[#This Row],[ReorderLevel]]-Table1[[#This Row],[CurrentStock]],"")</f>
        <v/>
      </c>
      <c r="N2904" t="str">
        <f>IF(Table1[[#This Row],[CurrentStock]]&gt;Table1[[#This Row],[ReorderLevel]]*3,"Over Stock","Okay")</f>
        <v>Over Stock</v>
      </c>
      <c r="O2904" t="str">
        <f>IF(Table1[[#This Row],[CurrentStock]]&lt;Table1[[#This Row],[ReorderLevel]],"Reorder","Okay")</f>
        <v>Okay</v>
      </c>
    </row>
    <row r="2905" spans="1:15" x14ac:dyDescent="0.3">
      <c r="A2905">
        <v>67781</v>
      </c>
      <c r="B2905" t="s">
        <v>13</v>
      </c>
      <c r="C2905" t="s">
        <v>29</v>
      </c>
      <c r="D2905">
        <v>321</v>
      </c>
      <c r="E2905">
        <v>30</v>
      </c>
      <c r="F2905">
        <v>351.56</v>
      </c>
      <c r="G2905" t="s">
        <v>35</v>
      </c>
      <c r="H2905" s="1">
        <v>45507</v>
      </c>
      <c r="I2905" s="1">
        <v>45520</v>
      </c>
      <c r="J2905" t="s">
        <v>39</v>
      </c>
      <c r="K2905" t="b">
        <f>Table1[[#This Row],[CurrentStock]]&lt;Table1[[#This Row],[ReorderLevel]]</f>
        <v>0</v>
      </c>
      <c r="L2905" s="9">
        <f>Table1[[#This Row],[CurrentStock]]*Table1[[#This Row],[UnitPrice]]</f>
        <v>112850.76</v>
      </c>
      <c r="M2905" t="str">
        <f>IF(Table1[[#This Row],[ReorderLevel]]-Table1[[#This Row],[CurrentStock]]&gt;0,Table1[[#This Row],[ReorderLevel]]-Table1[[#This Row],[CurrentStock]],"")</f>
        <v/>
      </c>
      <c r="N2905" t="str">
        <f>IF(Table1[[#This Row],[CurrentStock]]&gt;Table1[[#This Row],[ReorderLevel]]*3,"Over Stock","Okay")</f>
        <v>Over Stock</v>
      </c>
      <c r="O2905" t="str">
        <f>IF(Table1[[#This Row],[CurrentStock]]&lt;Table1[[#This Row],[ReorderLevel]],"Reorder","Okay")</f>
        <v>Okay</v>
      </c>
    </row>
    <row r="2906" spans="1:15" x14ac:dyDescent="0.3">
      <c r="A2906">
        <v>63492</v>
      </c>
      <c r="B2906" t="s">
        <v>22</v>
      </c>
      <c r="C2906" t="s">
        <v>27</v>
      </c>
      <c r="D2906">
        <v>270</v>
      </c>
      <c r="E2906">
        <v>150</v>
      </c>
      <c r="F2906">
        <v>194.34</v>
      </c>
      <c r="G2906" t="s">
        <v>36</v>
      </c>
      <c r="H2906" s="1">
        <v>45412</v>
      </c>
      <c r="I2906" s="1">
        <v>45439</v>
      </c>
      <c r="J2906" t="s">
        <v>39</v>
      </c>
      <c r="K2906" t="b">
        <f>Table1[[#This Row],[CurrentStock]]&lt;Table1[[#This Row],[ReorderLevel]]</f>
        <v>0</v>
      </c>
      <c r="L2906" s="9">
        <f>Table1[[#This Row],[CurrentStock]]*Table1[[#This Row],[UnitPrice]]</f>
        <v>52471.8</v>
      </c>
      <c r="M2906" t="str">
        <f>IF(Table1[[#This Row],[ReorderLevel]]-Table1[[#This Row],[CurrentStock]]&gt;0,Table1[[#This Row],[ReorderLevel]]-Table1[[#This Row],[CurrentStock]],"")</f>
        <v/>
      </c>
      <c r="N2906" t="str">
        <f>IF(Table1[[#This Row],[CurrentStock]]&gt;Table1[[#This Row],[ReorderLevel]]*3,"Over Stock","Okay")</f>
        <v>Okay</v>
      </c>
      <c r="O2906" t="str">
        <f>IF(Table1[[#This Row],[CurrentStock]]&lt;Table1[[#This Row],[ReorderLevel]],"Reorder","Okay")</f>
        <v>Okay</v>
      </c>
    </row>
    <row r="2907" spans="1:15" x14ac:dyDescent="0.3">
      <c r="A2907">
        <v>58481</v>
      </c>
      <c r="B2907" t="s">
        <v>14</v>
      </c>
      <c r="C2907" t="s">
        <v>27</v>
      </c>
      <c r="D2907">
        <v>136</v>
      </c>
      <c r="E2907">
        <v>30</v>
      </c>
      <c r="F2907">
        <v>432.77</v>
      </c>
      <c r="G2907" t="s">
        <v>33</v>
      </c>
      <c r="H2907" s="1">
        <v>45436</v>
      </c>
      <c r="I2907" s="1">
        <v>45448</v>
      </c>
      <c r="J2907" t="s">
        <v>37</v>
      </c>
      <c r="K2907" t="b">
        <f>Table1[[#This Row],[CurrentStock]]&lt;Table1[[#This Row],[ReorderLevel]]</f>
        <v>0</v>
      </c>
      <c r="L2907" s="9">
        <f>Table1[[#This Row],[CurrentStock]]*Table1[[#This Row],[UnitPrice]]</f>
        <v>58856.72</v>
      </c>
      <c r="M2907" t="str">
        <f>IF(Table1[[#This Row],[ReorderLevel]]-Table1[[#This Row],[CurrentStock]]&gt;0,Table1[[#This Row],[ReorderLevel]]-Table1[[#This Row],[CurrentStock]],"")</f>
        <v/>
      </c>
      <c r="N2907" t="str">
        <f>IF(Table1[[#This Row],[CurrentStock]]&gt;Table1[[#This Row],[ReorderLevel]]*3,"Over Stock","Okay")</f>
        <v>Over Stock</v>
      </c>
      <c r="O2907" t="str">
        <f>IF(Table1[[#This Row],[CurrentStock]]&lt;Table1[[#This Row],[ReorderLevel]],"Reorder","Okay")</f>
        <v>Okay</v>
      </c>
    </row>
    <row r="2908" spans="1:15" x14ac:dyDescent="0.3">
      <c r="A2908">
        <v>75015</v>
      </c>
      <c r="B2908" t="s">
        <v>10</v>
      </c>
      <c r="C2908" t="s">
        <v>27</v>
      </c>
      <c r="D2908">
        <v>445</v>
      </c>
      <c r="E2908">
        <v>50</v>
      </c>
      <c r="F2908">
        <v>364.15</v>
      </c>
      <c r="G2908" t="s">
        <v>36</v>
      </c>
      <c r="H2908" s="1">
        <v>45343</v>
      </c>
      <c r="I2908" s="1">
        <v>45349</v>
      </c>
      <c r="J2908" t="s">
        <v>39</v>
      </c>
      <c r="K2908" t="b">
        <f>Table1[[#This Row],[CurrentStock]]&lt;Table1[[#This Row],[ReorderLevel]]</f>
        <v>0</v>
      </c>
      <c r="L2908" s="9">
        <f>Table1[[#This Row],[CurrentStock]]*Table1[[#This Row],[UnitPrice]]</f>
        <v>162046.75</v>
      </c>
      <c r="M2908" t="str">
        <f>IF(Table1[[#This Row],[ReorderLevel]]-Table1[[#This Row],[CurrentStock]]&gt;0,Table1[[#This Row],[ReorderLevel]]-Table1[[#This Row],[CurrentStock]],"")</f>
        <v/>
      </c>
      <c r="N2908" t="str">
        <f>IF(Table1[[#This Row],[CurrentStock]]&gt;Table1[[#This Row],[ReorderLevel]]*3,"Over Stock","Okay")</f>
        <v>Over Stock</v>
      </c>
      <c r="O2908" t="str">
        <f>IF(Table1[[#This Row],[CurrentStock]]&lt;Table1[[#This Row],[ReorderLevel]],"Reorder","Okay")</f>
        <v>Okay</v>
      </c>
    </row>
    <row r="2909" spans="1:15" x14ac:dyDescent="0.3">
      <c r="A2909">
        <v>21358</v>
      </c>
      <c r="B2909" t="s">
        <v>10</v>
      </c>
      <c r="C2909" t="s">
        <v>27</v>
      </c>
      <c r="D2909">
        <v>179</v>
      </c>
      <c r="E2909">
        <v>150</v>
      </c>
      <c r="F2909">
        <v>261.8</v>
      </c>
      <c r="G2909" t="s">
        <v>32</v>
      </c>
      <c r="H2909" s="1">
        <v>45412</v>
      </c>
      <c r="I2909" s="1">
        <v>45450</v>
      </c>
      <c r="J2909" t="s">
        <v>38</v>
      </c>
      <c r="K2909" t="b">
        <f>Table1[[#This Row],[CurrentStock]]&lt;Table1[[#This Row],[ReorderLevel]]</f>
        <v>0</v>
      </c>
      <c r="L2909" s="9">
        <f>Table1[[#This Row],[CurrentStock]]*Table1[[#This Row],[UnitPrice]]</f>
        <v>46862.200000000004</v>
      </c>
      <c r="M2909" t="str">
        <f>IF(Table1[[#This Row],[ReorderLevel]]-Table1[[#This Row],[CurrentStock]]&gt;0,Table1[[#This Row],[ReorderLevel]]-Table1[[#This Row],[CurrentStock]],"")</f>
        <v/>
      </c>
      <c r="N2909" t="str">
        <f>IF(Table1[[#This Row],[CurrentStock]]&gt;Table1[[#This Row],[ReorderLevel]]*3,"Over Stock","Okay")</f>
        <v>Okay</v>
      </c>
      <c r="O2909" t="str">
        <f>IF(Table1[[#This Row],[CurrentStock]]&lt;Table1[[#This Row],[ReorderLevel]],"Reorder","Okay")</f>
        <v>Okay</v>
      </c>
    </row>
    <row r="2910" spans="1:15" x14ac:dyDescent="0.3">
      <c r="A2910">
        <v>98104</v>
      </c>
      <c r="B2910" t="s">
        <v>23</v>
      </c>
      <c r="C2910" t="s">
        <v>30</v>
      </c>
      <c r="D2910">
        <v>204</v>
      </c>
      <c r="E2910">
        <v>40</v>
      </c>
      <c r="F2910">
        <v>387.15</v>
      </c>
      <c r="G2910" t="s">
        <v>32</v>
      </c>
      <c r="H2910" s="1">
        <v>45547</v>
      </c>
      <c r="I2910" s="1">
        <v>45572</v>
      </c>
      <c r="J2910" t="s">
        <v>39</v>
      </c>
      <c r="K2910" t="b">
        <f>Table1[[#This Row],[CurrentStock]]&lt;Table1[[#This Row],[ReorderLevel]]</f>
        <v>0</v>
      </c>
      <c r="L2910" s="9">
        <f>Table1[[#This Row],[CurrentStock]]*Table1[[#This Row],[UnitPrice]]</f>
        <v>78978.599999999991</v>
      </c>
      <c r="M2910" t="str">
        <f>IF(Table1[[#This Row],[ReorderLevel]]-Table1[[#This Row],[CurrentStock]]&gt;0,Table1[[#This Row],[ReorderLevel]]-Table1[[#This Row],[CurrentStock]],"")</f>
        <v/>
      </c>
      <c r="N2910" t="str">
        <f>IF(Table1[[#This Row],[CurrentStock]]&gt;Table1[[#This Row],[ReorderLevel]]*3,"Over Stock","Okay")</f>
        <v>Over Stock</v>
      </c>
      <c r="O2910" t="str">
        <f>IF(Table1[[#This Row],[CurrentStock]]&lt;Table1[[#This Row],[ReorderLevel]],"Reorder","Okay")</f>
        <v>Okay</v>
      </c>
    </row>
    <row r="2911" spans="1:15" x14ac:dyDescent="0.3">
      <c r="A2911">
        <v>61275</v>
      </c>
      <c r="B2911" t="s">
        <v>17</v>
      </c>
      <c r="C2911" t="s">
        <v>30</v>
      </c>
      <c r="D2911">
        <v>194</v>
      </c>
      <c r="E2911">
        <v>150</v>
      </c>
      <c r="F2911">
        <v>85.28</v>
      </c>
      <c r="G2911" t="s">
        <v>32</v>
      </c>
      <c r="H2911" s="1">
        <v>45364</v>
      </c>
      <c r="I2911" s="1">
        <v>45375</v>
      </c>
      <c r="J2911" t="s">
        <v>38</v>
      </c>
      <c r="K2911" t="b">
        <f>Table1[[#This Row],[CurrentStock]]&lt;Table1[[#This Row],[ReorderLevel]]</f>
        <v>0</v>
      </c>
      <c r="L2911" s="9">
        <f>Table1[[#This Row],[CurrentStock]]*Table1[[#This Row],[UnitPrice]]</f>
        <v>16544.32</v>
      </c>
      <c r="M2911" t="str">
        <f>IF(Table1[[#This Row],[ReorderLevel]]-Table1[[#This Row],[CurrentStock]]&gt;0,Table1[[#This Row],[ReorderLevel]]-Table1[[#This Row],[CurrentStock]],"")</f>
        <v/>
      </c>
      <c r="N2911" t="str">
        <f>IF(Table1[[#This Row],[CurrentStock]]&gt;Table1[[#This Row],[ReorderLevel]]*3,"Over Stock","Okay")</f>
        <v>Okay</v>
      </c>
      <c r="O2911" t="str">
        <f>IF(Table1[[#This Row],[CurrentStock]]&lt;Table1[[#This Row],[ReorderLevel]],"Reorder","Okay")</f>
        <v>Okay</v>
      </c>
    </row>
    <row r="2912" spans="1:15" x14ac:dyDescent="0.3">
      <c r="A2912">
        <v>46716</v>
      </c>
      <c r="B2912" t="s">
        <v>24</v>
      </c>
      <c r="C2912" t="s">
        <v>31</v>
      </c>
      <c r="D2912">
        <v>362</v>
      </c>
      <c r="E2912">
        <v>20</v>
      </c>
      <c r="F2912">
        <v>432.25</v>
      </c>
      <c r="G2912" t="s">
        <v>32</v>
      </c>
      <c r="H2912" s="1">
        <v>45453</v>
      </c>
      <c r="I2912" s="1">
        <v>45470</v>
      </c>
      <c r="J2912" t="s">
        <v>37</v>
      </c>
      <c r="K2912" t="b">
        <f>Table1[[#This Row],[CurrentStock]]&lt;Table1[[#This Row],[ReorderLevel]]</f>
        <v>0</v>
      </c>
      <c r="L2912" s="9">
        <f>Table1[[#This Row],[CurrentStock]]*Table1[[#This Row],[UnitPrice]]</f>
        <v>156474.5</v>
      </c>
      <c r="M2912" t="str">
        <f>IF(Table1[[#This Row],[ReorderLevel]]-Table1[[#This Row],[CurrentStock]]&gt;0,Table1[[#This Row],[ReorderLevel]]-Table1[[#This Row],[CurrentStock]],"")</f>
        <v/>
      </c>
      <c r="N2912" t="str">
        <f>IF(Table1[[#This Row],[CurrentStock]]&gt;Table1[[#This Row],[ReorderLevel]]*3,"Over Stock","Okay")</f>
        <v>Over Stock</v>
      </c>
      <c r="O2912" t="str">
        <f>IF(Table1[[#This Row],[CurrentStock]]&lt;Table1[[#This Row],[ReorderLevel]],"Reorder","Okay")</f>
        <v>Okay</v>
      </c>
    </row>
    <row r="2913" spans="1:15" x14ac:dyDescent="0.3">
      <c r="A2913">
        <v>70615</v>
      </c>
      <c r="B2913" t="s">
        <v>13</v>
      </c>
      <c r="C2913" t="s">
        <v>29</v>
      </c>
      <c r="D2913">
        <v>0</v>
      </c>
      <c r="E2913">
        <v>150</v>
      </c>
      <c r="F2913">
        <v>380.97</v>
      </c>
      <c r="G2913" t="s">
        <v>33</v>
      </c>
      <c r="H2913" s="1">
        <v>45414</v>
      </c>
      <c r="I2913" s="1">
        <v>45450</v>
      </c>
      <c r="J2913" t="s">
        <v>39</v>
      </c>
      <c r="K2913" t="b">
        <f>Table1[[#This Row],[CurrentStock]]&lt;Table1[[#This Row],[ReorderLevel]]</f>
        <v>1</v>
      </c>
      <c r="L2913" s="9">
        <f>Table1[[#This Row],[CurrentStock]]*Table1[[#This Row],[UnitPrice]]</f>
        <v>0</v>
      </c>
      <c r="M2913">
        <f>IF(Table1[[#This Row],[ReorderLevel]]-Table1[[#This Row],[CurrentStock]]&gt;0,Table1[[#This Row],[ReorderLevel]]-Table1[[#This Row],[CurrentStock]],"")</f>
        <v>150</v>
      </c>
      <c r="N2913" t="str">
        <f>IF(Table1[[#This Row],[CurrentStock]]&gt;Table1[[#This Row],[ReorderLevel]]*3,"Over Stock","Okay")</f>
        <v>Okay</v>
      </c>
      <c r="O2913" t="str">
        <f>IF(Table1[[#This Row],[CurrentStock]]&lt;Table1[[#This Row],[ReorderLevel]],"Reorder","Okay")</f>
        <v>Reorder</v>
      </c>
    </row>
    <row r="2914" spans="1:15" x14ac:dyDescent="0.3">
      <c r="A2914">
        <v>35658</v>
      </c>
      <c r="B2914" t="s">
        <v>17</v>
      </c>
      <c r="C2914" t="s">
        <v>30</v>
      </c>
      <c r="D2914">
        <v>318</v>
      </c>
      <c r="E2914">
        <v>30</v>
      </c>
      <c r="F2914">
        <v>179.28</v>
      </c>
      <c r="G2914" t="s">
        <v>34</v>
      </c>
      <c r="H2914" s="1">
        <v>45332</v>
      </c>
      <c r="I2914" s="1">
        <v>45339</v>
      </c>
      <c r="J2914" t="s">
        <v>38</v>
      </c>
      <c r="K2914" t="b">
        <f>Table1[[#This Row],[CurrentStock]]&lt;Table1[[#This Row],[ReorderLevel]]</f>
        <v>0</v>
      </c>
      <c r="L2914" s="9">
        <f>Table1[[#This Row],[CurrentStock]]*Table1[[#This Row],[UnitPrice]]</f>
        <v>57011.040000000001</v>
      </c>
      <c r="M2914" t="str">
        <f>IF(Table1[[#This Row],[ReorderLevel]]-Table1[[#This Row],[CurrentStock]]&gt;0,Table1[[#This Row],[ReorderLevel]]-Table1[[#This Row],[CurrentStock]],"")</f>
        <v/>
      </c>
      <c r="N2914" t="str">
        <f>IF(Table1[[#This Row],[CurrentStock]]&gt;Table1[[#This Row],[ReorderLevel]]*3,"Over Stock","Okay")</f>
        <v>Over Stock</v>
      </c>
      <c r="O2914" t="str">
        <f>IF(Table1[[#This Row],[CurrentStock]]&lt;Table1[[#This Row],[ReorderLevel]],"Reorder","Okay")</f>
        <v>Okay</v>
      </c>
    </row>
    <row r="2915" spans="1:15" x14ac:dyDescent="0.3">
      <c r="A2915">
        <v>40367</v>
      </c>
      <c r="B2915" t="s">
        <v>21</v>
      </c>
      <c r="C2915" t="s">
        <v>31</v>
      </c>
      <c r="D2915">
        <v>238</v>
      </c>
      <c r="E2915">
        <v>50</v>
      </c>
      <c r="F2915">
        <v>426.3</v>
      </c>
      <c r="G2915" t="s">
        <v>35</v>
      </c>
      <c r="H2915" s="1">
        <v>45623</v>
      </c>
      <c r="I2915" s="1">
        <v>45635</v>
      </c>
      <c r="J2915" t="s">
        <v>37</v>
      </c>
      <c r="K2915" t="b">
        <f>Table1[[#This Row],[CurrentStock]]&lt;Table1[[#This Row],[ReorderLevel]]</f>
        <v>0</v>
      </c>
      <c r="L2915" s="9">
        <f>Table1[[#This Row],[CurrentStock]]*Table1[[#This Row],[UnitPrice]]</f>
        <v>101459.40000000001</v>
      </c>
      <c r="M2915" t="str">
        <f>IF(Table1[[#This Row],[ReorderLevel]]-Table1[[#This Row],[CurrentStock]]&gt;0,Table1[[#This Row],[ReorderLevel]]-Table1[[#This Row],[CurrentStock]],"")</f>
        <v/>
      </c>
      <c r="N2915" t="str">
        <f>IF(Table1[[#This Row],[CurrentStock]]&gt;Table1[[#This Row],[ReorderLevel]]*3,"Over Stock","Okay")</f>
        <v>Over Stock</v>
      </c>
      <c r="O2915" t="str">
        <f>IF(Table1[[#This Row],[CurrentStock]]&lt;Table1[[#This Row],[ReorderLevel]],"Reorder","Okay")</f>
        <v>Okay</v>
      </c>
    </row>
    <row r="2916" spans="1:15" x14ac:dyDescent="0.3">
      <c r="A2916">
        <v>44902</v>
      </c>
      <c r="B2916" t="s">
        <v>23</v>
      </c>
      <c r="C2916" t="s">
        <v>30</v>
      </c>
      <c r="D2916">
        <v>205</v>
      </c>
      <c r="E2916">
        <v>80</v>
      </c>
      <c r="F2916">
        <v>331.32</v>
      </c>
      <c r="G2916" t="s">
        <v>34</v>
      </c>
      <c r="H2916" s="1">
        <v>45637</v>
      </c>
      <c r="I2916" s="1">
        <v>45665</v>
      </c>
      <c r="J2916" t="s">
        <v>39</v>
      </c>
      <c r="K2916" t="b">
        <f>Table1[[#This Row],[CurrentStock]]&lt;Table1[[#This Row],[ReorderLevel]]</f>
        <v>0</v>
      </c>
      <c r="L2916" s="9">
        <f>Table1[[#This Row],[CurrentStock]]*Table1[[#This Row],[UnitPrice]]</f>
        <v>67920.600000000006</v>
      </c>
      <c r="M2916" t="str">
        <f>IF(Table1[[#This Row],[ReorderLevel]]-Table1[[#This Row],[CurrentStock]]&gt;0,Table1[[#This Row],[ReorderLevel]]-Table1[[#This Row],[CurrentStock]],"")</f>
        <v/>
      </c>
      <c r="N2916" t="str">
        <f>IF(Table1[[#This Row],[CurrentStock]]&gt;Table1[[#This Row],[ReorderLevel]]*3,"Over Stock","Okay")</f>
        <v>Okay</v>
      </c>
      <c r="O2916" t="str">
        <f>IF(Table1[[#This Row],[CurrentStock]]&lt;Table1[[#This Row],[ReorderLevel]],"Reorder","Okay")</f>
        <v>Okay</v>
      </c>
    </row>
    <row r="2917" spans="1:15" x14ac:dyDescent="0.3">
      <c r="A2917">
        <v>86518</v>
      </c>
      <c r="B2917" t="s">
        <v>21</v>
      </c>
      <c r="C2917" t="s">
        <v>31</v>
      </c>
      <c r="D2917">
        <v>273</v>
      </c>
      <c r="E2917">
        <v>80</v>
      </c>
      <c r="F2917">
        <v>10.31</v>
      </c>
      <c r="G2917" t="s">
        <v>33</v>
      </c>
      <c r="H2917" s="1">
        <v>45369</v>
      </c>
      <c r="I2917" s="1">
        <v>45377</v>
      </c>
      <c r="J2917" t="s">
        <v>37</v>
      </c>
      <c r="K2917" t="b">
        <f>Table1[[#This Row],[CurrentStock]]&lt;Table1[[#This Row],[ReorderLevel]]</f>
        <v>0</v>
      </c>
      <c r="L2917" s="9">
        <f>Table1[[#This Row],[CurrentStock]]*Table1[[#This Row],[UnitPrice]]</f>
        <v>2814.63</v>
      </c>
      <c r="M2917" t="str">
        <f>IF(Table1[[#This Row],[ReorderLevel]]-Table1[[#This Row],[CurrentStock]]&gt;0,Table1[[#This Row],[ReorderLevel]]-Table1[[#This Row],[CurrentStock]],"")</f>
        <v/>
      </c>
      <c r="N2917" t="str">
        <f>IF(Table1[[#This Row],[CurrentStock]]&gt;Table1[[#This Row],[ReorderLevel]]*3,"Over Stock","Okay")</f>
        <v>Over Stock</v>
      </c>
      <c r="O2917" t="str">
        <f>IF(Table1[[#This Row],[CurrentStock]]&lt;Table1[[#This Row],[ReorderLevel]],"Reorder","Okay")</f>
        <v>Okay</v>
      </c>
    </row>
    <row r="2918" spans="1:15" x14ac:dyDescent="0.3">
      <c r="A2918">
        <v>31775</v>
      </c>
      <c r="B2918" t="s">
        <v>18</v>
      </c>
      <c r="C2918" t="s">
        <v>28</v>
      </c>
      <c r="D2918">
        <v>454</v>
      </c>
      <c r="E2918">
        <v>40</v>
      </c>
      <c r="F2918">
        <v>251.97</v>
      </c>
      <c r="G2918" t="s">
        <v>33</v>
      </c>
      <c r="H2918" s="1">
        <v>45378</v>
      </c>
      <c r="I2918" s="1">
        <v>45393</v>
      </c>
      <c r="J2918" t="s">
        <v>39</v>
      </c>
      <c r="K2918" t="b">
        <f>Table1[[#This Row],[CurrentStock]]&lt;Table1[[#This Row],[ReorderLevel]]</f>
        <v>0</v>
      </c>
      <c r="L2918" s="9">
        <f>Table1[[#This Row],[CurrentStock]]*Table1[[#This Row],[UnitPrice]]</f>
        <v>114394.38</v>
      </c>
      <c r="M2918" t="str">
        <f>IF(Table1[[#This Row],[ReorderLevel]]-Table1[[#This Row],[CurrentStock]]&gt;0,Table1[[#This Row],[ReorderLevel]]-Table1[[#This Row],[CurrentStock]],"")</f>
        <v/>
      </c>
      <c r="N2918" t="str">
        <f>IF(Table1[[#This Row],[CurrentStock]]&gt;Table1[[#This Row],[ReorderLevel]]*3,"Over Stock","Okay")</f>
        <v>Over Stock</v>
      </c>
      <c r="O2918" t="str">
        <f>IF(Table1[[#This Row],[CurrentStock]]&lt;Table1[[#This Row],[ReorderLevel]],"Reorder","Okay")</f>
        <v>Okay</v>
      </c>
    </row>
    <row r="2919" spans="1:15" x14ac:dyDescent="0.3">
      <c r="A2919">
        <v>14521</v>
      </c>
      <c r="B2919" t="s">
        <v>14</v>
      </c>
      <c r="C2919" t="s">
        <v>27</v>
      </c>
      <c r="D2919">
        <v>138</v>
      </c>
      <c r="E2919">
        <v>80</v>
      </c>
      <c r="F2919">
        <v>299.39</v>
      </c>
      <c r="G2919" t="s">
        <v>35</v>
      </c>
      <c r="H2919" s="1">
        <v>45524</v>
      </c>
      <c r="I2919" s="1">
        <v>45544</v>
      </c>
      <c r="J2919" t="s">
        <v>38</v>
      </c>
      <c r="K2919" t="b">
        <f>Table1[[#This Row],[CurrentStock]]&lt;Table1[[#This Row],[ReorderLevel]]</f>
        <v>0</v>
      </c>
      <c r="L2919" s="9">
        <f>Table1[[#This Row],[CurrentStock]]*Table1[[#This Row],[UnitPrice]]</f>
        <v>41315.82</v>
      </c>
      <c r="M2919" t="str">
        <f>IF(Table1[[#This Row],[ReorderLevel]]-Table1[[#This Row],[CurrentStock]]&gt;0,Table1[[#This Row],[ReorderLevel]]-Table1[[#This Row],[CurrentStock]],"")</f>
        <v/>
      </c>
      <c r="N2919" t="str">
        <f>IF(Table1[[#This Row],[CurrentStock]]&gt;Table1[[#This Row],[ReorderLevel]]*3,"Over Stock","Okay")</f>
        <v>Okay</v>
      </c>
      <c r="O2919" t="str">
        <f>IF(Table1[[#This Row],[CurrentStock]]&lt;Table1[[#This Row],[ReorderLevel]],"Reorder","Okay")</f>
        <v>Okay</v>
      </c>
    </row>
    <row r="2920" spans="1:15" x14ac:dyDescent="0.3">
      <c r="A2920">
        <v>76684</v>
      </c>
      <c r="B2920" t="s">
        <v>12</v>
      </c>
      <c r="C2920" t="s">
        <v>28</v>
      </c>
      <c r="D2920">
        <v>328</v>
      </c>
      <c r="E2920">
        <v>80</v>
      </c>
      <c r="F2920">
        <v>396.72</v>
      </c>
      <c r="G2920" t="s">
        <v>32</v>
      </c>
      <c r="H2920" s="1">
        <v>45543</v>
      </c>
      <c r="I2920" s="1">
        <v>45575</v>
      </c>
      <c r="J2920" t="s">
        <v>39</v>
      </c>
      <c r="K2920" t="b">
        <f>Table1[[#This Row],[CurrentStock]]&lt;Table1[[#This Row],[ReorderLevel]]</f>
        <v>0</v>
      </c>
      <c r="L2920" s="9">
        <f>Table1[[#This Row],[CurrentStock]]*Table1[[#This Row],[UnitPrice]]</f>
        <v>130124.16</v>
      </c>
      <c r="M2920" t="str">
        <f>IF(Table1[[#This Row],[ReorderLevel]]-Table1[[#This Row],[CurrentStock]]&gt;0,Table1[[#This Row],[ReorderLevel]]-Table1[[#This Row],[CurrentStock]],"")</f>
        <v/>
      </c>
      <c r="N2920" t="str">
        <f>IF(Table1[[#This Row],[CurrentStock]]&gt;Table1[[#This Row],[ReorderLevel]]*3,"Over Stock","Okay")</f>
        <v>Over Stock</v>
      </c>
      <c r="O2920" t="str">
        <f>IF(Table1[[#This Row],[CurrentStock]]&lt;Table1[[#This Row],[ReorderLevel]],"Reorder","Okay")</f>
        <v>Okay</v>
      </c>
    </row>
    <row r="2921" spans="1:15" x14ac:dyDescent="0.3">
      <c r="A2921">
        <v>69516</v>
      </c>
      <c r="B2921" t="s">
        <v>23</v>
      </c>
      <c r="C2921" t="s">
        <v>30</v>
      </c>
      <c r="D2921">
        <v>34</v>
      </c>
      <c r="E2921">
        <v>80</v>
      </c>
      <c r="F2921">
        <v>254.95</v>
      </c>
      <c r="G2921" t="s">
        <v>32</v>
      </c>
      <c r="H2921" s="1">
        <v>45430</v>
      </c>
      <c r="I2921" s="1">
        <v>45446</v>
      </c>
      <c r="J2921" t="s">
        <v>38</v>
      </c>
      <c r="K2921" t="b">
        <f>Table1[[#This Row],[CurrentStock]]&lt;Table1[[#This Row],[ReorderLevel]]</f>
        <v>1</v>
      </c>
      <c r="L2921" s="9">
        <f>Table1[[#This Row],[CurrentStock]]*Table1[[#This Row],[UnitPrice]]</f>
        <v>8668.2999999999993</v>
      </c>
      <c r="M2921">
        <f>IF(Table1[[#This Row],[ReorderLevel]]-Table1[[#This Row],[CurrentStock]]&gt;0,Table1[[#This Row],[ReorderLevel]]-Table1[[#This Row],[CurrentStock]],"")</f>
        <v>46</v>
      </c>
      <c r="N2921" t="str">
        <f>IF(Table1[[#This Row],[CurrentStock]]&gt;Table1[[#This Row],[ReorderLevel]]*3,"Over Stock","Okay")</f>
        <v>Okay</v>
      </c>
      <c r="O2921" t="str">
        <f>IF(Table1[[#This Row],[CurrentStock]]&lt;Table1[[#This Row],[ReorderLevel]],"Reorder","Okay")</f>
        <v>Reorder</v>
      </c>
    </row>
    <row r="2922" spans="1:15" x14ac:dyDescent="0.3">
      <c r="A2922">
        <v>23554</v>
      </c>
      <c r="B2922" t="s">
        <v>17</v>
      </c>
      <c r="C2922" t="s">
        <v>30</v>
      </c>
      <c r="D2922">
        <v>205</v>
      </c>
      <c r="E2922">
        <v>50</v>
      </c>
      <c r="F2922">
        <v>251.75</v>
      </c>
      <c r="G2922" t="s">
        <v>36</v>
      </c>
      <c r="H2922" s="1">
        <v>45545</v>
      </c>
      <c r="I2922" s="1">
        <v>45557</v>
      </c>
      <c r="J2922" t="s">
        <v>37</v>
      </c>
      <c r="K2922" t="b">
        <f>Table1[[#This Row],[CurrentStock]]&lt;Table1[[#This Row],[ReorderLevel]]</f>
        <v>0</v>
      </c>
      <c r="L2922" s="9">
        <f>Table1[[#This Row],[CurrentStock]]*Table1[[#This Row],[UnitPrice]]</f>
        <v>51608.75</v>
      </c>
      <c r="M2922" t="str">
        <f>IF(Table1[[#This Row],[ReorderLevel]]-Table1[[#This Row],[CurrentStock]]&gt;0,Table1[[#This Row],[ReorderLevel]]-Table1[[#This Row],[CurrentStock]],"")</f>
        <v/>
      </c>
      <c r="N2922" t="str">
        <f>IF(Table1[[#This Row],[CurrentStock]]&gt;Table1[[#This Row],[ReorderLevel]]*3,"Over Stock","Okay")</f>
        <v>Over Stock</v>
      </c>
      <c r="O2922" t="str">
        <f>IF(Table1[[#This Row],[CurrentStock]]&lt;Table1[[#This Row],[ReorderLevel]],"Reorder","Okay")</f>
        <v>Okay</v>
      </c>
    </row>
    <row r="2923" spans="1:15" x14ac:dyDescent="0.3">
      <c r="A2923">
        <v>55562</v>
      </c>
      <c r="B2923" t="s">
        <v>17</v>
      </c>
      <c r="C2923" t="s">
        <v>30</v>
      </c>
      <c r="D2923">
        <v>224</v>
      </c>
      <c r="E2923">
        <v>80</v>
      </c>
      <c r="F2923">
        <v>276.62</v>
      </c>
      <c r="G2923" t="s">
        <v>32</v>
      </c>
      <c r="H2923" s="1">
        <v>45413</v>
      </c>
      <c r="I2923" s="1">
        <v>45443</v>
      </c>
      <c r="J2923" t="s">
        <v>38</v>
      </c>
      <c r="K2923" t="b">
        <f>Table1[[#This Row],[CurrentStock]]&lt;Table1[[#This Row],[ReorderLevel]]</f>
        <v>0</v>
      </c>
      <c r="L2923" s="9">
        <f>Table1[[#This Row],[CurrentStock]]*Table1[[#This Row],[UnitPrice]]</f>
        <v>61962.880000000005</v>
      </c>
      <c r="M2923" t="str">
        <f>IF(Table1[[#This Row],[ReorderLevel]]-Table1[[#This Row],[CurrentStock]]&gt;0,Table1[[#This Row],[ReorderLevel]]-Table1[[#This Row],[CurrentStock]],"")</f>
        <v/>
      </c>
      <c r="N2923" t="str">
        <f>IF(Table1[[#This Row],[CurrentStock]]&gt;Table1[[#This Row],[ReorderLevel]]*3,"Over Stock","Okay")</f>
        <v>Okay</v>
      </c>
      <c r="O2923" t="str">
        <f>IF(Table1[[#This Row],[CurrentStock]]&lt;Table1[[#This Row],[ReorderLevel]],"Reorder","Okay")</f>
        <v>Okay</v>
      </c>
    </row>
    <row r="2924" spans="1:15" x14ac:dyDescent="0.3">
      <c r="A2924">
        <v>28340</v>
      </c>
      <c r="B2924" t="s">
        <v>23</v>
      </c>
      <c r="C2924" t="s">
        <v>30</v>
      </c>
      <c r="D2924">
        <v>338</v>
      </c>
      <c r="E2924">
        <v>30</v>
      </c>
      <c r="F2924">
        <v>305.10000000000002</v>
      </c>
      <c r="G2924" t="s">
        <v>36</v>
      </c>
      <c r="H2924" s="1">
        <v>45448</v>
      </c>
      <c r="I2924" s="1">
        <v>45471</v>
      </c>
      <c r="J2924" t="s">
        <v>39</v>
      </c>
      <c r="K2924" t="b">
        <f>Table1[[#This Row],[CurrentStock]]&lt;Table1[[#This Row],[ReorderLevel]]</f>
        <v>0</v>
      </c>
      <c r="L2924" s="9">
        <f>Table1[[#This Row],[CurrentStock]]*Table1[[#This Row],[UnitPrice]]</f>
        <v>103123.8</v>
      </c>
      <c r="M2924" t="str">
        <f>IF(Table1[[#This Row],[ReorderLevel]]-Table1[[#This Row],[CurrentStock]]&gt;0,Table1[[#This Row],[ReorderLevel]]-Table1[[#This Row],[CurrentStock]],"")</f>
        <v/>
      </c>
      <c r="N2924" t="str">
        <f>IF(Table1[[#This Row],[CurrentStock]]&gt;Table1[[#This Row],[ReorderLevel]]*3,"Over Stock","Okay")</f>
        <v>Over Stock</v>
      </c>
      <c r="O2924" t="str">
        <f>IF(Table1[[#This Row],[CurrentStock]]&lt;Table1[[#This Row],[ReorderLevel]],"Reorder","Okay")</f>
        <v>Okay</v>
      </c>
    </row>
    <row r="2925" spans="1:15" x14ac:dyDescent="0.3">
      <c r="A2925">
        <v>35530</v>
      </c>
      <c r="B2925" t="s">
        <v>19</v>
      </c>
      <c r="C2925" t="s">
        <v>28</v>
      </c>
      <c r="D2925">
        <v>430</v>
      </c>
      <c r="E2925">
        <v>20</v>
      </c>
      <c r="F2925">
        <v>159.53</v>
      </c>
      <c r="G2925" t="s">
        <v>35</v>
      </c>
      <c r="H2925" s="1">
        <v>45486</v>
      </c>
      <c r="I2925" s="1">
        <v>45503</v>
      </c>
      <c r="J2925" t="s">
        <v>37</v>
      </c>
      <c r="K2925" t="b">
        <f>Table1[[#This Row],[CurrentStock]]&lt;Table1[[#This Row],[ReorderLevel]]</f>
        <v>0</v>
      </c>
      <c r="L2925" s="9">
        <f>Table1[[#This Row],[CurrentStock]]*Table1[[#This Row],[UnitPrice]]</f>
        <v>68597.899999999994</v>
      </c>
      <c r="M2925" t="str">
        <f>IF(Table1[[#This Row],[ReorderLevel]]-Table1[[#This Row],[CurrentStock]]&gt;0,Table1[[#This Row],[ReorderLevel]]-Table1[[#This Row],[CurrentStock]],"")</f>
        <v/>
      </c>
      <c r="N2925" t="str">
        <f>IF(Table1[[#This Row],[CurrentStock]]&gt;Table1[[#This Row],[ReorderLevel]]*3,"Over Stock","Okay")</f>
        <v>Over Stock</v>
      </c>
      <c r="O2925" t="str">
        <f>IF(Table1[[#This Row],[CurrentStock]]&lt;Table1[[#This Row],[ReorderLevel]],"Reorder","Okay")</f>
        <v>Okay</v>
      </c>
    </row>
    <row r="2926" spans="1:15" x14ac:dyDescent="0.3">
      <c r="A2926">
        <v>81828</v>
      </c>
      <c r="B2926" t="s">
        <v>15</v>
      </c>
      <c r="C2926" t="s">
        <v>29</v>
      </c>
      <c r="D2926">
        <v>455</v>
      </c>
      <c r="E2926">
        <v>100</v>
      </c>
      <c r="F2926">
        <v>375.92</v>
      </c>
      <c r="G2926" t="s">
        <v>33</v>
      </c>
      <c r="H2926" s="1">
        <v>45579</v>
      </c>
      <c r="I2926" s="1">
        <v>45618</v>
      </c>
      <c r="J2926" t="s">
        <v>39</v>
      </c>
      <c r="K2926" t="b">
        <f>Table1[[#This Row],[CurrentStock]]&lt;Table1[[#This Row],[ReorderLevel]]</f>
        <v>0</v>
      </c>
      <c r="L2926" s="9">
        <f>Table1[[#This Row],[CurrentStock]]*Table1[[#This Row],[UnitPrice]]</f>
        <v>171043.6</v>
      </c>
      <c r="M2926" t="str">
        <f>IF(Table1[[#This Row],[ReorderLevel]]-Table1[[#This Row],[CurrentStock]]&gt;0,Table1[[#This Row],[ReorderLevel]]-Table1[[#This Row],[CurrentStock]],"")</f>
        <v/>
      </c>
      <c r="N2926" t="str">
        <f>IF(Table1[[#This Row],[CurrentStock]]&gt;Table1[[#This Row],[ReorderLevel]]*3,"Over Stock","Okay")</f>
        <v>Over Stock</v>
      </c>
      <c r="O2926" t="str">
        <f>IF(Table1[[#This Row],[CurrentStock]]&lt;Table1[[#This Row],[ReorderLevel]],"Reorder","Okay")</f>
        <v>Okay</v>
      </c>
    </row>
    <row r="2927" spans="1:15" x14ac:dyDescent="0.3">
      <c r="A2927">
        <v>84349</v>
      </c>
      <c r="B2927" t="s">
        <v>19</v>
      </c>
      <c r="C2927" t="s">
        <v>28</v>
      </c>
      <c r="D2927">
        <v>364</v>
      </c>
      <c r="E2927">
        <v>40</v>
      </c>
      <c r="F2927">
        <v>57.13</v>
      </c>
      <c r="G2927" t="s">
        <v>36</v>
      </c>
      <c r="H2927" s="1">
        <v>45359</v>
      </c>
      <c r="I2927" s="1">
        <v>45389</v>
      </c>
      <c r="J2927" t="s">
        <v>37</v>
      </c>
      <c r="K2927" t="b">
        <f>Table1[[#This Row],[CurrentStock]]&lt;Table1[[#This Row],[ReorderLevel]]</f>
        <v>0</v>
      </c>
      <c r="L2927" s="9">
        <f>Table1[[#This Row],[CurrentStock]]*Table1[[#This Row],[UnitPrice]]</f>
        <v>20795.32</v>
      </c>
      <c r="M2927" t="str">
        <f>IF(Table1[[#This Row],[ReorderLevel]]-Table1[[#This Row],[CurrentStock]]&gt;0,Table1[[#This Row],[ReorderLevel]]-Table1[[#This Row],[CurrentStock]],"")</f>
        <v/>
      </c>
      <c r="N2927" t="str">
        <f>IF(Table1[[#This Row],[CurrentStock]]&gt;Table1[[#This Row],[ReorderLevel]]*3,"Over Stock","Okay")</f>
        <v>Over Stock</v>
      </c>
      <c r="O2927" t="str">
        <f>IF(Table1[[#This Row],[CurrentStock]]&lt;Table1[[#This Row],[ReorderLevel]],"Reorder","Okay")</f>
        <v>Okay</v>
      </c>
    </row>
    <row r="2928" spans="1:15" x14ac:dyDescent="0.3">
      <c r="A2928">
        <v>55567</v>
      </c>
      <c r="B2928" t="s">
        <v>25</v>
      </c>
      <c r="C2928" t="s">
        <v>31</v>
      </c>
      <c r="D2928">
        <v>449</v>
      </c>
      <c r="E2928">
        <v>30</v>
      </c>
      <c r="F2928">
        <v>308.38</v>
      </c>
      <c r="G2928" t="s">
        <v>33</v>
      </c>
      <c r="H2928" s="1">
        <v>45587</v>
      </c>
      <c r="I2928" s="1">
        <v>45599</v>
      </c>
      <c r="J2928" t="s">
        <v>37</v>
      </c>
      <c r="K2928" t="b">
        <f>Table1[[#This Row],[CurrentStock]]&lt;Table1[[#This Row],[ReorderLevel]]</f>
        <v>0</v>
      </c>
      <c r="L2928" s="9">
        <f>Table1[[#This Row],[CurrentStock]]*Table1[[#This Row],[UnitPrice]]</f>
        <v>138462.62</v>
      </c>
      <c r="M2928" t="str">
        <f>IF(Table1[[#This Row],[ReorderLevel]]-Table1[[#This Row],[CurrentStock]]&gt;0,Table1[[#This Row],[ReorderLevel]]-Table1[[#This Row],[CurrentStock]],"")</f>
        <v/>
      </c>
      <c r="N2928" t="str">
        <f>IF(Table1[[#This Row],[CurrentStock]]&gt;Table1[[#This Row],[ReorderLevel]]*3,"Over Stock","Okay")</f>
        <v>Over Stock</v>
      </c>
      <c r="O2928" t="str">
        <f>IF(Table1[[#This Row],[CurrentStock]]&lt;Table1[[#This Row],[ReorderLevel]],"Reorder","Okay")</f>
        <v>Okay</v>
      </c>
    </row>
    <row r="2929" spans="1:15" x14ac:dyDescent="0.3">
      <c r="A2929">
        <v>61996</v>
      </c>
      <c r="B2929" t="s">
        <v>12</v>
      </c>
      <c r="C2929" t="s">
        <v>28</v>
      </c>
      <c r="D2929">
        <v>131</v>
      </c>
      <c r="E2929">
        <v>40</v>
      </c>
      <c r="F2929">
        <v>160.86000000000001</v>
      </c>
      <c r="G2929" t="s">
        <v>36</v>
      </c>
      <c r="H2929" s="1">
        <v>45344</v>
      </c>
      <c r="I2929" s="1">
        <v>45368</v>
      </c>
      <c r="J2929" t="s">
        <v>38</v>
      </c>
      <c r="K2929" t="b">
        <f>Table1[[#This Row],[CurrentStock]]&lt;Table1[[#This Row],[ReorderLevel]]</f>
        <v>0</v>
      </c>
      <c r="L2929" s="9">
        <f>Table1[[#This Row],[CurrentStock]]*Table1[[#This Row],[UnitPrice]]</f>
        <v>21072.660000000003</v>
      </c>
      <c r="M2929" t="str">
        <f>IF(Table1[[#This Row],[ReorderLevel]]-Table1[[#This Row],[CurrentStock]]&gt;0,Table1[[#This Row],[ReorderLevel]]-Table1[[#This Row],[CurrentStock]],"")</f>
        <v/>
      </c>
      <c r="N2929" t="str">
        <f>IF(Table1[[#This Row],[CurrentStock]]&gt;Table1[[#This Row],[ReorderLevel]]*3,"Over Stock","Okay")</f>
        <v>Over Stock</v>
      </c>
      <c r="O2929" t="str">
        <f>IF(Table1[[#This Row],[CurrentStock]]&lt;Table1[[#This Row],[ReorderLevel]],"Reorder","Okay")</f>
        <v>Okay</v>
      </c>
    </row>
    <row r="2930" spans="1:15" x14ac:dyDescent="0.3">
      <c r="A2930">
        <v>63913</v>
      </c>
      <c r="B2930" t="s">
        <v>19</v>
      </c>
      <c r="C2930" t="s">
        <v>28</v>
      </c>
      <c r="D2930">
        <v>204</v>
      </c>
      <c r="E2930">
        <v>80</v>
      </c>
      <c r="F2930">
        <v>205.13</v>
      </c>
      <c r="G2930" t="s">
        <v>36</v>
      </c>
      <c r="H2930" s="1">
        <v>45623</v>
      </c>
      <c r="I2930" s="1">
        <v>45643</v>
      </c>
      <c r="J2930" t="s">
        <v>37</v>
      </c>
      <c r="K2930" t="b">
        <f>Table1[[#This Row],[CurrentStock]]&lt;Table1[[#This Row],[ReorderLevel]]</f>
        <v>0</v>
      </c>
      <c r="L2930" s="9">
        <f>Table1[[#This Row],[CurrentStock]]*Table1[[#This Row],[UnitPrice]]</f>
        <v>41846.519999999997</v>
      </c>
      <c r="M2930" t="str">
        <f>IF(Table1[[#This Row],[ReorderLevel]]-Table1[[#This Row],[CurrentStock]]&gt;0,Table1[[#This Row],[ReorderLevel]]-Table1[[#This Row],[CurrentStock]],"")</f>
        <v/>
      </c>
      <c r="N2930" t="str">
        <f>IF(Table1[[#This Row],[CurrentStock]]&gt;Table1[[#This Row],[ReorderLevel]]*3,"Over Stock","Okay")</f>
        <v>Okay</v>
      </c>
      <c r="O2930" t="str">
        <f>IF(Table1[[#This Row],[CurrentStock]]&lt;Table1[[#This Row],[ReorderLevel]],"Reorder","Okay")</f>
        <v>Okay</v>
      </c>
    </row>
    <row r="2931" spans="1:15" x14ac:dyDescent="0.3">
      <c r="A2931">
        <v>69919</v>
      </c>
      <c r="B2931" t="s">
        <v>26</v>
      </c>
      <c r="C2931" t="s">
        <v>30</v>
      </c>
      <c r="D2931">
        <v>350</v>
      </c>
      <c r="E2931">
        <v>100</v>
      </c>
      <c r="F2931">
        <v>83.55</v>
      </c>
      <c r="G2931" t="s">
        <v>32</v>
      </c>
      <c r="H2931" s="1">
        <v>45309</v>
      </c>
      <c r="I2931" s="1">
        <v>45344</v>
      </c>
      <c r="J2931" t="s">
        <v>37</v>
      </c>
      <c r="K2931" t="b">
        <f>Table1[[#This Row],[CurrentStock]]&lt;Table1[[#This Row],[ReorderLevel]]</f>
        <v>0</v>
      </c>
      <c r="L2931" s="9">
        <f>Table1[[#This Row],[CurrentStock]]*Table1[[#This Row],[UnitPrice]]</f>
        <v>29242.5</v>
      </c>
      <c r="M2931" t="str">
        <f>IF(Table1[[#This Row],[ReorderLevel]]-Table1[[#This Row],[CurrentStock]]&gt;0,Table1[[#This Row],[ReorderLevel]]-Table1[[#This Row],[CurrentStock]],"")</f>
        <v/>
      </c>
      <c r="N2931" t="str">
        <f>IF(Table1[[#This Row],[CurrentStock]]&gt;Table1[[#This Row],[ReorderLevel]]*3,"Over Stock","Okay")</f>
        <v>Over Stock</v>
      </c>
      <c r="O2931" t="str">
        <f>IF(Table1[[#This Row],[CurrentStock]]&lt;Table1[[#This Row],[ReorderLevel]],"Reorder","Okay")</f>
        <v>Okay</v>
      </c>
    </row>
    <row r="2932" spans="1:15" x14ac:dyDescent="0.3">
      <c r="A2932">
        <v>80063</v>
      </c>
      <c r="B2932" t="s">
        <v>14</v>
      </c>
      <c r="C2932" t="s">
        <v>27</v>
      </c>
      <c r="D2932">
        <v>315</v>
      </c>
      <c r="E2932">
        <v>80</v>
      </c>
      <c r="F2932">
        <v>451.64</v>
      </c>
      <c r="G2932" t="s">
        <v>34</v>
      </c>
      <c r="H2932" s="1">
        <v>45611</v>
      </c>
      <c r="I2932" s="1">
        <v>45629</v>
      </c>
      <c r="J2932" t="s">
        <v>39</v>
      </c>
      <c r="K2932" t="b">
        <f>Table1[[#This Row],[CurrentStock]]&lt;Table1[[#This Row],[ReorderLevel]]</f>
        <v>0</v>
      </c>
      <c r="L2932" s="9">
        <f>Table1[[#This Row],[CurrentStock]]*Table1[[#This Row],[UnitPrice]]</f>
        <v>142266.6</v>
      </c>
      <c r="M2932" t="str">
        <f>IF(Table1[[#This Row],[ReorderLevel]]-Table1[[#This Row],[CurrentStock]]&gt;0,Table1[[#This Row],[ReorderLevel]]-Table1[[#This Row],[CurrentStock]],"")</f>
        <v/>
      </c>
      <c r="N2932" t="str">
        <f>IF(Table1[[#This Row],[CurrentStock]]&gt;Table1[[#This Row],[ReorderLevel]]*3,"Over Stock","Okay")</f>
        <v>Over Stock</v>
      </c>
      <c r="O2932" t="str">
        <f>IF(Table1[[#This Row],[CurrentStock]]&lt;Table1[[#This Row],[ReorderLevel]],"Reorder","Okay")</f>
        <v>Okay</v>
      </c>
    </row>
    <row r="2933" spans="1:15" x14ac:dyDescent="0.3">
      <c r="A2933">
        <v>53239</v>
      </c>
      <c r="B2933" t="s">
        <v>21</v>
      </c>
      <c r="C2933" t="s">
        <v>31</v>
      </c>
      <c r="D2933">
        <v>451</v>
      </c>
      <c r="E2933">
        <v>50</v>
      </c>
      <c r="F2933">
        <v>127.65</v>
      </c>
      <c r="G2933" t="s">
        <v>34</v>
      </c>
      <c r="H2933" s="1">
        <v>45504</v>
      </c>
      <c r="I2933" s="1">
        <v>45541</v>
      </c>
      <c r="J2933" t="s">
        <v>38</v>
      </c>
      <c r="K2933" t="b">
        <f>Table1[[#This Row],[CurrentStock]]&lt;Table1[[#This Row],[ReorderLevel]]</f>
        <v>0</v>
      </c>
      <c r="L2933" s="9">
        <f>Table1[[#This Row],[CurrentStock]]*Table1[[#This Row],[UnitPrice]]</f>
        <v>57570.15</v>
      </c>
      <c r="M2933" t="str">
        <f>IF(Table1[[#This Row],[ReorderLevel]]-Table1[[#This Row],[CurrentStock]]&gt;0,Table1[[#This Row],[ReorderLevel]]-Table1[[#This Row],[CurrentStock]],"")</f>
        <v/>
      </c>
      <c r="N2933" t="str">
        <f>IF(Table1[[#This Row],[CurrentStock]]&gt;Table1[[#This Row],[ReorderLevel]]*3,"Over Stock","Okay")</f>
        <v>Over Stock</v>
      </c>
      <c r="O2933" t="str">
        <f>IF(Table1[[#This Row],[CurrentStock]]&lt;Table1[[#This Row],[ReorderLevel]],"Reorder","Okay")</f>
        <v>Okay</v>
      </c>
    </row>
    <row r="2934" spans="1:15" x14ac:dyDescent="0.3">
      <c r="A2934">
        <v>49028</v>
      </c>
      <c r="B2934" t="s">
        <v>26</v>
      </c>
      <c r="C2934" t="s">
        <v>30</v>
      </c>
      <c r="D2934">
        <v>121</v>
      </c>
      <c r="E2934">
        <v>30</v>
      </c>
      <c r="F2934">
        <v>107.39</v>
      </c>
      <c r="G2934" t="s">
        <v>33</v>
      </c>
      <c r="H2934" s="1">
        <v>45381</v>
      </c>
      <c r="I2934" s="1">
        <v>45388</v>
      </c>
      <c r="J2934" t="s">
        <v>39</v>
      </c>
      <c r="K2934" t="b">
        <f>Table1[[#This Row],[CurrentStock]]&lt;Table1[[#This Row],[ReorderLevel]]</f>
        <v>0</v>
      </c>
      <c r="L2934" s="9">
        <f>Table1[[#This Row],[CurrentStock]]*Table1[[#This Row],[UnitPrice]]</f>
        <v>12994.19</v>
      </c>
      <c r="M2934" t="str">
        <f>IF(Table1[[#This Row],[ReorderLevel]]-Table1[[#This Row],[CurrentStock]]&gt;0,Table1[[#This Row],[ReorderLevel]]-Table1[[#This Row],[CurrentStock]],"")</f>
        <v/>
      </c>
      <c r="N2934" t="str">
        <f>IF(Table1[[#This Row],[CurrentStock]]&gt;Table1[[#This Row],[ReorderLevel]]*3,"Over Stock","Okay")</f>
        <v>Over Stock</v>
      </c>
      <c r="O2934" t="str">
        <f>IF(Table1[[#This Row],[CurrentStock]]&lt;Table1[[#This Row],[ReorderLevel]],"Reorder","Okay")</f>
        <v>Okay</v>
      </c>
    </row>
    <row r="2935" spans="1:15" x14ac:dyDescent="0.3">
      <c r="A2935">
        <v>90389</v>
      </c>
      <c r="B2935" t="s">
        <v>22</v>
      </c>
      <c r="C2935" t="s">
        <v>27</v>
      </c>
      <c r="D2935">
        <v>477</v>
      </c>
      <c r="E2935">
        <v>30</v>
      </c>
      <c r="F2935">
        <v>444.36</v>
      </c>
      <c r="G2935" t="s">
        <v>33</v>
      </c>
      <c r="H2935" s="1">
        <v>45373</v>
      </c>
      <c r="I2935" s="1">
        <v>45397</v>
      </c>
      <c r="J2935" t="s">
        <v>37</v>
      </c>
      <c r="K2935" t="b">
        <f>Table1[[#This Row],[CurrentStock]]&lt;Table1[[#This Row],[ReorderLevel]]</f>
        <v>0</v>
      </c>
      <c r="L2935" s="9">
        <f>Table1[[#This Row],[CurrentStock]]*Table1[[#This Row],[UnitPrice]]</f>
        <v>211959.72</v>
      </c>
      <c r="M2935" t="str">
        <f>IF(Table1[[#This Row],[ReorderLevel]]-Table1[[#This Row],[CurrentStock]]&gt;0,Table1[[#This Row],[ReorderLevel]]-Table1[[#This Row],[CurrentStock]],"")</f>
        <v/>
      </c>
      <c r="N2935" t="str">
        <f>IF(Table1[[#This Row],[CurrentStock]]&gt;Table1[[#This Row],[ReorderLevel]]*3,"Over Stock","Okay")</f>
        <v>Over Stock</v>
      </c>
      <c r="O2935" t="str">
        <f>IF(Table1[[#This Row],[CurrentStock]]&lt;Table1[[#This Row],[ReorderLevel]],"Reorder","Okay")</f>
        <v>Okay</v>
      </c>
    </row>
    <row r="2936" spans="1:15" x14ac:dyDescent="0.3">
      <c r="A2936">
        <v>86105</v>
      </c>
      <c r="B2936" t="s">
        <v>24</v>
      </c>
      <c r="C2936" t="s">
        <v>31</v>
      </c>
      <c r="D2936">
        <v>40</v>
      </c>
      <c r="E2936">
        <v>20</v>
      </c>
      <c r="F2936">
        <v>420.86</v>
      </c>
      <c r="G2936" t="s">
        <v>32</v>
      </c>
      <c r="H2936" s="1">
        <v>45462</v>
      </c>
      <c r="I2936" s="1">
        <v>45485</v>
      </c>
      <c r="J2936" t="s">
        <v>37</v>
      </c>
      <c r="K2936" t="b">
        <f>Table1[[#This Row],[CurrentStock]]&lt;Table1[[#This Row],[ReorderLevel]]</f>
        <v>0</v>
      </c>
      <c r="L2936" s="9">
        <f>Table1[[#This Row],[CurrentStock]]*Table1[[#This Row],[UnitPrice]]</f>
        <v>16834.400000000001</v>
      </c>
      <c r="M2936" t="str">
        <f>IF(Table1[[#This Row],[ReorderLevel]]-Table1[[#This Row],[CurrentStock]]&gt;0,Table1[[#This Row],[ReorderLevel]]-Table1[[#This Row],[CurrentStock]],"")</f>
        <v/>
      </c>
      <c r="N2936" t="str">
        <f>IF(Table1[[#This Row],[CurrentStock]]&gt;Table1[[#This Row],[ReorderLevel]]*3,"Over Stock","Okay")</f>
        <v>Okay</v>
      </c>
      <c r="O2936" t="str">
        <f>IF(Table1[[#This Row],[CurrentStock]]&lt;Table1[[#This Row],[ReorderLevel]],"Reorder","Okay")</f>
        <v>Okay</v>
      </c>
    </row>
    <row r="2937" spans="1:15" x14ac:dyDescent="0.3">
      <c r="A2937">
        <v>14174</v>
      </c>
      <c r="B2937" t="s">
        <v>18</v>
      </c>
      <c r="C2937" t="s">
        <v>28</v>
      </c>
      <c r="D2937">
        <v>270</v>
      </c>
      <c r="E2937">
        <v>100</v>
      </c>
      <c r="F2937">
        <v>82.23</v>
      </c>
      <c r="G2937" t="s">
        <v>34</v>
      </c>
      <c r="H2937" s="1">
        <v>45541</v>
      </c>
      <c r="I2937" s="1">
        <v>45551</v>
      </c>
      <c r="J2937" t="s">
        <v>39</v>
      </c>
      <c r="K2937" t="b">
        <f>Table1[[#This Row],[CurrentStock]]&lt;Table1[[#This Row],[ReorderLevel]]</f>
        <v>0</v>
      </c>
      <c r="L2937" s="9">
        <f>Table1[[#This Row],[CurrentStock]]*Table1[[#This Row],[UnitPrice]]</f>
        <v>22202.100000000002</v>
      </c>
      <c r="M2937" t="str">
        <f>IF(Table1[[#This Row],[ReorderLevel]]-Table1[[#This Row],[CurrentStock]]&gt;0,Table1[[#This Row],[ReorderLevel]]-Table1[[#This Row],[CurrentStock]],"")</f>
        <v/>
      </c>
      <c r="N2937" t="str">
        <f>IF(Table1[[#This Row],[CurrentStock]]&gt;Table1[[#This Row],[ReorderLevel]]*3,"Over Stock","Okay")</f>
        <v>Okay</v>
      </c>
      <c r="O2937" t="str">
        <f>IF(Table1[[#This Row],[CurrentStock]]&lt;Table1[[#This Row],[ReorderLevel]],"Reorder","Okay")</f>
        <v>Okay</v>
      </c>
    </row>
    <row r="2938" spans="1:15" x14ac:dyDescent="0.3">
      <c r="A2938">
        <v>41276</v>
      </c>
      <c r="B2938" t="s">
        <v>20</v>
      </c>
      <c r="C2938" t="s">
        <v>29</v>
      </c>
      <c r="D2938">
        <v>156</v>
      </c>
      <c r="E2938">
        <v>80</v>
      </c>
      <c r="F2938">
        <v>144.41999999999999</v>
      </c>
      <c r="G2938" t="s">
        <v>35</v>
      </c>
      <c r="H2938" s="1">
        <v>45613</v>
      </c>
      <c r="I2938" s="1">
        <v>45652</v>
      </c>
      <c r="J2938" t="s">
        <v>39</v>
      </c>
      <c r="K2938" t="b">
        <f>Table1[[#This Row],[CurrentStock]]&lt;Table1[[#This Row],[ReorderLevel]]</f>
        <v>0</v>
      </c>
      <c r="L2938" s="9">
        <f>Table1[[#This Row],[CurrentStock]]*Table1[[#This Row],[UnitPrice]]</f>
        <v>22529.519999999997</v>
      </c>
      <c r="M2938" t="str">
        <f>IF(Table1[[#This Row],[ReorderLevel]]-Table1[[#This Row],[CurrentStock]]&gt;0,Table1[[#This Row],[ReorderLevel]]-Table1[[#This Row],[CurrentStock]],"")</f>
        <v/>
      </c>
      <c r="N2938" t="str">
        <f>IF(Table1[[#This Row],[CurrentStock]]&gt;Table1[[#This Row],[ReorderLevel]]*3,"Over Stock","Okay")</f>
        <v>Okay</v>
      </c>
      <c r="O2938" t="str">
        <f>IF(Table1[[#This Row],[CurrentStock]]&lt;Table1[[#This Row],[ReorderLevel]],"Reorder","Okay")</f>
        <v>Okay</v>
      </c>
    </row>
    <row r="2939" spans="1:15" x14ac:dyDescent="0.3">
      <c r="A2939">
        <v>56312</v>
      </c>
      <c r="B2939" t="s">
        <v>15</v>
      </c>
      <c r="C2939" t="s">
        <v>29</v>
      </c>
      <c r="D2939">
        <v>228</v>
      </c>
      <c r="E2939">
        <v>30</v>
      </c>
      <c r="F2939">
        <v>59.26</v>
      </c>
      <c r="G2939" t="s">
        <v>36</v>
      </c>
      <c r="H2939" s="1">
        <v>45564</v>
      </c>
      <c r="I2939" s="1">
        <v>45571</v>
      </c>
      <c r="J2939" t="s">
        <v>38</v>
      </c>
      <c r="K2939" t="b">
        <f>Table1[[#This Row],[CurrentStock]]&lt;Table1[[#This Row],[ReorderLevel]]</f>
        <v>0</v>
      </c>
      <c r="L2939" s="9">
        <f>Table1[[#This Row],[CurrentStock]]*Table1[[#This Row],[UnitPrice]]</f>
        <v>13511.279999999999</v>
      </c>
      <c r="M2939" t="str">
        <f>IF(Table1[[#This Row],[ReorderLevel]]-Table1[[#This Row],[CurrentStock]]&gt;0,Table1[[#This Row],[ReorderLevel]]-Table1[[#This Row],[CurrentStock]],"")</f>
        <v/>
      </c>
      <c r="N2939" t="str">
        <f>IF(Table1[[#This Row],[CurrentStock]]&gt;Table1[[#This Row],[ReorderLevel]]*3,"Over Stock","Okay")</f>
        <v>Over Stock</v>
      </c>
      <c r="O2939" t="str">
        <f>IF(Table1[[#This Row],[CurrentStock]]&lt;Table1[[#This Row],[ReorderLevel]],"Reorder","Okay")</f>
        <v>Okay</v>
      </c>
    </row>
    <row r="2940" spans="1:15" x14ac:dyDescent="0.3">
      <c r="A2940">
        <v>12631</v>
      </c>
      <c r="B2940" t="s">
        <v>24</v>
      </c>
      <c r="C2940" t="s">
        <v>31</v>
      </c>
      <c r="D2940">
        <v>488</v>
      </c>
      <c r="E2940">
        <v>100</v>
      </c>
      <c r="F2940">
        <v>218.76</v>
      </c>
      <c r="G2940" t="s">
        <v>33</v>
      </c>
      <c r="H2940" s="1">
        <v>45513</v>
      </c>
      <c r="I2940" s="1">
        <v>45546</v>
      </c>
      <c r="J2940" t="s">
        <v>37</v>
      </c>
      <c r="K2940" t="b">
        <f>Table1[[#This Row],[CurrentStock]]&lt;Table1[[#This Row],[ReorderLevel]]</f>
        <v>0</v>
      </c>
      <c r="L2940" s="9">
        <f>Table1[[#This Row],[CurrentStock]]*Table1[[#This Row],[UnitPrice]]</f>
        <v>106754.87999999999</v>
      </c>
      <c r="M2940" t="str">
        <f>IF(Table1[[#This Row],[ReorderLevel]]-Table1[[#This Row],[CurrentStock]]&gt;0,Table1[[#This Row],[ReorderLevel]]-Table1[[#This Row],[CurrentStock]],"")</f>
        <v/>
      </c>
      <c r="N2940" t="str">
        <f>IF(Table1[[#This Row],[CurrentStock]]&gt;Table1[[#This Row],[ReorderLevel]]*3,"Over Stock","Okay")</f>
        <v>Over Stock</v>
      </c>
      <c r="O2940" t="str">
        <f>IF(Table1[[#This Row],[CurrentStock]]&lt;Table1[[#This Row],[ReorderLevel]],"Reorder","Okay")</f>
        <v>Okay</v>
      </c>
    </row>
    <row r="2941" spans="1:15" x14ac:dyDescent="0.3">
      <c r="A2941">
        <v>15599</v>
      </c>
      <c r="B2941" t="s">
        <v>20</v>
      </c>
      <c r="C2941" t="s">
        <v>29</v>
      </c>
      <c r="D2941">
        <v>156</v>
      </c>
      <c r="E2941">
        <v>80</v>
      </c>
      <c r="F2941">
        <v>486.45</v>
      </c>
      <c r="G2941" t="s">
        <v>36</v>
      </c>
      <c r="H2941" s="1">
        <v>45534</v>
      </c>
      <c r="I2941" s="1">
        <v>45572</v>
      </c>
      <c r="J2941" t="s">
        <v>39</v>
      </c>
      <c r="K2941" t="b">
        <f>Table1[[#This Row],[CurrentStock]]&lt;Table1[[#This Row],[ReorderLevel]]</f>
        <v>0</v>
      </c>
      <c r="L2941" s="9">
        <f>Table1[[#This Row],[CurrentStock]]*Table1[[#This Row],[UnitPrice]]</f>
        <v>75886.2</v>
      </c>
      <c r="M2941" t="str">
        <f>IF(Table1[[#This Row],[ReorderLevel]]-Table1[[#This Row],[CurrentStock]]&gt;0,Table1[[#This Row],[ReorderLevel]]-Table1[[#This Row],[CurrentStock]],"")</f>
        <v/>
      </c>
      <c r="N2941" t="str">
        <f>IF(Table1[[#This Row],[CurrentStock]]&gt;Table1[[#This Row],[ReorderLevel]]*3,"Over Stock","Okay")</f>
        <v>Okay</v>
      </c>
      <c r="O2941" t="str">
        <f>IF(Table1[[#This Row],[CurrentStock]]&lt;Table1[[#This Row],[ReorderLevel]],"Reorder","Okay")</f>
        <v>Okay</v>
      </c>
    </row>
    <row r="2942" spans="1:15" x14ac:dyDescent="0.3">
      <c r="A2942">
        <v>99084</v>
      </c>
      <c r="B2942" t="s">
        <v>16</v>
      </c>
      <c r="C2942" t="s">
        <v>30</v>
      </c>
      <c r="D2942">
        <v>442</v>
      </c>
      <c r="E2942">
        <v>20</v>
      </c>
      <c r="F2942">
        <v>367.73</v>
      </c>
      <c r="G2942" t="s">
        <v>35</v>
      </c>
      <c r="H2942" s="1">
        <v>45585</v>
      </c>
      <c r="I2942" s="1">
        <v>45590</v>
      </c>
      <c r="J2942" t="s">
        <v>38</v>
      </c>
      <c r="K2942" t="b">
        <f>Table1[[#This Row],[CurrentStock]]&lt;Table1[[#This Row],[ReorderLevel]]</f>
        <v>0</v>
      </c>
      <c r="L2942" s="9">
        <f>Table1[[#This Row],[CurrentStock]]*Table1[[#This Row],[UnitPrice]]</f>
        <v>162536.66</v>
      </c>
      <c r="M2942" t="str">
        <f>IF(Table1[[#This Row],[ReorderLevel]]-Table1[[#This Row],[CurrentStock]]&gt;0,Table1[[#This Row],[ReorderLevel]]-Table1[[#This Row],[CurrentStock]],"")</f>
        <v/>
      </c>
      <c r="N2942" t="str">
        <f>IF(Table1[[#This Row],[CurrentStock]]&gt;Table1[[#This Row],[ReorderLevel]]*3,"Over Stock","Okay")</f>
        <v>Over Stock</v>
      </c>
      <c r="O2942" t="str">
        <f>IF(Table1[[#This Row],[CurrentStock]]&lt;Table1[[#This Row],[ReorderLevel]],"Reorder","Okay")</f>
        <v>Okay</v>
      </c>
    </row>
    <row r="2943" spans="1:15" x14ac:dyDescent="0.3">
      <c r="A2943">
        <v>10767</v>
      </c>
      <c r="B2943" t="s">
        <v>10</v>
      </c>
      <c r="C2943" t="s">
        <v>27</v>
      </c>
      <c r="D2943">
        <v>360</v>
      </c>
      <c r="E2943">
        <v>80</v>
      </c>
      <c r="F2943">
        <v>273.69</v>
      </c>
      <c r="G2943" t="s">
        <v>36</v>
      </c>
      <c r="H2943" s="1">
        <v>45506</v>
      </c>
      <c r="I2943" s="1">
        <v>45541</v>
      </c>
      <c r="J2943" t="s">
        <v>37</v>
      </c>
      <c r="K2943" t="b">
        <f>Table1[[#This Row],[CurrentStock]]&lt;Table1[[#This Row],[ReorderLevel]]</f>
        <v>0</v>
      </c>
      <c r="L2943" s="9">
        <f>Table1[[#This Row],[CurrentStock]]*Table1[[#This Row],[UnitPrice]]</f>
        <v>98528.4</v>
      </c>
      <c r="M2943" t="str">
        <f>IF(Table1[[#This Row],[ReorderLevel]]-Table1[[#This Row],[CurrentStock]]&gt;0,Table1[[#This Row],[ReorderLevel]]-Table1[[#This Row],[CurrentStock]],"")</f>
        <v/>
      </c>
      <c r="N2943" t="str">
        <f>IF(Table1[[#This Row],[CurrentStock]]&gt;Table1[[#This Row],[ReorderLevel]]*3,"Over Stock","Okay")</f>
        <v>Over Stock</v>
      </c>
      <c r="O2943" t="str">
        <f>IF(Table1[[#This Row],[CurrentStock]]&lt;Table1[[#This Row],[ReorderLevel]],"Reorder","Okay")</f>
        <v>Okay</v>
      </c>
    </row>
    <row r="2944" spans="1:15" x14ac:dyDescent="0.3">
      <c r="A2944">
        <v>10744</v>
      </c>
      <c r="B2944" t="s">
        <v>16</v>
      </c>
      <c r="C2944" t="s">
        <v>30</v>
      </c>
      <c r="D2944">
        <v>185</v>
      </c>
      <c r="E2944">
        <v>30</v>
      </c>
      <c r="F2944">
        <v>79.14</v>
      </c>
      <c r="G2944" t="s">
        <v>34</v>
      </c>
      <c r="H2944" s="1">
        <v>45567</v>
      </c>
      <c r="I2944" s="1">
        <v>45584</v>
      </c>
      <c r="J2944" t="s">
        <v>37</v>
      </c>
      <c r="K2944" t="b">
        <f>Table1[[#This Row],[CurrentStock]]&lt;Table1[[#This Row],[ReorderLevel]]</f>
        <v>0</v>
      </c>
      <c r="L2944" s="9">
        <f>Table1[[#This Row],[CurrentStock]]*Table1[[#This Row],[UnitPrice]]</f>
        <v>14640.9</v>
      </c>
      <c r="M2944" t="str">
        <f>IF(Table1[[#This Row],[ReorderLevel]]-Table1[[#This Row],[CurrentStock]]&gt;0,Table1[[#This Row],[ReorderLevel]]-Table1[[#This Row],[CurrentStock]],"")</f>
        <v/>
      </c>
      <c r="N2944" t="str">
        <f>IF(Table1[[#This Row],[CurrentStock]]&gt;Table1[[#This Row],[ReorderLevel]]*3,"Over Stock","Okay")</f>
        <v>Over Stock</v>
      </c>
      <c r="O2944" t="str">
        <f>IF(Table1[[#This Row],[CurrentStock]]&lt;Table1[[#This Row],[ReorderLevel]],"Reorder","Okay")</f>
        <v>Okay</v>
      </c>
    </row>
    <row r="2945" spans="1:15" x14ac:dyDescent="0.3">
      <c r="A2945">
        <v>32319</v>
      </c>
      <c r="B2945" t="s">
        <v>15</v>
      </c>
      <c r="C2945" t="s">
        <v>29</v>
      </c>
      <c r="D2945">
        <v>65</v>
      </c>
      <c r="E2945">
        <v>100</v>
      </c>
      <c r="F2945">
        <v>300.2</v>
      </c>
      <c r="G2945" t="s">
        <v>34</v>
      </c>
      <c r="H2945" s="1">
        <v>45578</v>
      </c>
      <c r="I2945" s="1">
        <v>45586</v>
      </c>
      <c r="J2945" t="s">
        <v>39</v>
      </c>
      <c r="K2945" t="b">
        <f>Table1[[#This Row],[CurrentStock]]&lt;Table1[[#This Row],[ReorderLevel]]</f>
        <v>1</v>
      </c>
      <c r="L2945" s="9">
        <f>Table1[[#This Row],[CurrentStock]]*Table1[[#This Row],[UnitPrice]]</f>
        <v>19513</v>
      </c>
      <c r="M2945">
        <f>IF(Table1[[#This Row],[ReorderLevel]]-Table1[[#This Row],[CurrentStock]]&gt;0,Table1[[#This Row],[ReorderLevel]]-Table1[[#This Row],[CurrentStock]],"")</f>
        <v>35</v>
      </c>
      <c r="N2945" t="str">
        <f>IF(Table1[[#This Row],[CurrentStock]]&gt;Table1[[#This Row],[ReorderLevel]]*3,"Over Stock","Okay")</f>
        <v>Okay</v>
      </c>
      <c r="O2945" t="str">
        <f>IF(Table1[[#This Row],[CurrentStock]]&lt;Table1[[#This Row],[ReorderLevel]],"Reorder","Okay")</f>
        <v>Reorder</v>
      </c>
    </row>
    <row r="2946" spans="1:15" x14ac:dyDescent="0.3">
      <c r="A2946">
        <v>48474</v>
      </c>
      <c r="B2946" t="s">
        <v>12</v>
      </c>
      <c r="C2946" t="s">
        <v>28</v>
      </c>
      <c r="D2946">
        <v>332</v>
      </c>
      <c r="E2946">
        <v>80</v>
      </c>
      <c r="F2946">
        <v>261.58999999999997</v>
      </c>
      <c r="G2946" t="s">
        <v>33</v>
      </c>
      <c r="H2946" s="1">
        <v>45616</v>
      </c>
      <c r="I2946" s="1">
        <v>45634</v>
      </c>
      <c r="J2946" t="s">
        <v>37</v>
      </c>
      <c r="K2946" t="b">
        <f>Table1[[#This Row],[CurrentStock]]&lt;Table1[[#This Row],[ReorderLevel]]</f>
        <v>0</v>
      </c>
      <c r="L2946" s="9">
        <f>Table1[[#This Row],[CurrentStock]]*Table1[[#This Row],[UnitPrice]]</f>
        <v>86847.87999999999</v>
      </c>
      <c r="M2946" t="str">
        <f>IF(Table1[[#This Row],[ReorderLevel]]-Table1[[#This Row],[CurrentStock]]&gt;0,Table1[[#This Row],[ReorderLevel]]-Table1[[#This Row],[CurrentStock]],"")</f>
        <v/>
      </c>
      <c r="N2946" t="str">
        <f>IF(Table1[[#This Row],[CurrentStock]]&gt;Table1[[#This Row],[ReorderLevel]]*3,"Over Stock","Okay")</f>
        <v>Over Stock</v>
      </c>
      <c r="O2946" t="str">
        <f>IF(Table1[[#This Row],[CurrentStock]]&lt;Table1[[#This Row],[ReorderLevel]],"Reorder","Okay")</f>
        <v>Okay</v>
      </c>
    </row>
    <row r="2947" spans="1:15" x14ac:dyDescent="0.3">
      <c r="A2947">
        <v>29189</v>
      </c>
      <c r="B2947" t="s">
        <v>25</v>
      </c>
      <c r="C2947" t="s">
        <v>31</v>
      </c>
      <c r="D2947">
        <v>237</v>
      </c>
      <c r="E2947">
        <v>20</v>
      </c>
      <c r="F2947">
        <v>200.05</v>
      </c>
      <c r="G2947" t="s">
        <v>35</v>
      </c>
      <c r="H2947" s="1">
        <v>45613</v>
      </c>
      <c r="I2947" s="1">
        <v>45644</v>
      </c>
      <c r="J2947" t="s">
        <v>38</v>
      </c>
      <c r="K2947" t="b">
        <f>Table1[[#This Row],[CurrentStock]]&lt;Table1[[#This Row],[ReorderLevel]]</f>
        <v>0</v>
      </c>
      <c r="L2947" s="9">
        <f>Table1[[#This Row],[CurrentStock]]*Table1[[#This Row],[UnitPrice]]</f>
        <v>47411.850000000006</v>
      </c>
      <c r="M2947" t="str">
        <f>IF(Table1[[#This Row],[ReorderLevel]]-Table1[[#This Row],[CurrentStock]]&gt;0,Table1[[#This Row],[ReorderLevel]]-Table1[[#This Row],[CurrentStock]],"")</f>
        <v/>
      </c>
      <c r="N2947" t="str">
        <f>IF(Table1[[#This Row],[CurrentStock]]&gt;Table1[[#This Row],[ReorderLevel]]*3,"Over Stock","Okay")</f>
        <v>Over Stock</v>
      </c>
      <c r="O2947" t="str">
        <f>IF(Table1[[#This Row],[CurrentStock]]&lt;Table1[[#This Row],[ReorderLevel]],"Reorder","Okay")</f>
        <v>Okay</v>
      </c>
    </row>
    <row r="2948" spans="1:15" x14ac:dyDescent="0.3">
      <c r="A2948">
        <v>61544</v>
      </c>
      <c r="B2948" t="s">
        <v>10</v>
      </c>
      <c r="C2948" t="s">
        <v>27</v>
      </c>
      <c r="D2948">
        <v>205</v>
      </c>
      <c r="E2948">
        <v>40</v>
      </c>
      <c r="F2948">
        <v>114.03</v>
      </c>
      <c r="G2948" t="s">
        <v>33</v>
      </c>
      <c r="H2948" s="1">
        <v>45486</v>
      </c>
      <c r="I2948" s="1">
        <v>45503</v>
      </c>
      <c r="J2948" t="s">
        <v>37</v>
      </c>
      <c r="K2948" t="b">
        <f>Table1[[#This Row],[CurrentStock]]&lt;Table1[[#This Row],[ReorderLevel]]</f>
        <v>0</v>
      </c>
      <c r="L2948" s="9">
        <f>Table1[[#This Row],[CurrentStock]]*Table1[[#This Row],[UnitPrice]]</f>
        <v>23376.15</v>
      </c>
      <c r="M2948" t="str">
        <f>IF(Table1[[#This Row],[ReorderLevel]]-Table1[[#This Row],[CurrentStock]]&gt;0,Table1[[#This Row],[ReorderLevel]]-Table1[[#This Row],[CurrentStock]],"")</f>
        <v/>
      </c>
      <c r="N2948" t="str">
        <f>IF(Table1[[#This Row],[CurrentStock]]&gt;Table1[[#This Row],[ReorderLevel]]*3,"Over Stock","Okay")</f>
        <v>Over Stock</v>
      </c>
      <c r="O2948" t="str">
        <f>IF(Table1[[#This Row],[CurrentStock]]&lt;Table1[[#This Row],[ReorderLevel]],"Reorder","Okay")</f>
        <v>Okay</v>
      </c>
    </row>
    <row r="2949" spans="1:15" x14ac:dyDescent="0.3">
      <c r="A2949">
        <v>45016</v>
      </c>
      <c r="B2949" t="s">
        <v>16</v>
      </c>
      <c r="C2949" t="s">
        <v>30</v>
      </c>
      <c r="D2949">
        <v>452</v>
      </c>
      <c r="E2949">
        <v>30</v>
      </c>
      <c r="F2949">
        <v>251.32</v>
      </c>
      <c r="G2949" t="s">
        <v>36</v>
      </c>
      <c r="H2949" s="1">
        <v>45448</v>
      </c>
      <c r="I2949" s="1">
        <v>45456</v>
      </c>
      <c r="J2949" t="s">
        <v>38</v>
      </c>
      <c r="K2949" t="b">
        <f>Table1[[#This Row],[CurrentStock]]&lt;Table1[[#This Row],[ReorderLevel]]</f>
        <v>0</v>
      </c>
      <c r="L2949" s="9">
        <f>Table1[[#This Row],[CurrentStock]]*Table1[[#This Row],[UnitPrice]]</f>
        <v>113596.64</v>
      </c>
      <c r="M2949" t="str">
        <f>IF(Table1[[#This Row],[ReorderLevel]]-Table1[[#This Row],[CurrentStock]]&gt;0,Table1[[#This Row],[ReorderLevel]]-Table1[[#This Row],[CurrentStock]],"")</f>
        <v/>
      </c>
      <c r="N2949" t="str">
        <f>IF(Table1[[#This Row],[CurrentStock]]&gt;Table1[[#This Row],[ReorderLevel]]*3,"Over Stock","Okay")</f>
        <v>Over Stock</v>
      </c>
      <c r="O2949" t="str">
        <f>IF(Table1[[#This Row],[CurrentStock]]&lt;Table1[[#This Row],[ReorderLevel]],"Reorder","Okay")</f>
        <v>Okay</v>
      </c>
    </row>
    <row r="2950" spans="1:15" x14ac:dyDescent="0.3">
      <c r="A2950">
        <v>41052</v>
      </c>
      <c r="B2950" t="s">
        <v>21</v>
      </c>
      <c r="C2950" t="s">
        <v>31</v>
      </c>
      <c r="D2950">
        <v>195</v>
      </c>
      <c r="E2950">
        <v>80</v>
      </c>
      <c r="F2950">
        <v>375.36</v>
      </c>
      <c r="G2950" t="s">
        <v>33</v>
      </c>
      <c r="H2950" s="1">
        <v>45651</v>
      </c>
      <c r="I2950" s="1">
        <v>45687</v>
      </c>
      <c r="J2950" t="s">
        <v>38</v>
      </c>
      <c r="K2950" t="b">
        <f>Table1[[#This Row],[CurrentStock]]&lt;Table1[[#This Row],[ReorderLevel]]</f>
        <v>0</v>
      </c>
      <c r="L2950" s="9">
        <f>Table1[[#This Row],[CurrentStock]]*Table1[[#This Row],[UnitPrice]]</f>
        <v>73195.199999999997</v>
      </c>
      <c r="M2950" t="str">
        <f>IF(Table1[[#This Row],[ReorderLevel]]-Table1[[#This Row],[CurrentStock]]&gt;0,Table1[[#This Row],[ReorderLevel]]-Table1[[#This Row],[CurrentStock]],"")</f>
        <v/>
      </c>
      <c r="N2950" t="str">
        <f>IF(Table1[[#This Row],[CurrentStock]]&gt;Table1[[#This Row],[ReorderLevel]]*3,"Over Stock","Okay")</f>
        <v>Okay</v>
      </c>
      <c r="O2950" t="str">
        <f>IF(Table1[[#This Row],[CurrentStock]]&lt;Table1[[#This Row],[ReorderLevel]],"Reorder","Okay")</f>
        <v>Okay</v>
      </c>
    </row>
    <row r="2951" spans="1:15" x14ac:dyDescent="0.3">
      <c r="A2951">
        <v>13763</v>
      </c>
      <c r="B2951" t="s">
        <v>16</v>
      </c>
      <c r="C2951" t="s">
        <v>30</v>
      </c>
      <c r="D2951">
        <v>411</v>
      </c>
      <c r="E2951">
        <v>100</v>
      </c>
      <c r="F2951">
        <v>27.32</v>
      </c>
      <c r="G2951" t="s">
        <v>35</v>
      </c>
      <c r="H2951" s="1">
        <v>45379</v>
      </c>
      <c r="I2951" s="1">
        <v>45400</v>
      </c>
      <c r="J2951" t="s">
        <v>37</v>
      </c>
      <c r="K2951" t="b">
        <f>Table1[[#This Row],[CurrentStock]]&lt;Table1[[#This Row],[ReorderLevel]]</f>
        <v>0</v>
      </c>
      <c r="L2951" s="9">
        <f>Table1[[#This Row],[CurrentStock]]*Table1[[#This Row],[UnitPrice]]</f>
        <v>11228.52</v>
      </c>
      <c r="M2951" t="str">
        <f>IF(Table1[[#This Row],[ReorderLevel]]-Table1[[#This Row],[CurrentStock]]&gt;0,Table1[[#This Row],[ReorderLevel]]-Table1[[#This Row],[CurrentStock]],"")</f>
        <v/>
      </c>
      <c r="N2951" t="str">
        <f>IF(Table1[[#This Row],[CurrentStock]]&gt;Table1[[#This Row],[ReorderLevel]]*3,"Over Stock","Okay")</f>
        <v>Over Stock</v>
      </c>
      <c r="O2951" t="str">
        <f>IF(Table1[[#This Row],[CurrentStock]]&lt;Table1[[#This Row],[ReorderLevel]],"Reorder","Okay")</f>
        <v>Okay</v>
      </c>
    </row>
    <row r="2952" spans="1:15" x14ac:dyDescent="0.3">
      <c r="A2952">
        <v>86323</v>
      </c>
      <c r="B2952" t="s">
        <v>10</v>
      </c>
      <c r="C2952" t="s">
        <v>27</v>
      </c>
      <c r="D2952">
        <v>437</v>
      </c>
      <c r="E2952">
        <v>150</v>
      </c>
      <c r="F2952">
        <v>334.27</v>
      </c>
      <c r="G2952" t="s">
        <v>33</v>
      </c>
      <c r="H2952" s="1">
        <v>45313</v>
      </c>
      <c r="I2952" s="1">
        <v>45322</v>
      </c>
      <c r="J2952" t="s">
        <v>37</v>
      </c>
      <c r="K2952" t="b">
        <f>Table1[[#This Row],[CurrentStock]]&lt;Table1[[#This Row],[ReorderLevel]]</f>
        <v>0</v>
      </c>
      <c r="L2952" s="9">
        <f>Table1[[#This Row],[CurrentStock]]*Table1[[#This Row],[UnitPrice]]</f>
        <v>146075.99</v>
      </c>
      <c r="M2952" t="str">
        <f>IF(Table1[[#This Row],[ReorderLevel]]-Table1[[#This Row],[CurrentStock]]&gt;0,Table1[[#This Row],[ReorderLevel]]-Table1[[#This Row],[CurrentStock]],"")</f>
        <v/>
      </c>
      <c r="N2952" t="str">
        <f>IF(Table1[[#This Row],[CurrentStock]]&gt;Table1[[#This Row],[ReorderLevel]]*3,"Over Stock","Okay")</f>
        <v>Okay</v>
      </c>
      <c r="O2952" t="str">
        <f>IF(Table1[[#This Row],[CurrentStock]]&lt;Table1[[#This Row],[ReorderLevel]],"Reorder","Okay")</f>
        <v>Okay</v>
      </c>
    </row>
    <row r="2953" spans="1:15" x14ac:dyDescent="0.3">
      <c r="A2953">
        <v>27678</v>
      </c>
      <c r="B2953" t="s">
        <v>19</v>
      </c>
      <c r="C2953" t="s">
        <v>28</v>
      </c>
      <c r="D2953">
        <v>175</v>
      </c>
      <c r="E2953">
        <v>100</v>
      </c>
      <c r="F2953">
        <v>336.53</v>
      </c>
      <c r="G2953" t="s">
        <v>33</v>
      </c>
      <c r="H2953" s="1">
        <v>45537</v>
      </c>
      <c r="I2953" s="1">
        <v>45576</v>
      </c>
      <c r="J2953" t="s">
        <v>39</v>
      </c>
      <c r="K2953" t="b">
        <f>Table1[[#This Row],[CurrentStock]]&lt;Table1[[#This Row],[ReorderLevel]]</f>
        <v>0</v>
      </c>
      <c r="L2953" s="9">
        <f>Table1[[#This Row],[CurrentStock]]*Table1[[#This Row],[UnitPrice]]</f>
        <v>58892.749999999993</v>
      </c>
      <c r="M2953" t="str">
        <f>IF(Table1[[#This Row],[ReorderLevel]]-Table1[[#This Row],[CurrentStock]]&gt;0,Table1[[#This Row],[ReorderLevel]]-Table1[[#This Row],[CurrentStock]],"")</f>
        <v/>
      </c>
      <c r="N2953" t="str">
        <f>IF(Table1[[#This Row],[CurrentStock]]&gt;Table1[[#This Row],[ReorderLevel]]*3,"Over Stock","Okay")</f>
        <v>Okay</v>
      </c>
      <c r="O2953" t="str">
        <f>IF(Table1[[#This Row],[CurrentStock]]&lt;Table1[[#This Row],[ReorderLevel]],"Reorder","Okay")</f>
        <v>Okay</v>
      </c>
    </row>
    <row r="2954" spans="1:15" x14ac:dyDescent="0.3">
      <c r="A2954">
        <v>61556</v>
      </c>
      <c r="B2954" t="s">
        <v>26</v>
      </c>
      <c r="C2954" t="s">
        <v>30</v>
      </c>
      <c r="D2954">
        <v>35</v>
      </c>
      <c r="E2954">
        <v>40</v>
      </c>
      <c r="F2954">
        <v>445.51</v>
      </c>
      <c r="G2954" t="s">
        <v>32</v>
      </c>
      <c r="H2954" s="1">
        <v>45573</v>
      </c>
      <c r="I2954" s="1">
        <v>45598</v>
      </c>
      <c r="J2954" t="s">
        <v>37</v>
      </c>
      <c r="K2954" t="b">
        <f>Table1[[#This Row],[CurrentStock]]&lt;Table1[[#This Row],[ReorderLevel]]</f>
        <v>1</v>
      </c>
      <c r="L2954" s="9">
        <f>Table1[[#This Row],[CurrentStock]]*Table1[[#This Row],[UnitPrice]]</f>
        <v>15592.85</v>
      </c>
      <c r="M2954">
        <f>IF(Table1[[#This Row],[ReorderLevel]]-Table1[[#This Row],[CurrentStock]]&gt;0,Table1[[#This Row],[ReorderLevel]]-Table1[[#This Row],[CurrentStock]],"")</f>
        <v>5</v>
      </c>
      <c r="N2954" t="str">
        <f>IF(Table1[[#This Row],[CurrentStock]]&gt;Table1[[#This Row],[ReorderLevel]]*3,"Over Stock","Okay")</f>
        <v>Okay</v>
      </c>
      <c r="O2954" t="str">
        <f>IF(Table1[[#This Row],[CurrentStock]]&lt;Table1[[#This Row],[ReorderLevel]],"Reorder","Okay")</f>
        <v>Reorder</v>
      </c>
    </row>
    <row r="2955" spans="1:15" x14ac:dyDescent="0.3">
      <c r="A2955">
        <v>81678</v>
      </c>
      <c r="B2955" t="s">
        <v>26</v>
      </c>
      <c r="C2955" t="s">
        <v>30</v>
      </c>
      <c r="D2955">
        <v>272</v>
      </c>
      <c r="E2955">
        <v>20</v>
      </c>
      <c r="F2955">
        <v>60.75</v>
      </c>
      <c r="G2955" t="s">
        <v>34</v>
      </c>
      <c r="H2955" s="1">
        <v>45315</v>
      </c>
      <c r="I2955" s="1">
        <v>45352</v>
      </c>
      <c r="J2955" t="s">
        <v>37</v>
      </c>
      <c r="K2955" t="b">
        <f>Table1[[#This Row],[CurrentStock]]&lt;Table1[[#This Row],[ReorderLevel]]</f>
        <v>0</v>
      </c>
      <c r="L2955" s="9">
        <f>Table1[[#This Row],[CurrentStock]]*Table1[[#This Row],[UnitPrice]]</f>
        <v>16524</v>
      </c>
      <c r="M2955" t="str">
        <f>IF(Table1[[#This Row],[ReorderLevel]]-Table1[[#This Row],[CurrentStock]]&gt;0,Table1[[#This Row],[ReorderLevel]]-Table1[[#This Row],[CurrentStock]],"")</f>
        <v/>
      </c>
      <c r="N2955" t="str">
        <f>IF(Table1[[#This Row],[CurrentStock]]&gt;Table1[[#This Row],[ReorderLevel]]*3,"Over Stock","Okay")</f>
        <v>Over Stock</v>
      </c>
      <c r="O2955" t="str">
        <f>IF(Table1[[#This Row],[CurrentStock]]&lt;Table1[[#This Row],[ReorderLevel]],"Reorder","Okay")</f>
        <v>Okay</v>
      </c>
    </row>
    <row r="2956" spans="1:15" x14ac:dyDescent="0.3">
      <c r="A2956">
        <v>79963</v>
      </c>
      <c r="B2956" t="s">
        <v>25</v>
      </c>
      <c r="C2956" t="s">
        <v>31</v>
      </c>
      <c r="D2956">
        <v>122</v>
      </c>
      <c r="E2956">
        <v>100</v>
      </c>
      <c r="F2956">
        <v>382.16</v>
      </c>
      <c r="G2956" t="s">
        <v>36</v>
      </c>
      <c r="H2956" s="1">
        <v>45460</v>
      </c>
      <c r="I2956" s="1">
        <v>45487</v>
      </c>
      <c r="J2956" t="s">
        <v>37</v>
      </c>
      <c r="K2956" t="b">
        <f>Table1[[#This Row],[CurrentStock]]&lt;Table1[[#This Row],[ReorderLevel]]</f>
        <v>0</v>
      </c>
      <c r="L2956" s="9">
        <f>Table1[[#This Row],[CurrentStock]]*Table1[[#This Row],[UnitPrice]]</f>
        <v>46623.520000000004</v>
      </c>
      <c r="M2956" t="str">
        <f>IF(Table1[[#This Row],[ReorderLevel]]-Table1[[#This Row],[CurrentStock]]&gt;0,Table1[[#This Row],[ReorderLevel]]-Table1[[#This Row],[CurrentStock]],"")</f>
        <v/>
      </c>
      <c r="N2956" t="str">
        <f>IF(Table1[[#This Row],[CurrentStock]]&gt;Table1[[#This Row],[ReorderLevel]]*3,"Over Stock","Okay")</f>
        <v>Okay</v>
      </c>
      <c r="O2956" t="str">
        <f>IF(Table1[[#This Row],[CurrentStock]]&lt;Table1[[#This Row],[ReorderLevel]],"Reorder","Okay")</f>
        <v>Okay</v>
      </c>
    </row>
    <row r="2957" spans="1:15" x14ac:dyDescent="0.3">
      <c r="A2957">
        <v>37146</v>
      </c>
      <c r="B2957" t="s">
        <v>17</v>
      </c>
      <c r="C2957" t="s">
        <v>30</v>
      </c>
      <c r="D2957">
        <v>336</v>
      </c>
      <c r="E2957">
        <v>100</v>
      </c>
      <c r="F2957">
        <v>103.27</v>
      </c>
      <c r="G2957" t="s">
        <v>34</v>
      </c>
      <c r="H2957" s="1">
        <v>45555</v>
      </c>
      <c r="I2957" s="1">
        <v>45577</v>
      </c>
      <c r="J2957" t="s">
        <v>38</v>
      </c>
      <c r="K2957" t="b">
        <f>Table1[[#This Row],[CurrentStock]]&lt;Table1[[#This Row],[ReorderLevel]]</f>
        <v>0</v>
      </c>
      <c r="L2957" s="9">
        <f>Table1[[#This Row],[CurrentStock]]*Table1[[#This Row],[UnitPrice]]</f>
        <v>34698.720000000001</v>
      </c>
      <c r="M2957" t="str">
        <f>IF(Table1[[#This Row],[ReorderLevel]]-Table1[[#This Row],[CurrentStock]]&gt;0,Table1[[#This Row],[ReorderLevel]]-Table1[[#This Row],[CurrentStock]],"")</f>
        <v/>
      </c>
      <c r="N2957" t="str">
        <f>IF(Table1[[#This Row],[CurrentStock]]&gt;Table1[[#This Row],[ReorderLevel]]*3,"Over Stock","Okay")</f>
        <v>Over Stock</v>
      </c>
      <c r="O2957" t="str">
        <f>IF(Table1[[#This Row],[CurrentStock]]&lt;Table1[[#This Row],[ReorderLevel]],"Reorder","Okay")</f>
        <v>Okay</v>
      </c>
    </row>
    <row r="2958" spans="1:15" x14ac:dyDescent="0.3">
      <c r="A2958">
        <v>34783</v>
      </c>
      <c r="B2958" t="s">
        <v>21</v>
      </c>
      <c r="C2958" t="s">
        <v>31</v>
      </c>
      <c r="D2958">
        <v>238</v>
      </c>
      <c r="E2958">
        <v>100</v>
      </c>
      <c r="F2958">
        <v>28.71</v>
      </c>
      <c r="G2958" t="s">
        <v>34</v>
      </c>
      <c r="H2958" s="1">
        <v>45378</v>
      </c>
      <c r="I2958" s="1">
        <v>45410</v>
      </c>
      <c r="J2958" t="s">
        <v>39</v>
      </c>
      <c r="K2958" t="b">
        <f>Table1[[#This Row],[CurrentStock]]&lt;Table1[[#This Row],[ReorderLevel]]</f>
        <v>0</v>
      </c>
      <c r="L2958" s="9">
        <f>Table1[[#This Row],[CurrentStock]]*Table1[[#This Row],[UnitPrice]]</f>
        <v>6832.9800000000005</v>
      </c>
      <c r="M2958" t="str">
        <f>IF(Table1[[#This Row],[ReorderLevel]]-Table1[[#This Row],[CurrentStock]]&gt;0,Table1[[#This Row],[ReorderLevel]]-Table1[[#This Row],[CurrentStock]],"")</f>
        <v/>
      </c>
      <c r="N2958" t="str">
        <f>IF(Table1[[#This Row],[CurrentStock]]&gt;Table1[[#This Row],[ReorderLevel]]*3,"Over Stock","Okay")</f>
        <v>Okay</v>
      </c>
      <c r="O2958" t="str">
        <f>IF(Table1[[#This Row],[CurrentStock]]&lt;Table1[[#This Row],[ReorderLevel]],"Reorder","Okay")</f>
        <v>Okay</v>
      </c>
    </row>
    <row r="2959" spans="1:15" x14ac:dyDescent="0.3">
      <c r="A2959">
        <v>23796</v>
      </c>
      <c r="B2959" t="s">
        <v>16</v>
      </c>
      <c r="C2959" t="s">
        <v>30</v>
      </c>
      <c r="D2959">
        <v>151</v>
      </c>
      <c r="E2959">
        <v>50</v>
      </c>
      <c r="F2959">
        <v>365.96</v>
      </c>
      <c r="G2959" t="s">
        <v>32</v>
      </c>
      <c r="H2959" s="1">
        <v>45452</v>
      </c>
      <c r="I2959" s="1">
        <v>45458</v>
      </c>
      <c r="J2959" t="s">
        <v>38</v>
      </c>
      <c r="K2959" t="b">
        <f>Table1[[#This Row],[CurrentStock]]&lt;Table1[[#This Row],[ReorderLevel]]</f>
        <v>0</v>
      </c>
      <c r="L2959" s="9">
        <f>Table1[[#This Row],[CurrentStock]]*Table1[[#This Row],[UnitPrice]]</f>
        <v>55259.96</v>
      </c>
      <c r="M2959" t="str">
        <f>IF(Table1[[#This Row],[ReorderLevel]]-Table1[[#This Row],[CurrentStock]]&gt;0,Table1[[#This Row],[ReorderLevel]]-Table1[[#This Row],[CurrentStock]],"")</f>
        <v/>
      </c>
      <c r="N2959" t="str">
        <f>IF(Table1[[#This Row],[CurrentStock]]&gt;Table1[[#This Row],[ReorderLevel]]*3,"Over Stock","Okay")</f>
        <v>Over Stock</v>
      </c>
      <c r="O2959" t="str">
        <f>IF(Table1[[#This Row],[CurrentStock]]&lt;Table1[[#This Row],[ReorderLevel]],"Reorder","Okay")</f>
        <v>Okay</v>
      </c>
    </row>
    <row r="2960" spans="1:15" x14ac:dyDescent="0.3">
      <c r="A2960">
        <v>24743</v>
      </c>
      <c r="B2960" t="s">
        <v>19</v>
      </c>
      <c r="C2960" t="s">
        <v>28</v>
      </c>
      <c r="D2960">
        <v>283</v>
      </c>
      <c r="E2960">
        <v>30</v>
      </c>
      <c r="F2960">
        <v>246.95</v>
      </c>
      <c r="G2960" t="s">
        <v>34</v>
      </c>
      <c r="H2960" s="1">
        <v>45447</v>
      </c>
      <c r="I2960" s="1">
        <v>45460</v>
      </c>
      <c r="J2960" t="s">
        <v>37</v>
      </c>
      <c r="K2960" t="b">
        <f>Table1[[#This Row],[CurrentStock]]&lt;Table1[[#This Row],[ReorderLevel]]</f>
        <v>0</v>
      </c>
      <c r="L2960" s="9">
        <f>Table1[[#This Row],[CurrentStock]]*Table1[[#This Row],[UnitPrice]]</f>
        <v>69886.849999999991</v>
      </c>
      <c r="M2960" t="str">
        <f>IF(Table1[[#This Row],[ReorderLevel]]-Table1[[#This Row],[CurrentStock]]&gt;0,Table1[[#This Row],[ReorderLevel]]-Table1[[#This Row],[CurrentStock]],"")</f>
        <v/>
      </c>
      <c r="N2960" t="str">
        <f>IF(Table1[[#This Row],[CurrentStock]]&gt;Table1[[#This Row],[ReorderLevel]]*3,"Over Stock","Okay")</f>
        <v>Over Stock</v>
      </c>
      <c r="O2960" t="str">
        <f>IF(Table1[[#This Row],[CurrentStock]]&lt;Table1[[#This Row],[ReorderLevel]],"Reorder","Okay")</f>
        <v>Okay</v>
      </c>
    </row>
    <row r="2961" spans="1:15" x14ac:dyDescent="0.3">
      <c r="A2961">
        <v>99403</v>
      </c>
      <c r="B2961" t="s">
        <v>19</v>
      </c>
      <c r="C2961" t="s">
        <v>28</v>
      </c>
      <c r="D2961">
        <v>303</v>
      </c>
      <c r="E2961">
        <v>100</v>
      </c>
      <c r="F2961">
        <v>256.25</v>
      </c>
      <c r="G2961" t="s">
        <v>36</v>
      </c>
      <c r="H2961" s="1">
        <v>45330</v>
      </c>
      <c r="I2961" s="1">
        <v>45359</v>
      </c>
      <c r="J2961" t="s">
        <v>39</v>
      </c>
      <c r="K2961" t="b">
        <f>Table1[[#This Row],[CurrentStock]]&lt;Table1[[#This Row],[ReorderLevel]]</f>
        <v>0</v>
      </c>
      <c r="L2961" s="9">
        <f>Table1[[#This Row],[CurrentStock]]*Table1[[#This Row],[UnitPrice]]</f>
        <v>77643.75</v>
      </c>
      <c r="M2961" t="str">
        <f>IF(Table1[[#This Row],[ReorderLevel]]-Table1[[#This Row],[CurrentStock]]&gt;0,Table1[[#This Row],[ReorderLevel]]-Table1[[#This Row],[CurrentStock]],"")</f>
        <v/>
      </c>
      <c r="N2961" t="str">
        <f>IF(Table1[[#This Row],[CurrentStock]]&gt;Table1[[#This Row],[ReorderLevel]]*3,"Over Stock","Okay")</f>
        <v>Over Stock</v>
      </c>
      <c r="O2961" t="str">
        <f>IF(Table1[[#This Row],[CurrentStock]]&lt;Table1[[#This Row],[ReorderLevel]],"Reorder","Okay")</f>
        <v>Okay</v>
      </c>
    </row>
    <row r="2962" spans="1:15" x14ac:dyDescent="0.3">
      <c r="A2962">
        <v>43390</v>
      </c>
      <c r="B2962" t="s">
        <v>25</v>
      </c>
      <c r="C2962" t="s">
        <v>31</v>
      </c>
      <c r="D2962">
        <v>481</v>
      </c>
      <c r="E2962">
        <v>80</v>
      </c>
      <c r="F2962">
        <v>124.17</v>
      </c>
      <c r="G2962" t="s">
        <v>35</v>
      </c>
      <c r="H2962" s="1">
        <v>45544</v>
      </c>
      <c r="I2962" s="1">
        <v>45575</v>
      </c>
      <c r="J2962" t="s">
        <v>39</v>
      </c>
      <c r="K2962" t="b">
        <f>Table1[[#This Row],[CurrentStock]]&lt;Table1[[#This Row],[ReorderLevel]]</f>
        <v>0</v>
      </c>
      <c r="L2962" s="9">
        <f>Table1[[#This Row],[CurrentStock]]*Table1[[#This Row],[UnitPrice]]</f>
        <v>59725.770000000004</v>
      </c>
      <c r="M2962" t="str">
        <f>IF(Table1[[#This Row],[ReorderLevel]]-Table1[[#This Row],[CurrentStock]]&gt;0,Table1[[#This Row],[ReorderLevel]]-Table1[[#This Row],[CurrentStock]],"")</f>
        <v/>
      </c>
      <c r="N2962" t="str">
        <f>IF(Table1[[#This Row],[CurrentStock]]&gt;Table1[[#This Row],[ReorderLevel]]*3,"Over Stock","Okay")</f>
        <v>Over Stock</v>
      </c>
      <c r="O2962" t="str">
        <f>IF(Table1[[#This Row],[CurrentStock]]&lt;Table1[[#This Row],[ReorderLevel]],"Reorder","Okay")</f>
        <v>Okay</v>
      </c>
    </row>
    <row r="2963" spans="1:15" x14ac:dyDescent="0.3">
      <c r="A2963">
        <v>96224</v>
      </c>
      <c r="B2963" t="s">
        <v>10</v>
      </c>
      <c r="C2963" t="s">
        <v>27</v>
      </c>
      <c r="D2963">
        <v>488</v>
      </c>
      <c r="E2963">
        <v>40</v>
      </c>
      <c r="F2963">
        <v>93.17</v>
      </c>
      <c r="G2963" t="s">
        <v>36</v>
      </c>
      <c r="H2963" s="1">
        <v>45570</v>
      </c>
      <c r="I2963" s="1">
        <v>45581</v>
      </c>
      <c r="J2963" t="s">
        <v>38</v>
      </c>
      <c r="K2963" t="b">
        <f>Table1[[#This Row],[CurrentStock]]&lt;Table1[[#This Row],[ReorderLevel]]</f>
        <v>0</v>
      </c>
      <c r="L2963" s="9">
        <f>Table1[[#This Row],[CurrentStock]]*Table1[[#This Row],[UnitPrice]]</f>
        <v>45466.96</v>
      </c>
      <c r="M2963" t="str">
        <f>IF(Table1[[#This Row],[ReorderLevel]]-Table1[[#This Row],[CurrentStock]]&gt;0,Table1[[#This Row],[ReorderLevel]]-Table1[[#This Row],[CurrentStock]],"")</f>
        <v/>
      </c>
      <c r="N2963" t="str">
        <f>IF(Table1[[#This Row],[CurrentStock]]&gt;Table1[[#This Row],[ReorderLevel]]*3,"Over Stock","Okay")</f>
        <v>Over Stock</v>
      </c>
      <c r="O2963" t="str">
        <f>IF(Table1[[#This Row],[CurrentStock]]&lt;Table1[[#This Row],[ReorderLevel]],"Reorder","Okay")</f>
        <v>Okay</v>
      </c>
    </row>
    <row r="2964" spans="1:15" x14ac:dyDescent="0.3">
      <c r="A2964">
        <v>99362</v>
      </c>
      <c r="B2964" t="s">
        <v>23</v>
      </c>
      <c r="C2964" t="s">
        <v>30</v>
      </c>
      <c r="D2964">
        <v>350</v>
      </c>
      <c r="E2964">
        <v>100</v>
      </c>
      <c r="F2964">
        <v>327.74</v>
      </c>
      <c r="G2964" t="s">
        <v>36</v>
      </c>
      <c r="H2964" s="1">
        <v>45518</v>
      </c>
      <c r="I2964" s="1">
        <v>45539</v>
      </c>
      <c r="J2964" t="s">
        <v>38</v>
      </c>
      <c r="K2964" t="b">
        <f>Table1[[#This Row],[CurrentStock]]&lt;Table1[[#This Row],[ReorderLevel]]</f>
        <v>0</v>
      </c>
      <c r="L2964" s="9">
        <f>Table1[[#This Row],[CurrentStock]]*Table1[[#This Row],[UnitPrice]]</f>
        <v>114709</v>
      </c>
      <c r="M2964" t="str">
        <f>IF(Table1[[#This Row],[ReorderLevel]]-Table1[[#This Row],[CurrentStock]]&gt;0,Table1[[#This Row],[ReorderLevel]]-Table1[[#This Row],[CurrentStock]],"")</f>
        <v/>
      </c>
      <c r="N2964" t="str">
        <f>IF(Table1[[#This Row],[CurrentStock]]&gt;Table1[[#This Row],[ReorderLevel]]*3,"Over Stock","Okay")</f>
        <v>Over Stock</v>
      </c>
      <c r="O2964" t="str">
        <f>IF(Table1[[#This Row],[CurrentStock]]&lt;Table1[[#This Row],[ReorderLevel]],"Reorder","Okay")</f>
        <v>Okay</v>
      </c>
    </row>
    <row r="2965" spans="1:15" x14ac:dyDescent="0.3">
      <c r="A2965">
        <v>95953</v>
      </c>
      <c r="B2965" t="s">
        <v>17</v>
      </c>
      <c r="C2965" t="s">
        <v>30</v>
      </c>
      <c r="D2965">
        <v>183</v>
      </c>
      <c r="E2965">
        <v>20</v>
      </c>
      <c r="F2965">
        <v>40.369999999999997</v>
      </c>
      <c r="G2965" t="s">
        <v>34</v>
      </c>
      <c r="H2965" s="1">
        <v>45540</v>
      </c>
      <c r="I2965" s="1">
        <v>45578</v>
      </c>
      <c r="J2965" t="s">
        <v>38</v>
      </c>
      <c r="K2965" t="b">
        <f>Table1[[#This Row],[CurrentStock]]&lt;Table1[[#This Row],[ReorderLevel]]</f>
        <v>0</v>
      </c>
      <c r="L2965" s="9">
        <f>Table1[[#This Row],[CurrentStock]]*Table1[[#This Row],[UnitPrice]]</f>
        <v>7387.7099999999991</v>
      </c>
      <c r="M2965" t="str">
        <f>IF(Table1[[#This Row],[ReorderLevel]]-Table1[[#This Row],[CurrentStock]]&gt;0,Table1[[#This Row],[ReorderLevel]]-Table1[[#This Row],[CurrentStock]],"")</f>
        <v/>
      </c>
      <c r="N2965" t="str">
        <f>IF(Table1[[#This Row],[CurrentStock]]&gt;Table1[[#This Row],[ReorderLevel]]*3,"Over Stock","Okay")</f>
        <v>Over Stock</v>
      </c>
      <c r="O2965" t="str">
        <f>IF(Table1[[#This Row],[CurrentStock]]&lt;Table1[[#This Row],[ReorderLevel]],"Reorder","Okay")</f>
        <v>Okay</v>
      </c>
    </row>
    <row r="2966" spans="1:15" x14ac:dyDescent="0.3">
      <c r="A2966">
        <v>47879</v>
      </c>
      <c r="B2966" t="s">
        <v>15</v>
      </c>
      <c r="C2966" t="s">
        <v>29</v>
      </c>
      <c r="D2966">
        <v>260</v>
      </c>
      <c r="E2966">
        <v>150</v>
      </c>
      <c r="F2966">
        <v>293.93</v>
      </c>
      <c r="G2966" t="s">
        <v>33</v>
      </c>
      <c r="H2966" s="1">
        <v>45623</v>
      </c>
      <c r="I2966" s="1">
        <v>45639</v>
      </c>
      <c r="J2966" t="s">
        <v>39</v>
      </c>
      <c r="K2966" t="b">
        <f>Table1[[#This Row],[CurrentStock]]&lt;Table1[[#This Row],[ReorderLevel]]</f>
        <v>0</v>
      </c>
      <c r="L2966" s="9">
        <f>Table1[[#This Row],[CurrentStock]]*Table1[[#This Row],[UnitPrice]]</f>
        <v>76421.8</v>
      </c>
      <c r="M2966" t="str">
        <f>IF(Table1[[#This Row],[ReorderLevel]]-Table1[[#This Row],[CurrentStock]]&gt;0,Table1[[#This Row],[ReorderLevel]]-Table1[[#This Row],[CurrentStock]],"")</f>
        <v/>
      </c>
      <c r="N2966" t="str">
        <f>IF(Table1[[#This Row],[CurrentStock]]&gt;Table1[[#This Row],[ReorderLevel]]*3,"Over Stock","Okay")</f>
        <v>Okay</v>
      </c>
      <c r="O2966" t="str">
        <f>IF(Table1[[#This Row],[CurrentStock]]&lt;Table1[[#This Row],[ReorderLevel]],"Reorder","Okay")</f>
        <v>Okay</v>
      </c>
    </row>
    <row r="2967" spans="1:15" x14ac:dyDescent="0.3">
      <c r="A2967">
        <v>55114</v>
      </c>
      <c r="B2967" t="s">
        <v>12</v>
      </c>
      <c r="C2967" t="s">
        <v>28</v>
      </c>
      <c r="D2967">
        <v>463</v>
      </c>
      <c r="E2967">
        <v>50</v>
      </c>
      <c r="F2967">
        <v>448.26</v>
      </c>
      <c r="G2967" t="s">
        <v>33</v>
      </c>
      <c r="H2967" s="1">
        <v>45561</v>
      </c>
      <c r="I2967" s="1">
        <v>45569</v>
      </c>
      <c r="J2967" t="s">
        <v>38</v>
      </c>
      <c r="K2967" t="b">
        <f>Table1[[#This Row],[CurrentStock]]&lt;Table1[[#This Row],[ReorderLevel]]</f>
        <v>0</v>
      </c>
      <c r="L2967" s="9">
        <f>Table1[[#This Row],[CurrentStock]]*Table1[[#This Row],[UnitPrice]]</f>
        <v>207544.38</v>
      </c>
      <c r="M2967" t="str">
        <f>IF(Table1[[#This Row],[ReorderLevel]]-Table1[[#This Row],[CurrentStock]]&gt;0,Table1[[#This Row],[ReorderLevel]]-Table1[[#This Row],[CurrentStock]],"")</f>
        <v/>
      </c>
      <c r="N2967" t="str">
        <f>IF(Table1[[#This Row],[CurrentStock]]&gt;Table1[[#This Row],[ReorderLevel]]*3,"Over Stock","Okay")</f>
        <v>Over Stock</v>
      </c>
      <c r="O2967" t="str">
        <f>IF(Table1[[#This Row],[CurrentStock]]&lt;Table1[[#This Row],[ReorderLevel]],"Reorder","Okay")</f>
        <v>Okay</v>
      </c>
    </row>
    <row r="2968" spans="1:15" x14ac:dyDescent="0.3">
      <c r="A2968">
        <v>70633</v>
      </c>
      <c r="B2968" t="s">
        <v>25</v>
      </c>
      <c r="C2968" t="s">
        <v>31</v>
      </c>
      <c r="D2968">
        <v>486</v>
      </c>
      <c r="E2968">
        <v>30</v>
      </c>
      <c r="F2968">
        <v>42.32</v>
      </c>
      <c r="G2968" t="s">
        <v>34</v>
      </c>
      <c r="H2968" s="1">
        <v>45445</v>
      </c>
      <c r="I2968" s="1">
        <v>45453</v>
      </c>
      <c r="J2968" t="s">
        <v>39</v>
      </c>
      <c r="K2968" t="b">
        <f>Table1[[#This Row],[CurrentStock]]&lt;Table1[[#This Row],[ReorderLevel]]</f>
        <v>0</v>
      </c>
      <c r="L2968" s="9">
        <f>Table1[[#This Row],[CurrentStock]]*Table1[[#This Row],[UnitPrice]]</f>
        <v>20567.52</v>
      </c>
      <c r="M2968" t="str">
        <f>IF(Table1[[#This Row],[ReorderLevel]]-Table1[[#This Row],[CurrentStock]]&gt;0,Table1[[#This Row],[ReorderLevel]]-Table1[[#This Row],[CurrentStock]],"")</f>
        <v/>
      </c>
      <c r="N2968" t="str">
        <f>IF(Table1[[#This Row],[CurrentStock]]&gt;Table1[[#This Row],[ReorderLevel]]*3,"Over Stock","Okay")</f>
        <v>Over Stock</v>
      </c>
      <c r="O2968" t="str">
        <f>IF(Table1[[#This Row],[CurrentStock]]&lt;Table1[[#This Row],[ReorderLevel]],"Reorder","Okay")</f>
        <v>Okay</v>
      </c>
    </row>
    <row r="2969" spans="1:15" x14ac:dyDescent="0.3">
      <c r="A2969">
        <v>37172</v>
      </c>
      <c r="B2969" t="s">
        <v>24</v>
      </c>
      <c r="C2969" t="s">
        <v>31</v>
      </c>
      <c r="D2969">
        <v>406</v>
      </c>
      <c r="E2969">
        <v>150</v>
      </c>
      <c r="F2969">
        <v>351.59</v>
      </c>
      <c r="G2969" t="s">
        <v>35</v>
      </c>
      <c r="H2969" s="1">
        <v>45394</v>
      </c>
      <c r="I2969" s="1">
        <v>45423</v>
      </c>
      <c r="J2969" t="s">
        <v>37</v>
      </c>
      <c r="K2969" t="b">
        <f>Table1[[#This Row],[CurrentStock]]&lt;Table1[[#This Row],[ReorderLevel]]</f>
        <v>0</v>
      </c>
      <c r="L2969" s="9">
        <f>Table1[[#This Row],[CurrentStock]]*Table1[[#This Row],[UnitPrice]]</f>
        <v>142745.53999999998</v>
      </c>
      <c r="M2969" t="str">
        <f>IF(Table1[[#This Row],[ReorderLevel]]-Table1[[#This Row],[CurrentStock]]&gt;0,Table1[[#This Row],[ReorderLevel]]-Table1[[#This Row],[CurrentStock]],"")</f>
        <v/>
      </c>
      <c r="N2969" t="str">
        <f>IF(Table1[[#This Row],[CurrentStock]]&gt;Table1[[#This Row],[ReorderLevel]]*3,"Over Stock","Okay")</f>
        <v>Okay</v>
      </c>
      <c r="O2969" t="str">
        <f>IF(Table1[[#This Row],[CurrentStock]]&lt;Table1[[#This Row],[ReorderLevel]],"Reorder","Okay")</f>
        <v>Okay</v>
      </c>
    </row>
    <row r="2970" spans="1:15" x14ac:dyDescent="0.3">
      <c r="A2970">
        <v>94295</v>
      </c>
      <c r="B2970" t="s">
        <v>16</v>
      </c>
      <c r="C2970" t="s">
        <v>30</v>
      </c>
      <c r="D2970">
        <v>155</v>
      </c>
      <c r="E2970">
        <v>40</v>
      </c>
      <c r="F2970">
        <v>180.83</v>
      </c>
      <c r="G2970" t="s">
        <v>32</v>
      </c>
      <c r="H2970" s="1">
        <v>45338</v>
      </c>
      <c r="I2970" s="1">
        <v>45345</v>
      </c>
      <c r="J2970" t="s">
        <v>37</v>
      </c>
      <c r="K2970" t="b">
        <f>Table1[[#This Row],[CurrentStock]]&lt;Table1[[#This Row],[ReorderLevel]]</f>
        <v>0</v>
      </c>
      <c r="L2970" s="9">
        <f>Table1[[#This Row],[CurrentStock]]*Table1[[#This Row],[UnitPrice]]</f>
        <v>28028.65</v>
      </c>
      <c r="M2970" t="str">
        <f>IF(Table1[[#This Row],[ReorderLevel]]-Table1[[#This Row],[CurrentStock]]&gt;0,Table1[[#This Row],[ReorderLevel]]-Table1[[#This Row],[CurrentStock]],"")</f>
        <v/>
      </c>
      <c r="N2970" t="str">
        <f>IF(Table1[[#This Row],[CurrentStock]]&gt;Table1[[#This Row],[ReorderLevel]]*3,"Over Stock","Okay")</f>
        <v>Over Stock</v>
      </c>
      <c r="O2970" t="str">
        <f>IF(Table1[[#This Row],[CurrentStock]]&lt;Table1[[#This Row],[ReorderLevel]],"Reorder","Okay")</f>
        <v>Okay</v>
      </c>
    </row>
    <row r="2971" spans="1:15" x14ac:dyDescent="0.3">
      <c r="A2971">
        <v>87336</v>
      </c>
      <c r="B2971" t="s">
        <v>24</v>
      </c>
      <c r="C2971" t="s">
        <v>31</v>
      </c>
      <c r="D2971">
        <v>179</v>
      </c>
      <c r="E2971">
        <v>50</v>
      </c>
      <c r="F2971">
        <v>318.64999999999998</v>
      </c>
      <c r="G2971" t="s">
        <v>35</v>
      </c>
      <c r="H2971" s="1">
        <v>45593</v>
      </c>
      <c r="I2971" s="1">
        <v>45622</v>
      </c>
      <c r="J2971" t="s">
        <v>38</v>
      </c>
      <c r="K2971" t="b">
        <f>Table1[[#This Row],[CurrentStock]]&lt;Table1[[#This Row],[ReorderLevel]]</f>
        <v>0</v>
      </c>
      <c r="L2971" s="9">
        <f>Table1[[#This Row],[CurrentStock]]*Table1[[#This Row],[UnitPrice]]</f>
        <v>57038.35</v>
      </c>
      <c r="M2971" t="str">
        <f>IF(Table1[[#This Row],[ReorderLevel]]-Table1[[#This Row],[CurrentStock]]&gt;0,Table1[[#This Row],[ReorderLevel]]-Table1[[#This Row],[CurrentStock]],"")</f>
        <v/>
      </c>
      <c r="N2971" t="str">
        <f>IF(Table1[[#This Row],[CurrentStock]]&gt;Table1[[#This Row],[ReorderLevel]]*3,"Over Stock","Okay")</f>
        <v>Over Stock</v>
      </c>
      <c r="O2971" t="str">
        <f>IF(Table1[[#This Row],[CurrentStock]]&lt;Table1[[#This Row],[ReorderLevel]],"Reorder","Okay")</f>
        <v>Okay</v>
      </c>
    </row>
    <row r="2972" spans="1:15" x14ac:dyDescent="0.3">
      <c r="A2972">
        <v>12332</v>
      </c>
      <c r="B2972" t="s">
        <v>16</v>
      </c>
      <c r="C2972" t="s">
        <v>30</v>
      </c>
      <c r="D2972">
        <v>105</v>
      </c>
      <c r="E2972">
        <v>30</v>
      </c>
      <c r="F2972">
        <v>406.1</v>
      </c>
      <c r="G2972" t="s">
        <v>36</v>
      </c>
      <c r="H2972" s="1">
        <v>45635</v>
      </c>
      <c r="I2972" s="1">
        <v>45674</v>
      </c>
      <c r="J2972" t="s">
        <v>38</v>
      </c>
      <c r="K2972" t="b">
        <f>Table1[[#This Row],[CurrentStock]]&lt;Table1[[#This Row],[ReorderLevel]]</f>
        <v>0</v>
      </c>
      <c r="L2972" s="9">
        <f>Table1[[#This Row],[CurrentStock]]*Table1[[#This Row],[UnitPrice]]</f>
        <v>42640.5</v>
      </c>
      <c r="M2972" t="str">
        <f>IF(Table1[[#This Row],[ReorderLevel]]-Table1[[#This Row],[CurrentStock]]&gt;0,Table1[[#This Row],[ReorderLevel]]-Table1[[#This Row],[CurrentStock]],"")</f>
        <v/>
      </c>
      <c r="N2972" t="str">
        <f>IF(Table1[[#This Row],[CurrentStock]]&gt;Table1[[#This Row],[ReorderLevel]]*3,"Over Stock","Okay")</f>
        <v>Over Stock</v>
      </c>
      <c r="O2972" t="str">
        <f>IF(Table1[[#This Row],[CurrentStock]]&lt;Table1[[#This Row],[ReorderLevel]],"Reorder","Okay")</f>
        <v>Okay</v>
      </c>
    </row>
    <row r="2973" spans="1:15" x14ac:dyDescent="0.3">
      <c r="A2973">
        <v>41775</v>
      </c>
      <c r="B2973" t="s">
        <v>18</v>
      </c>
      <c r="C2973" t="s">
        <v>28</v>
      </c>
      <c r="D2973">
        <v>153</v>
      </c>
      <c r="E2973">
        <v>20</v>
      </c>
      <c r="F2973">
        <v>83.36</v>
      </c>
      <c r="G2973" t="s">
        <v>33</v>
      </c>
      <c r="H2973" s="1">
        <v>45433</v>
      </c>
      <c r="I2973" s="1">
        <v>45443</v>
      </c>
      <c r="J2973" t="s">
        <v>38</v>
      </c>
      <c r="K2973" t="b">
        <f>Table1[[#This Row],[CurrentStock]]&lt;Table1[[#This Row],[ReorderLevel]]</f>
        <v>0</v>
      </c>
      <c r="L2973" s="9">
        <f>Table1[[#This Row],[CurrentStock]]*Table1[[#This Row],[UnitPrice]]</f>
        <v>12754.08</v>
      </c>
      <c r="M2973" t="str">
        <f>IF(Table1[[#This Row],[ReorderLevel]]-Table1[[#This Row],[CurrentStock]]&gt;0,Table1[[#This Row],[ReorderLevel]]-Table1[[#This Row],[CurrentStock]],"")</f>
        <v/>
      </c>
      <c r="N2973" t="str">
        <f>IF(Table1[[#This Row],[CurrentStock]]&gt;Table1[[#This Row],[ReorderLevel]]*3,"Over Stock","Okay")</f>
        <v>Over Stock</v>
      </c>
      <c r="O2973" t="str">
        <f>IF(Table1[[#This Row],[CurrentStock]]&lt;Table1[[#This Row],[ReorderLevel]],"Reorder","Okay")</f>
        <v>Okay</v>
      </c>
    </row>
    <row r="2974" spans="1:15" x14ac:dyDescent="0.3">
      <c r="A2974">
        <v>76404</v>
      </c>
      <c r="B2974" t="s">
        <v>19</v>
      </c>
      <c r="C2974" t="s">
        <v>28</v>
      </c>
      <c r="D2974">
        <v>55</v>
      </c>
      <c r="E2974">
        <v>80</v>
      </c>
      <c r="F2974">
        <v>163.09</v>
      </c>
      <c r="G2974" t="s">
        <v>32</v>
      </c>
      <c r="H2974" s="1">
        <v>45344</v>
      </c>
      <c r="I2974" s="1">
        <v>45367</v>
      </c>
      <c r="J2974" t="s">
        <v>38</v>
      </c>
      <c r="K2974" t="b">
        <f>Table1[[#This Row],[CurrentStock]]&lt;Table1[[#This Row],[ReorderLevel]]</f>
        <v>1</v>
      </c>
      <c r="L2974" s="9">
        <f>Table1[[#This Row],[CurrentStock]]*Table1[[#This Row],[UnitPrice]]</f>
        <v>8969.9500000000007</v>
      </c>
      <c r="M2974">
        <f>IF(Table1[[#This Row],[ReorderLevel]]-Table1[[#This Row],[CurrentStock]]&gt;0,Table1[[#This Row],[ReorderLevel]]-Table1[[#This Row],[CurrentStock]],"")</f>
        <v>25</v>
      </c>
      <c r="N2974" t="str">
        <f>IF(Table1[[#This Row],[CurrentStock]]&gt;Table1[[#This Row],[ReorderLevel]]*3,"Over Stock","Okay")</f>
        <v>Okay</v>
      </c>
      <c r="O2974" t="str">
        <f>IF(Table1[[#This Row],[CurrentStock]]&lt;Table1[[#This Row],[ReorderLevel]],"Reorder","Okay")</f>
        <v>Reorder</v>
      </c>
    </row>
    <row r="2975" spans="1:15" x14ac:dyDescent="0.3">
      <c r="A2975">
        <v>96534</v>
      </c>
      <c r="B2975" t="s">
        <v>21</v>
      </c>
      <c r="C2975" t="s">
        <v>31</v>
      </c>
      <c r="D2975">
        <v>65</v>
      </c>
      <c r="E2975">
        <v>50</v>
      </c>
      <c r="F2975">
        <v>325.23</v>
      </c>
      <c r="G2975" t="s">
        <v>33</v>
      </c>
      <c r="H2975" s="1">
        <v>45308</v>
      </c>
      <c r="I2975" s="1">
        <v>45316</v>
      </c>
      <c r="J2975" t="s">
        <v>38</v>
      </c>
      <c r="K2975" t="b">
        <f>Table1[[#This Row],[CurrentStock]]&lt;Table1[[#This Row],[ReorderLevel]]</f>
        <v>0</v>
      </c>
      <c r="L2975" s="9">
        <f>Table1[[#This Row],[CurrentStock]]*Table1[[#This Row],[UnitPrice]]</f>
        <v>21139.95</v>
      </c>
      <c r="M2975" t="str">
        <f>IF(Table1[[#This Row],[ReorderLevel]]-Table1[[#This Row],[CurrentStock]]&gt;0,Table1[[#This Row],[ReorderLevel]]-Table1[[#This Row],[CurrentStock]],"")</f>
        <v/>
      </c>
      <c r="N2975" t="str">
        <f>IF(Table1[[#This Row],[CurrentStock]]&gt;Table1[[#This Row],[ReorderLevel]]*3,"Over Stock","Okay")</f>
        <v>Okay</v>
      </c>
      <c r="O2975" t="str">
        <f>IF(Table1[[#This Row],[CurrentStock]]&lt;Table1[[#This Row],[ReorderLevel]],"Reorder","Okay")</f>
        <v>Okay</v>
      </c>
    </row>
    <row r="2976" spans="1:15" x14ac:dyDescent="0.3">
      <c r="A2976">
        <v>78309</v>
      </c>
      <c r="B2976" t="s">
        <v>19</v>
      </c>
      <c r="C2976" t="s">
        <v>28</v>
      </c>
      <c r="D2976">
        <v>383</v>
      </c>
      <c r="E2976">
        <v>150</v>
      </c>
      <c r="F2976">
        <v>83.63</v>
      </c>
      <c r="G2976" t="s">
        <v>32</v>
      </c>
      <c r="H2976" s="1">
        <v>45605</v>
      </c>
      <c r="I2976" s="1">
        <v>45634</v>
      </c>
      <c r="J2976" t="s">
        <v>39</v>
      </c>
      <c r="K2976" t="b">
        <f>Table1[[#This Row],[CurrentStock]]&lt;Table1[[#This Row],[ReorderLevel]]</f>
        <v>0</v>
      </c>
      <c r="L2976" s="9">
        <f>Table1[[#This Row],[CurrentStock]]*Table1[[#This Row],[UnitPrice]]</f>
        <v>32030.289999999997</v>
      </c>
      <c r="M2976" t="str">
        <f>IF(Table1[[#This Row],[ReorderLevel]]-Table1[[#This Row],[CurrentStock]]&gt;0,Table1[[#This Row],[ReorderLevel]]-Table1[[#This Row],[CurrentStock]],"")</f>
        <v/>
      </c>
      <c r="N2976" t="str">
        <f>IF(Table1[[#This Row],[CurrentStock]]&gt;Table1[[#This Row],[ReorderLevel]]*3,"Over Stock","Okay")</f>
        <v>Okay</v>
      </c>
      <c r="O2976" t="str">
        <f>IF(Table1[[#This Row],[CurrentStock]]&lt;Table1[[#This Row],[ReorderLevel]],"Reorder","Okay")</f>
        <v>Okay</v>
      </c>
    </row>
    <row r="2977" spans="1:15" x14ac:dyDescent="0.3">
      <c r="A2977">
        <v>66648</v>
      </c>
      <c r="B2977" t="s">
        <v>24</v>
      </c>
      <c r="C2977" t="s">
        <v>31</v>
      </c>
      <c r="D2977">
        <v>48</v>
      </c>
      <c r="E2977">
        <v>50</v>
      </c>
      <c r="F2977">
        <v>339.93</v>
      </c>
      <c r="G2977" t="s">
        <v>35</v>
      </c>
      <c r="H2977" s="1">
        <v>45641</v>
      </c>
      <c r="I2977" s="1">
        <v>45661</v>
      </c>
      <c r="J2977" t="s">
        <v>38</v>
      </c>
      <c r="K2977" t="b">
        <f>Table1[[#This Row],[CurrentStock]]&lt;Table1[[#This Row],[ReorderLevel]]</f>
        <v>1</v>
      </c>
      <c r="L2977" s="9">
        <f>Table1[[#This Row],[CurrentStock]]*Table1[[#This Row],[UnitPrice]]</f>
        <v>16316.64</v>
      </c>
      <c r="M2977">
        <f>IF(Table1[[#This Row],[ReorderLevel]]-Table1[[#This Row],[CurrentStock]]&gt;0,Table1[[#This Row],[ReorderLevel]]-Table1[[#This Row],[CurrentStock]],"")</f>
        <v>2</v>
      </c>
      <c r="N2977" t="str">
        <f>IF(Table1[[#This Row],[CurrentStock]]&gt;Table1[[#This Row],[ReorderLevel]]*3,"Over Stock","Okay")</f>
        <v>Okay</v>
      </c>
      <c r="O2977" t="str">
        <f>IF(Table1[[#This Row],[CurrentStock]]&lt;Table1[[#This Row],[ReorderLevel]],"Reorder","Okay")</f>
        <v>Reorder</v>
      </c>
    </row>
    <row r="2978" spans="1:15" x14ac:dyDescent="0.3">
      <c r="A2978">
        <v>85710</v>
      </c>
      <c r="B2978" t="s">
        <v>14</v>
      </c>
      <c r="C2978" t="s">
        <v>27</v>
      </c>
      <c r="D2978">
        <v>174</v>
      </c>
      <c r="E2978">
        <v>150</v>
      </c>
      <c r="F2978">
        <v>357.43</v>
      </c>
      <c r="G2978" t="s">
        <v>35</v>
      </c>
      <c r="H2978" s="1">
        <v>45575</v>
      </c>
      <c r="I2978" s="1">
        <v>45599</v>
      </c>
      <c r="J2978" t="s">
        <v>37</v>
      </c>
      <c r="K2978" t="b">
        <f>Table1[[#This Row],[CurrentStock]]&lt;Table1[[#This Row],[ReorderLevel]]</f>
        <v>0</v>
      </c>
      <c r="L2978" s="9">
        <f>Table1[[#This Row],[CurrentStock]]*Table1[[#This Row],[UnitPrice]]</f>
        <v>62192.82</v>
      </c>
      <c r="M2978" t="str">
        <f>IF(Table1[[#This Row],[ReorderLevel]]-Table1[[#This Row],[CurrentStock]]&gt;0,Table1[[#This Row],[ReorderLevel]]-Table1[[#This Row],[CurrentStock]],"")</f>
        <v/>
      </c>
      <c r="N2978" t="str">
        <f>IF(Table1[[#This Row],[CurrentStock]]&gt;Table1[[#This Row],[ReorderLevel]]*3,"Over Stock","Okay")</f>
        <v>Okay</v>
      </c>
      <c r="O2978" t="str">
        <f>IF(Table1[[#This Row],[CurrentStock]]&lt;Table1[[#This Row],[ReorderLevel]],"Reorder","Okay")</f>
        <v>Okay</v>
      </c>
    </row>
    <row r="2979" spans="1:15" x14ac:dyDescent="0.3">
      <c r="A2979">
        <v>25739</v>
      </c>
      <c r="B2979" t="s">
        <v>23</v>
      </c>
      <c r="C2979" t="s">
        <v>30</v>
      </c>
      <c r="D2979">
        <v>195</v>
      </c>
      <c r="E2979">
        <v>150</v>
      </c>
      <c r="F2979">
        <v>35.130000000000003</v>
      </c>
      <c r="G2979" t="s">
        <v>35</v>
      </c>
      <c r="H2979" s="1">
        <v>45635</v>
      </c>
      <c r="I2979" s="1">
        <v>45669</v>
      </c>
      <c r="J2979" t="s">
        <v>37</v>
      </c>
      <c r="K2979" t="b">
        <f>Table1[[#This Row],[CurrentStock]]&lt;Table1[[#This Row],[ReorderLevel]]</f>
        <v>0</v>
      </c>
      <c r="L2979" s="9">
        <f>Table1[[#This Row],[CurrentStock]]*Table1[[#This Row],[UnitPrice]]</f>
        <v>6850.35</v>
      </c>
      <c r="M2979" t="str">
        <f>IF(Table1[[#This Row],[ReorderLevel]]-Table1[[#This Row],[CurrentStock]]&gt;0,Table1[[#This Row],[ReorderLevel]]-Table1[[#This Row],[CurrentStock]],"")</f>
        <v/>
      </c>
      <c r="N2979" t="str">
        <f>IF(Table1[[#This Row],[CurrentStock]]&gt;Table1[[#This Row],[ReorderLevel]]*3,"Over Stock","Okay")</f>
        <v>Okay</v>
      </c>
      <c r="O2979" t="str">
        <f>IF(Table1[[#This Row],[CurrentStock]]&lt;Table1[[#This Row],[ReorderLevel]],"Reorder","Okay")</f>
        <v>Okay</v>
      </c>
    </row>
    <row r="2980" spans="1:15" x14ac:dyDescent="0.3">
      <c r="A2980">
        <v>28920</v>
      </c>
      <c r="B2980" t="s">
        <v>12</v>
      </c>
      <c r="C2980" t="s">
        <v>28</v>
      </c>
      <c r="D2980">
        <v>279</v>
      </c>
      <c r="E2980">
        <v>20</v>
      </c>
      <c r="F2980">
        <v>120.68</v>
      </c>
      <c r="G2980" t="s">
        <v>35</v>
      </c>
      <c r="H2980" s="1">
        <v>45535</v>
      </c>
      <c r="I2980" s="1">
        <v>45554</v>
      </c>
      <c r="J2980" t="s">
        <v>37</v>
      </c>
      <c r="K2980" t="b">
        <f>Table1[[#This Row],[CurrentStock]]&lt;Table1[[#This Row],[ReorderLevel]]</f>
        <v>0</v>
      </c>
      <c r="L2980" s="9">
        <f>Table1[[#This Row],[CurrentStock]]*Table1[[#This Row],[UnitPrice]]</f>
        <v>33669.72</v>
      </c>
      <c r="M2980" t="str">
        <f>IF(Table1[[#This Row],[ReorderLevel]]-Table1[[#This Row],[CurrentStock]]&gt;0,Table1[[#This Row],[ReorderLevel]]-Table1[[#This Row],[CurrentStock]],"")</f>
        <v/>
      </c>
      <c r="N2980" t="str">
        <f>IF(Table1[[#This Row],[CurrentStock]]&gt;Table1[[#This Row],[ReorderLevel]]*3,"Over Stock","Okay")</f>
        <v>Over Stock</v>
      </c>
      <c r="O2980" t="str">
        <f>IF(Table1[[#This Row],[CurrentStock]]&lt;Table1[[#This Row],[ReorderLevel]],"Reorder","Okay")</f>
        <v>Okay</v>
      </c>
    </row>
    <row r="2981" spans="1:15" x14ac:dyDescent="0.3">
      <c r="A2981">
        <v>96679</v>
      </c>
      <c r="B2981" t="s">
        <v>11</v>
      </c>
      <c r="C2981" t="s">
        <v>27</v>
      </c>
      <c r="D2981">
        <v>271</v>
      </c>
      <c r="E2981">
        <v>50</v>
      </c>
      <c r="F2981">
        <v>215.97</v>
      </c>
      <c r="G2981" t="s">
        <v>32</v>
      </c>
      <c r="H2981" s="1">
        <v>45333</v>
      </c>
      <c r="I2981" s="1">
        <v>45341</v>
      </c>
      <c r="J2981" t="s">
        <v>39</v>
      </c>
      <c r="K2981" t="b">
        <f>Table1[[#This Row],[CurrentStock]]&lt;Table1[[#This Row],[ReorderLevel]]</f>
        <v>0</v>
      </c>
      <c r="L2981" s="9">
        <f>Table1[[#This Row],[CurrentStock]]*Table1[[#This Row],[UnitPrice]]</f>
        <v>58527.87</v>
      </c>
      <c r="M2981" t="str">
        <f>IF(Table1[[#This Row],[ReorderLevel]]-Table1[[#This Row],[CurrentStock]]&gt;0,Table1[[#This Row],[ReorderLevel]]-Table1[[#This Row],[CurrentStock]],"")</f>
        <v/>
      </c>
      <c r="N2981" t="str">
        <f>IF(Table1[[#This Row],[CurrentStock]]&gt;Table1[[#This Row],[ReorderLevel]]*3,"Over Stock","Okay")</f>
        <v>Over Stock</v>
      </c>
      <c r="O2981" t="str">
        <f>IF(Table1[[#This Row],[CurrentStock]]&lt;Table1[[#This Row],[ReorderLevel]],"Reorder","Okay")</f>
        <v>Okay</v>
      </c>
    </row>
    <row r="2982" spans="1:15" x14ac:dyDescent="0.3">
      <c r="A2982">
        <v>97299</v>
      </c>
      <c r="B2982" t="s">
        <v>12</v>
      </c>
      <c r="C2982" t="s">
        <v>28</v>
      </c>
      <c r="D2982">
        <v>396</v>
      </c>
      <c r="E2982">
        <v>100</v>
      </c>
      <c r="F2982">
        <v>31.67</v>
      </c>
      <c r="G2982" t="s">
        <v>35</v>
      </c>
      <c r="H2982" s="1">
        <v>45333</v>
      </c>
      <c r="I2982" s="1">
        <v>45366</v>
      </c>
      <c r="J2982" t="s">
        <v>37</v>
      </c>
      <c r="K2982" t="b">
        <f>Table1[[#This Row],[CurrentStock]]&lt;Table1[[#This Row],[ReorderLevel]]</f>
        <v>0</v>
      </c>
      <c r="L2982" s="9">
        <f>Table1[[#This Row],[CurrentStock]]*Table1[[#This Row],[UnitPrice]]</f>
        <v>12541.320000000002</v>
      </c>
      <c r="M2982" t="str">
        <f>IF(Table1[[#This Row],[ReorderLevel]]-Table1[[#This Row],[CurrentStock]]&gt;0,Table1[[#This Row],[ReorderLevel]]-Table1[[#This Row],[CurrentStock]],"")</f>
        <v/>
      </c>
      <c r="N2982" t="str">
        <f>IF(Table1[[#This Row],[CurrentStock]]&gt;Table1[[#This Row],[ReorderLevel]]*3,"Over Stock","Okay")</f>
        <v>Over Stock</v>
      </c>
      <c r="O2982" t="str">
        <f>IF(Table1[[#This Row],[CurrentStock]]&lt;Table1[[#This Row],[ReorderLevel]],"Reorder","Okay")</f>
        <v>Okay</v>
      </c>
    </row>
    <row r="2983" spans="1:15" x14ac:dyDescent="0.3">
      <c r="A2983">
        <v>25406</v>
      </c>
      <c r="B2983" t="s">
        <v>11</v>
      </c>
      <c r="C2983" t="s">
        <v>27</v>
      </c>
      <c r="D2983">
        <v>347</v>
      </c>
      <c r="E2983">
        <v>80</v>
      </c>
      <c r="F2983">
        <v>228.65</v>
      </c>
      <c r="G2983" t="s">
        <v>35</v>
      </c>
      <c r="H2983" s="1">
        <v>45326</v>
      </c>
      <c r="I2983" s="1">
        <v>45348</v>
      </c>
      <c r="J2983" t="s">
        <v>39</v>
      </c>
      <c r="K2983" t="b">
        <f>Table1[[#This Row],[CurrentStock]]&lt;Table1[[#This Row],[ReorderLevel]]</f>
        <v>0</v>
      </c>
      <c r="L2983" s="9">
        <f>Table1[[#This Row],[CurrentStock]]*Table1[[#This Row],[UnitPrice]]</f>
        <v>79341.55</v>
      </c>
      <c r="M2983" t="str">
        <f>IF(Table1[[#This Row],[ReorderLevel]]-Table1[[#This Row],[CurrentStock]]&gt;0,Table1[[#This Row],[ReorderLevel]]-Table1[[#This Row],[CurrentStock]],"")</f>
        <v/>
      </c>
      <c r="N2983" t="str">
        <f>IF(Table1[[#This Row],[CurrentStock]]&gt;Table1[[#This Row],[ReorderLevel]]*3,"Over Stock","Okay")</f>
        <v>Over Stock</v>
      </c>
      <c r="O2983" t="str">
        <f>IF(Table1[[#This Row],[CurrentStock]]&lt;Table1[[#This Row],[ReorderLevel]],"Reorder","Okay")</f>
        <v>Okay</v>
      </c>
    </row>
    <row r="2984" spans="1:15" x14ac:dyDescent="0.3">
      <c r="A2984">
        <v>51474</v>
      </c>
      <c r="B2984" t="s">
        <v>18</v>
      </c>
      <c r="C2984" t="s">
        <v>28</v>
      </c>
      <c r="D2984">
        <v>447</v>
      </c>
      <c r="E2984">
        <v>100</v>
      </c>
      <c r="F2984">
        <v>487.37</v>
      </c>
      <c r="G2984" t="s">
        <v>34</v>
      </c>
      <c r="H2984" s="1">
        <v>45619</v>
      </c>
      <c r="I2984" s="1">
        <v>45646</v>
      </c>
      <c r="J2984" t="s">
        <v>37</v>
      </c>
      <c r="K2984" t="b">
        <f>Table1[[#This Row],[CurrentStock]]&lt;Table1[[#This Row],[ReorderLevel]]</f>
        <v>0</v>
      </c>
      <c r="L2984" s="9">
        <f>Table1[[#This Row],[CurrentStock]]*Table1[[#This Row],[UnitPrice]]</f>
        <v>217854.39</v>
      </c>
      <c r="M2984" t="str">
        <f>IF(Table1[[#This Row],[ReorderLevel]]-Table1[[#This Row],[CurrentStock]]&gt;0,Table1[[#This Row],[ReorderLevel]]-Table1[[#This Row],[CurrentStock]],"")</f>
        <v/>
      </c>
      <c r="N2984" t="str">
        <f>IF(Table1[[#This Row],[CurrentStock]]&gt;Table1[[#This Row],[ReorderLevel]]*3,"Over Stock","Okay")</f>
        <v>Over Stock</v>
      </c>
      <c r="O2984" t="str">
        <f>IF(Table1[[#This Row],[CurrentStock]]&lt;Table1[[#This Row],[ReorderLevel]],"Reorder","Okay")</f>
        <v>Okay</v>
      </c>
    </row>
    <row r="2985" spans="1:15" x14ac:dyDescent="0.3">
      <c r="A2985">
        <v>87700</v>
      </c>
      <c r="B2985" t="s">
        <v>26</v>
      </c>
      <c r="C2985" t="s">
        <v>30</v>
      </c>
      <c r="D2985">
        <v>403</v>
      </c>
      <c r="E2985">
        <v>40</v>
      </c>
      <c r="F2985">
        <v>361.87</v>
      </c>
      <c r="G2985" t="s">
        <v>35</v>
      </c>
      <c r="H2985" s="1">
        <v>45632</v>
      </c>
      <c r="I2985" s="1">
        <v>45649</v>
      </c>
      <c r="J2985" t="s">
        <v>38</v>
      </c>
      <c r="K2985" t="b">
        <f>Table1[[#This Row],[CurrentStock]]&lt;Table1[[#This Row],[ReorderLevel]]</f>
        <v>0</v>
      </c>
      <c r="L2985" s="9">
        <f>Table1[[#This Row],[CurrentStock]]*Table1[[#This Row],[UnitPrice]]</f>
        <v>145833.61000000002</v>
      </c>
      <c r="M2985" t="str">
        <f>IF(Table1[[#This Row],[ReorderLevel]]-Table1[[#This Row],[CurrentStock]]&gt;0,Table1[[#This Row],[ReorderLevel]]-Table1[[#This Row],[CurrentStock]],"")</f>
        <v/>
      </c>
      <c r="N2985" t="str">
        <f>IF(Table1[[#This Row],[CurrentStock]]&gt;Table1[[#This Row],[ReorderLevel]]*3,"Over Stock","Okay")</f>
        <v>Over Stock</v>
      </c>
      <c r="O2985" t="str">
        <f>IF(Table1[[#This Row],[CurrentStock]]&lt;Table1[[#This Row],[ReorderLevel]],"Reorder","Okay")</f>
        <v>Okay</v>
      </c>
    </row>
    <row r="2986" spans="1:15" x14ac:dyDescent="0.3">
      <c r="A2986">
        <v>34268</v>
      </c>
      <c r="B2986" t="s">
        <v>26</v>
      </c>
      <c r="C2986" t="s">
        <v>30</v>
      </c>
      <c r="D2986">
        <v>104</v>
      </c>
      <c r="E2986">
        <v>80</v>
      </c>
      <c r="F2986">
        <v>394.14</v>
      </c>
      <c r="G2986" t="s">
        <v>32</v>
      </c>
      <c r="H2986" s="1">
        <v>45295</v>
      </c>
      <c r="I2986" s="1">
        <v>45321</v>
      </c>
      <c r="J2986" t="s">
        <v>37</v>
      </c>
      <c r="K2986" t="b">
        <f>Table1[[#This Row],[CurrentStock]]&lt;Table1[[#This Row],[ReorderLevel]]</f>
        <v>0</v>
      </c>
      <c r="L2986" s="9">
        <f>Table1[[#This Row],[CurrentStock]]*Table1[[#This Row],[UnitPrice]]</f>
        <v>40990.559999999998</v>
      </c>
      <c r="M2986" t="str">
        <f>IF(Table1[[#This Row],[ReorderLevel]]-Table1[[#This Row],[CurrentStock]]&gt;0,Table1[[#This Row],[ReorderLevel]]-Table1[[#This Row],[CurrentStock]],"")</f>
        <v/>
      </c>
      <c r="N2986" t="str">
        <f>IF(Table1[[#This Row],[CurrentStock]]&gt;Table1[[#This Row],[ReorderLevel]]*3,"Over Stock","Okay")</f>
        <v>Okay</v>
      </c>
      <c r="O2986" t="str">
        <f>IF(Table1[[#This Row],[CurrentStock]]&lt;Table1[[#This Row],[ReorderLevel]],"Reorder","Okay")</f>
        <v>Okay</v>
      </c>
    </row>
    <row r="2987" spans="1:15" x14ac:dyDescent="0.3">
      <c r="A2987">
        <v>92163</v>
      </c>
      <c r="B2987" t="s">
        <v>19</v>
      </c>
      <c r="C2987" t="s">
        <v>28</v>
      </c>
      <c r="D2987">
        <v>271</v>
      </c>
      <c r="E2987">
        <v>50</v>
      </c>
      <c r="F2987">
        <v>360.6</v>
      </c>
      <c r="G2987" t="s">
        <v>35</v>
      </c>
      <c r="H2987" s="1">
        <v>45522</v>
      </c>
      <c r="I2987" s="1">
        <v>45550</v>
      </c>
      <c r="J2987" t="s">
        <v>39</v>
      </c>
      <c r="K2987" t="b">
        <f>Table1[[#This Row],[CurrentStock]]&lt;Table1[[#This Row],[ReorderLevel]]</f>
        <v>0</v>
      </c>
      <c r="L2987" s="9">
        <f>Table1[[#This Row],[CurrentStock]]*Table1[[#This Row],[UnitPrice]]</f>
        <v>97722.6</v>
      </c>
      <c r="M2987" t="str">
        <f>IF(Table1[[#This Row],[ReorderLevel]]-Table1[[#This Row],[CurrentStock]]&gt;0,Table1[[#This Row],[ReorderLevel]]-Table1[[#This Row],[CurrentStock]],"")</f>
        <v/>
      </c>
      <c r="N2987" t="str">
        <f>IF(Table1[[#This Row],[CurrentStock]]&gt;Table1[[#This Row],[ReorderLevel]]*3,"Over Stock","Okay")</f>
        <v>Over Stock</v>
      </c>
      <c r="O2987" t="str">
        <f>IF(Table1[[#This Row],[CurrentStock]]&lt;Table1[[#This Row],[ReorderLevel]],"Reorder","Okay")</f>
        <v>Okay</v>
      </c>
    </row>
    <row r="2988" spans="1:15" x14ac:dyDescent="0.3">
      <c r="A2988">
        <v>29944</v>
      </c>
      <c r="B2988" t="s">
        <v>23</v>
      </c>
      <c r="C2988" t="s">
        <v>30</v>
      </c>
      <c r="D2988">
        <v>85</v>
      </c>
      <c r="E2988">
        <v>80</v>
      </c>
      <c r="F2988">
        <v>429.02</v>
      </c>
      <c r="G2988" t="s">
        <v>34</v>
      </c>
      <c r="H2988" s="1">
        <v>45292</v>
      </c>
      <c r="I2988" s="1">
        <v>45316</v>
      </c>
      <c r="J2988" t="s">
        <v>39</v>
      </c>
      <c r="K2988" t="b">
        <f>Table1[[#This Row],[CurrentStock]]&lt;Table1[[#This Row],[ReorderLevel]]</f>
        <v>0</v>
      </c>
      <c r="L2988" s="9">
        <f>Table1[[#This Row],[CurrentStock]]*Table1[[#This Row],[UnitPrice]]</f>
        <v>36466.699999999997</v>
      </c>
      <c r="M2988" t="str">
        <f>IF(Table1[[#This Row],[ReorderLevel]]-Table1[[#This Row],[CurrentStock]]&gt;0,Table1[[#This Row],[ReorderLevel]]-Table1[[#This Row],[CurrentStock]],"")</f>
        <v/>
      </c>
      <c r="N2988" t="str">
        <f>IF(Table1[[#This Row],[CurrentStock]]&gt;Table1[[#This Row],[ReorderLevel]]*3,"Over Stock","Okay")</f>
        <v>Okay</v>
      </c>
      <c r="O2988" t="str">
        <f>IF(Table1[[#This Row],[CurrentStock]]&lt;Table1[[#This Row],[ReorderLevel]],"Reorder","Okay")</f>
        <v>Okay</v>
      </c>
    </row>
    <row r="2989" spans="1:15" x14ac:dyDescent="0.3">
      <c r="A2989">
        <v>12520</v>
      </c>
      <c r="B2989" t="s">
        <v>25</v>
      </c>
      <c r="C2989" t="s">
        <v>31</v>
      </c>
      <c r="D2989">
        <v>6</v>
      </c>
      <c r="E2989">
        <v>50</v>
      </c>
      <c r="F2989">
        <v>240.95</v>
      </c>
      <c r="G2989" t="s">
        <v>33</v>
      </c>
      <c r="H2989" s="1">
        <v>45601</v>
      </c>
      <c r="I2989" s="1">
        <v>45610</v>
      </c>
      <c r="J2989" t="s">
        <v>38</v>
      </c>
      <c r="K2989" t="b">
        <f>Table1[[#This Row],[CurrentStock]]&lt;Table1[[#This Row],[ReorderLevel]]</f>
        <v>1</v>
      </c>
      <c r="L2989" s="9">
        <f>Table1[[#This Row],[CurrentStock]]*Table1[[#This Row],[UnitPrice]]</f>
        <v>1445.6999999999998</v>
      </c>
      <c r="M2989">
        <f>IF(Table1[[#This Row],[ReorderLevel]]-Table1[[#This Row],[CurrentStock]]&gt;0,Table1[[#This Row],[ReorderLevel]]-Table1[[#This Row],[CurrentStock]],"")</f>
        <v>44</v>
      </c>
      <c r="N2989" t="str">
        <f>IF(Table1[[#This Row],[CurrentStock]]&gt;Table1[[#This Row],[ReorderLevel]]*3,"Over Stock","Okay")</f>
        <v>Okay</v>
      </c>
      <c r="O2989" t="str">
        <f>IF(Table1[[#This Row],[CurrentStock]]&lt;Table1[[#This Row],[ReorderLevel]],"Reorder","Okay")</f>
        <v>Reorder</v>
      </c>
    </row>
    <row r="2990" spans="1:15" x14ac:dyDescent="0.3">
      <c r="A2990">
        <v>74566</v>
      </c>
      <c r="B2990" t="s">
        <v>18</v>
      </c>
      <c r="C2990" t="s">
        <v>28</v>
      </c>
      <c r="D2990">
        <v>208</v>
      </c>
      <c r="E2990">
        <v>100</v>
      </c>
      <c r="F2990">
        <v>391.08</v>
      </c>
      <c r="G2990" t="s">
        <v>32</v>
      </c>
      <c r="H2990" s="1">
        <v>45436</v>
      </c>
      <c r="I2990" s="1">
        <v>45461</v>
      </c>
      <c r="J2990" t="s">
        <v>39</v>
      </c>
      <c r="K2990" t="b">
        <f>Table1[[#This Row],[CurrentStock]]&lt;Table1[[#This Row],[ReorderLevel]]</f>
        <v>0</v>
      </c>
      <c r="L2990" s="9">
        <f>Table1[[#This Row],[CurrentStock]]*Table1[[#This Row],[UnitPrice]]</f>
        <v>81344.639999999999</v>
      </c>
      <c r="M2990" t="str">
        <f>IF(Table1[[#This Row],[ReorderLevel]]-Table1[[#This Row],[CurrentStock]]&gt;0,Table1[[#This Row],[ReorderLevel]]-Table1[[#This Row],[CurrentStock]],"")</f>
        <v/>
      </c>
      <c r="N2990" t="str">
        <f>IF(Table1[[#This Row],[CurrentStock]]&gt;Table1[[#This Row],[ReorderLevel]]*3,"Over Stock","Okay")</f>
        <v>Okay</v>
      </c>
      <c r="O2990" t="str">
        <f>IF(Table1[[#This Row],[CurrentStock]]&lt;Table1[[#This Row],[ReorderLevel]],"Reorder","Okay")</f>
        <v>Okay</v>
      </c>
    </row>
    <row r="2991" spans="1:15" x14ac:dyDescent="0.3">
      <c r="A2991">
        <v>27259</v>
      </c>
      <c r="B2991" t="s">
        <v>18</v>
      </c>
      <c r="C2991" t="s">
        <v>28</v>
      </c>
      <c r="D2991">
        <v>64</v>
      </c>
      <c r="E2991">
        <v>80</v>
      </c>
      <c r="F2991">
        <v>348.05</v>
      </c>
      <c r="G2991" t="s">
        <v>34</v>
      </c>
      <c r="H2991" s="1">
        <v>45367</v>
      </c>
      <c r="I2991" s="1">
        <v>45372</v>
      </c>
      <c r="J2991" t="s">
        <v>39</v>
      </c>
      <c r="K2991" t="b">
        <f>Table1[[#This Row],[CurrentStock]]&lt;Table1[[#This Row],[ReorderLevel]]</f>
        <v>1</v>
      </c>
      <c r="L2991" s="9">
        <f>Table1[[#This Row],[CurrentStock]]*Table1[[#This Row],[UnitPrice]]</f>
        <v>22275.200000000001</v>
      </c>
      <c r="M2991">
        <f>IF(Table1[[#This Row],[ReorderLevel]]-Table1[[#This Row],[CurrentStock]]&gt;0,Table1[[#This Row],[ReorderLevel]]-Table1[[#This Row],[CurrentStock]],"")</f>
        <v>16</v>
      </c>
      <c r="N2991" t="str">
        <f>IF(Table1[[#This Row],[CurrentStock]]&gt;Table1[[#This Row],[ReorderLevel]]*3,"Over Stock","Okay")</f>
        <v>Okay</v>
      </c>
      <c r="O2991" t="str">
        <f>IF(Table1[[#This Row],[CurrentStock]]&lt;Table1[[#This Row],[ReorderLevel]],"Reorder","Okay")</f>
        <v>Reorder</v>
      </c>
    </row>
    <row r="2992" spans="1:15" x14ac:dyDescent="0.3">
      <c r="A2992">
        <v>91164</v>
      </c>
      <c r="B2992" t="s">
        <v>14</v>
      </c>
      <c r="C2992" t="s">
        <v>27</v>
      </c>
      <c r="D2992">
        <v>128</v>
      </c>
      <c r="E2992">
        <v>100</v>
      </c>
      <c r="F2992">
        <v>302.10000000000002</v>
      </c>
      <c r="G2992" t="s">
        <v>36</v>
      </c>
      <c r="H2992" s="1">
        <v>45408</v>
      </c>
      <c r="I2992" s="1">
        <v>45424</v>
      </c>
      <c r="J2992" t="s">
        <v>37</v>
      </c>
      <c r="K2992" t="b">
        <f>Table1[[#This Row],[CurrentStock]]&lt;Table1[[#This Row],[ReorderLevel]]</f>
        <v>0</v>
      </c>
      <c r="L2992" s="9">
        <f>Table1[[#This Row],[CurrentStock]]*Table1[[#This Row],[UnitPrice]]</f>
        <v>38668.800000000003</v>
      </c>
      <c r="M2992" t="str">
        <f>IF(Table1[[#This Row],[ReorderLevel]]-Table1[[#This Row],[CurrentStock]]&gt;0,Table1[[#This Row],[ReorderLevel]]-Table1[[#This Row],[CurrentStock]],"")</f>
        <v/>
      </c>
      <c r="N2992" t="str">
        <f>IF(Table1[[#This Row],[CurrentStock]]&gt;Table1[[#This Row],[ReorderLevel]]*3,"Over Stock","Okay")</f>
        <v>Okay</v>
      </c>
      <c r="O2992" t="str">
        <f>IF(Table1[[#This Row],[CurrentStock]]&lt;Table1[[#This Row],[ReorderLevel]],"Reorder","Okay")</f>
        <v>Okay</v>
      </c>
    </row>
    <row r="2993" spans="1:15" x14ac:dyDescent="0.3">
      <c r="A2993">
        <v>95847</v>
      </c>
      <c r="B2993" t="s">
        <v>26</v>
      </c>
      <c r="C2993" t="s">
        <v>30</v>
      </c>
      <c r="D2993">
        <v>465</v>
      </c>
      <c r="E2993">
        <v>50</v>
      </c>
      <c r="F2993">
        <v>95.3</v>
      </c>
      <c r="G2993" t="s">
        <v>36</v>
      </c>
      <c r="H2993" s="1">
        <v>45572</v>
      </c>
      <c r="I2993" s="1">
        <v>45599</v>
      </c>
      <c r="J2993" t="s">
        <v>39</v>
      </c>
      <c r="K2993" t="b">
        <f>Table1[[#This Row],[CurrentStock]]&lt;Table1[[#This Row],[ReorderLevel]]</f>
        <v>0</v>
      </c>
      <c r="L2993" s="9">
        <f>Table1[[#This Row],[CurrentStock]]*Table1[[#This Row],[UnitPrice]]</f>
        <v>44314.5</v>
      </c>
      <c r="M2993" t="str">
        <f>IF(Table1[[#This Row],[ReorderLevel]]-Table1[[#This Row],[CurrentStock]]&gt;0,Table1[[#This Row],[ReorderLevel]]-Table1[[#This Row],[CurrentStock]],"")</f>
        <v/>
      </c>
      <c r="N2993" t="str">
        <f>IF(Table1[[#This Row],[CurrentStock]]&gt;Table1[[#This Row],[ReorderLevel]]*3,"Over Stock","Okay")</f>
        <v>Over Stock</v>
      </c>
      <c r="O2993" t="str">
        <f>IF(Table1[[#This Row],[CurrentStock]]&lt;Table1[[#This Row],[ReorderLevel]],"Reorder","Okay")</f>
        <v>Okay</v>
      </c>
    </row>
    <row r="2994" spans="1:15" x14ac:dyDescent="0.3">
      <c r="A2994">
        <v>89104</v>
      </c>
      <c r="B2994" t="s">
        <v>14</v>
      </c>
      <c r="C2994" t="s">
        <v>27</v>
      </c>
      <c r="D2994">
        <v>162</v>
      </c>
      <c r="E2994">
        <v>20</v>
      </c>
      <c r="F2994">
        <v>366.06</v>
      </c>
      <c r="G2994" t="s">
        <v>34</v>
      </c>
      <c r="H2994" s="1">
        <v>45572</v>
      </c>
      <c r="I2994" s="1">
        <v>45596</v>
      </c>
      <c r="J2994" t="s">
        <v>38</v>
      </c>
      <c r="K2994" t="b">
        <f>Table1[[#This Row],[CurrentStock]]&lt;Table1[[#This Row],[ReorderLevel]]</f>
        <v>0</v>
      </c>
      <c r="L2994" s="9">
        <f>Table1[[#This Row],[CurrentStock]]*Table1[[#This Row],[UnitPrice]]</f>
        <v>59301.72</v>
      </c>
      <c r="M2994" t="str">
        <f>IF(Table1[[#This Row],[ReorderLevel]]-Table1[[#This Row],[CurrentStock]]&gt;0,Table1[[#This Row],[ReorderLevel]]-Table1[[#This Row],[CurrentStock]],"")</f>
        <v/>
      </c>
      <c r="N2994" t="str">
        <f>IF(Table1[[#This Row],[CurrentStock]]&gt;Table1[[#This Row],[ReorderLevel]]*3,"Over Stock","Okay")</f>
        <v>Over Stock</v>
      </c>
      <c r="O2994" t="str">
        <f>IF(Table1[[#This Row],[CurrentStock]]&lt;Table1[[#This Row],[ReorderLevel]],"Reorder","Okay")</f>
        <v>Okay</v>
      </c>
    </row>
    <row r="2995" spans="1:15" x14ac:dyDescent="0.3">
      <c r="A2995">
        <v>49826</v>
      </c>
      <c r="B2995" t="s">
        <v>15</v>
      </c>
      <c r="C2995" t="s">
        <v>29</v>
      </c>
      <c r="D2995">
        <v>149</v>
      </c>
      <c r="E2995">
        <v>150</v>
      </c>
      <c r="F2995">
        <v>336.26</v>
      </c>
      <c r="G2995" t="s">
        <v>35</v>
      </c>
      <c r="H2995" s="1">
        <v>45478</v>
      </c>
      <c r="I2995" s="1">
        <v>45486</v>
      </c>
      <c r="J2995" t="s">
        <v>38</v>
      </c>
      <c r="K2995" t="b">
        <f>Table1[[#This Row],[CurrentStock]]&lt;Table1[[#This Row],[ReorderLevel]]</f>
        <v>1</v>
      </c>
      <c r="L2995" s="9">
        <f>Table1[[#This Row],[CurrentStock]]*Table1[[#This Row],[UnitPrice]]</f>
        <v>50102.74</v>
      </c>
      <c r="M2995">
        <f>IF(Table1[[#This Row],[ReorderLevel]]-Table1[[#This Row],[CurrentStock]]&gt;0,Table1[[#This Row],[ReorderLevel]]-Table1[[#This Row],[CurrentStock]],"")</f>
        <v>1</v>
      </c>
      <c r="N2995" t="str">
        <f>IF(Table1[[#This Row],[CurrentStock]]&gt;Table1[[#This Row],[ReorderLevel]]*3,"Over Stock","Okay")</f>
        <v>Okay</v>
      </c>
      <c r="O2995" t="str">
        <f>IF(Table1[[#This Row],[CurrentStock]]&lt;Table1[[#This Row],[ReorderLevel]],"Reorder","Okay")</f>
        <v>Reorder</v>
      </c>
    </row>
    <row r="2996" spans="1:15" x14ac:dyDescent="0.3">
      <c r="A2996">
        <v>40907</v>
      </c>
      <c r="B2996" t="s">
        <v>10</v>
      </c>
      <c r="C2996" t="s">
        <v>27</v>
      </c>
      <c r="D2996">
        <v>405</v>
      </c>
      <c r="E2996">
        <v>30</v>
      </c>
      <c r="F2996">
        <v>463.85</v>
      </c>
      <c r="G2996" t="s">
        <v>34</v>
      </c>
      <c r="H2996" s="1">
        <v>45510</v>
      </c>
      <c r="I2996" s="1">
        <v>45543</v>
      </c>
      <c r="J2996" t="s">
        <v>39</v>
      </c>
      <c r="K2996" t="b">
        <f>Table1[[#This Row],[CurrentStock]]&lt;Table1[[#This Row],[ReorderLevel]]</f>
        <v>0</v>
      </c>
      <c r="L2996" s="9">
        <f>Table1[[#This Row],[CurrentStock]]*Table1[[#This Row],[UnitPrice]]</f>
        <v>187859.25</v>
      </c>
      <c r="M2996" t="str">
        <f>IF(Table1[[#This Row],[ReorderLevel]]-Table1[[#This Row],[CurrentStock]]&gt;0,Table1[[#This Row],[ReorderLevel]]-Table1[[#This Row],[CurrentStock]],"")</f>
        <v/>
      </c>
      <c r="N2996" t="str">
        <f>IF(Table1[[#This Row],[CurrentStock]]&gt;Table1[[#This Row],[ReorderLevel]]*3,"Over Stock","Okay")</f>
        <v>Over Stock</v>
      </c>
      <c r="O2996" t="str">
        <f>IF(Table1[[#This Row],[CurrentStock]]&lt;Table1[[#This Row],[ReorderLevel]],"Reorder","Okay")</f>
        <v>Okay</v>
      </c>
    </row>
    <row r="2997" spans="1:15" x14ac:dyDescent="0.3">
      <c r="A2997">
        <v>69542</v>
      </c>
      <c r="B2997" t="s">
        <v>18</v>
      </c>
      <c r="C2997" t="s">
        <v>28</v>
      </c>
      <c r="D2997">
        <v>382</v>
      </c>
      <c r="E2997">
        <v>80</v>
      </c>
      <c r="F2997">
        <v>6.35</v>
      </c>
      <c r="G2997" t="s">
        <v>35</v>
      </c>
      <c r="H2997" s="1">
        <v>45327</v>
      </c>
      <c r="I2997" s="1">
        <v>45366</v>
      </c>
      <c r="J2997" t="s">
        <v>38</v>
      </c>
      <c r="K2997" t="b">
        <f>Table1[[#This Row],[CurrentStock]]&lt;Table1[[#This Row],[ReorderLevel]]</f>
        <v>0</v>
      </c>
      <c r="L2997" s="9">
        <f>Table1[[#This Row],[CurrentStock]]*Table1[[#This Row],[UnitPrice]]</f>
        <v>2425.6999999999998</v>
      </c>
      <c r="M2997" t="str">
        <f>IF(Table1[[#This Row],[ReorderLevel]]-Table1[[#This Row],[CurrentStock]]&gt;0,Table1[[#This Row],[ReorderLevel]]-Table1[[#This Row],[CurrentStock]],"")</f>
        <v/>
      </c>
      <c r="N2997" t="str">
        <f>IF(Table1[[#This Row],[CurrentStock]]&gt;Table1[[#This Row],[ReorderLevel]]*3,"Over Stock","Okay")</f>
        <v>Over Stock</v>
      </c>
      <c r="O2997" t="str">
        <f>IF(Table1[[#This Row],[CurrentStock]]&lt;Table1[[#This Row],[ReorderLevel]],"Reorder","Okay")</f>
        <v>Okay</v>
      </c>
    </row>
    <row r="2998" spans="1:15" x14ac:dyDescent="0.3">
      <c r="A2998">
        <v>97613</v>
      </c>
      <c r="B2998" t="s">
        <v>25</v>
      </c>
      <c r="C2998" t="s">
        <v>31</v>
      </c>
      <c r="D2998">
        <v>26</v>
      </c>
      <c r="E2998">
        <v>30</v>
      </c>
      <c r="F2998">
        <v>20.63</v>
      </c>
      <c r="G2998" t="s">
        <v>33</v>
      </c>
      <c r="H2998" s="1">
        <v>45503</v>
      </c>
      <c r="I2998" s="1">
        <v>45518</v>
      </c>
      <c r="J2998" t="s">
        <v>39</v>
      </c>
      <c r="K2998" t="b">
        <f>Table1[[#This Row],[CurrentStock]]&lt;Table1[[#This Row],[ReorderLevel]]</f>
        <v>1</v>
      </c>
      <c r="L2998" s="9">
        <f>Table1[[#This Row],[CurrentStock]]*Table1[[#This Row],[UnitPrice]]</f>
        <v>536.38</v>
      </c>
      <c r="M2998">
        <f>IF(Table1[[#This Row],[ReorderLevel]]-Table1[[#This Row],[CurrentStock]]&gt;0,Table1[[#This Row],[ReorderLevel]]-Table1[[#This Row],[CurrentStock]],"")</f>
        <v>4</v>
      </c>
      <c r="N2998" t="str">
        <f>IF(Table1[[#This Row],[CurrentStock]]&gt;Table1[[#This Row],[ReorderLevel]]*3,"Over Stock","Okay")</f>
        <v>Okay</v>
      </c>
      <c r="O2998" t="str">
        <f>IF(Table1[[#This Row],[CurrentStock]]&lt;Table1[[#This Row],[ReorderLevel]],"Reorder","Okay")</f>
        <v>Reorder</v>
      </c>
    </row>
    <row r="2999" spans="1:15" x14ac:dyDescent="0.3">
      <c r="A2999">
        <v>96814</v>
      </c>
      <c r="B2999" t="s">
        <v>12</v>
      </c>
      <c r="C2999" t="s">
        <v>28</v>
      </c>
      <c r="D2999">
        <v>445</v>
      </c>
      <c r="E2999">
        <v>80</v>
      </c>
      <c r="F2999">
        <v>393.71</v>
      </c>
      <c r="G2999" t="s">
        <v>32</v>
      </c>
      <c r="H2999" s="1">
        <v>45528</v>
      </c>
      <c r="I2999" s="1">
        <v>45555</v>
      </c>
      <c r="J2999" t="s">
        <v>38</v>
      </c>
      <c r="K2999" t="b">
        <f>Table1[[#This Row],[CurrentStock]]&lt;Table1[[#This Row],[ReorderLevel]]</f>
        <v>0</v>
      </c>
      <c r="L2999" s="9">
        <f>Table1[[#This Row],[CurrentStock]]*Table1[[#This Row],[UnitPrice]]</f>
        <v>175200.94999999998</v>
      </c>
      <c r="M2999" t="str">
        <f>IF(Table1[[#This Row],[ReorderLevel]]-Table1[[#This Row],[CurrentStock]]&gt;0,Table1[[#This Row],[ReorderLevel]]-Table1[[#This Row],[CurrentStock]],"")</f>
        <v/>
      </c>
      <c r="N2999" t="str">
        <f>IF(Table1[[#This Row],[CurrentStock]]&gt;Table1[[#This Row],[ReorderLevel]]*3,"Over Stock","Okay")</f>
        <v>Over Stock</v>
      </c>
      <c r="O2999" t="str">
        <f>IF(Table1[[#This Row],[CurrentStock]]&lt;Table1[[#This Row],[ReorderLevel]],"Reorder","Okay")</f>
        <v>Okay</v>
      </c>
    </row>
    <row r="3000" spans="1:15" x14ac:dyDescent="0.3">
      <c r="A3000">
        <v>79245</v>
      </c>
      <c r="B3000" t="s">
        <v>18</v>
      </c>
      <c r="C3000" t="s">
        <v>28</v>
      </c>
      <c r="D3000">
        <v>179</v>
      </c>
      <c r="E3000">
        <v>50</v>
      </c>
      <c r="F3000">
        <v>342.16</v>
      </c>
      <c r="G3000" t="s">
        <v>32</v>
      </c>
      <c r="H3000" s="1">
        <v>45422</v>
      </c>
      <c r="I3000" s="1">
        <v>45428</v>
      </c>
      <c r="J3000" t="s">
        <v>38</v>
      </c>
      <c r="K3000" t="b">
        <f>Table1[[#This Row],[CurrentStock]]&lt;Table1[[#This Row],[ReorderLevel]]</f>
        <v>0</v>
      </c>
      <c r="L3000" s="9">
        <f>Table1[[#This Row],[CurrentStock]]*Table1[[#This Row],[UnitPrice]]</f>
        <v>61246.640000000007</v>
      </c>
      <c r="M3000" t="str">
        <f>IF(Table1[[#This Row],[ReorderLevel]]-Table1[[#This Row],[CurrentStock]]&gt;0,Table1[[#This Row],[ReorderLevel]]-Table1[[#This Row],[CurrentStock]],"")</f>
        <v/>
      </c>
      <c r="N3000" t="str">
        <f>IF(Table1[[#This Row],[CurrentStock]]&gt;Table1[[#This Row],[ReorderLevel]]*3,"Over Stock","Okay")</f>
        <v>Over Stock</v>
      </c>
      <c r="O3000" t="str">
        <f>IF(Table1[[#This Row],[CurrentStock]]&lt;Table1[[#This Row],[ReorderLevel]],"Reorder","Okay")</f>
        <v>Okay</v>
      </c>
    </row>
    <row r="3001" spans="1:15" x14ac:dyDescent="0.3">
      <c r="A3001">
        <v>94436</v>
      </c>
      <c r="B3001" t="s">
        <v>15</v>
      </c>
      <c r="C3001" t="s">
        <v>29</v>
      </c>
      <c r="D3001">
        <v>339</v>
      </c>
      <c r="E3001">
        <v>150</v>
      </c>
      <c r="F3001">
        <v>197.92</v>
      </c>
      <c r="G3001" t="s">
        <v>36</v>
      </c>
      <c r="H3001" s="1">
        <v>45652</v>
      </c>
      <c r="I3001" s="1">
        <v>45672</v>
      </c>
      <c r="J3001" t="s">
        <v>39</v>
      </c>
      <c r="K3001" t="b">
        <f>Table1[[#This Row],[CurrentStock]]&lt;Table1[[#This Row],[ReorderLevel]]</f>
        <v>0</v>
      </c>
      <c r="L3001" s="9">
        <f>Table1[[#This Row],[CurrentStock]]*Table1[[#This Row],[UnitPrice]]</f>
        <v>67094.87999999999</v>
      </c>
      <c r="M3001" t="str">
        <f>IF(Table1[[#This Row],[ReorderLevel]]-Table1[[#This Row],[CurrentStock]]&gt;0,Table1[[#This Row],[ReorderLevel]]-Table1[[#This Row],[CurrentStock]],"")</f>
        <v/>
      </c>
      <c r="N3001" t="str">
        <f>IF(Table1[[#This Row],[CurrentStock]]&gt;Table1[[#This Row],[ReorderLevel]]*3,"Over Stock","Okay")</f>
        <v>Okay</v>
      </c>
      <c r="O3001" t="str">
        <f>IF(Table1[[#This Row],[CurrentStock]]&lt;Table1[[#This Row],[ReorderLevel]],"Reorder","Okay")</f>
        <v>Okay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Lakhan gudigar</cp:lastModifiedBy>
  <dcterms:created xsi:type="dcterms:W3CDTF">2025-11-18T14:59:05Z</dcterms:created>
  <dcterms:modified xsi:type="dcterms:W3CDTF">2025-11-29T08:41:18Z</dcterms:modified>
</cp:coreProperties>
</file>